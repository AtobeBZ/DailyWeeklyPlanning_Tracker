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m\PycharmProjects\DailyWeeklyPlanning_Tracker\FileSource\"/>
    </mc:Choice>
  </mc:AlternateContent>
  <xr:revisionPtr revIDLastSave="0" documentId="8_{70F54A6C-493A-40BB-8736-6547F7329731}" xr6:coauthVersionLast="47" xr6:coauthVersionMax="47" xr10:uidLastSave="{00000000-0000-0000-0000-000000000000}"/>
  <bookViews>
    <workbookView xWindow="-108" yWindow="-108" windowWidth="23256" windowHeight="14616" xr2:uid="{B21FCC12-99A6-4263-9070-54793DB11938}"/>
  </bookViews>
  <sheets>
    <sheet name="Calendrier" sheetId="1" r:id="rId1"/>
    <sheet name="Guide Utilisateur" sheetId="3" r:id="rId2"/>
    <sheet name="Parameters" sheetId="2" r:id="rId3"/>
    <sheet name="Copyrights" sheetId="4" r:id="rId4"/>
  </sheets>
  <definedNames>
    <definedName name="_xlnm.Print_Area" localSheetId="0">Calendrier!$K$2:$BE$48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44" i="1" l="1"/>
  <c r="W817" i="2"/>
  <c r="W818" i="2"/>
  <c r="W819" i="2"/>
  <c r="W820" i="2"/>
  <c r="W821" i="2"/>
  <c r="W822" i="2"/>
  <c r="W823" i="2"/>
  <c r="T816" i="2"/>
  <c r="T817" i="2"/>
  <c r="T818" i="2"/>
  <c r="T819" i="2"/>
  <c r="T820" i="2"/>
  <c r="T821" i="2"/>
  <c r="T815" i="2"/>
  <c r="W816" i="2"/>
  <c r="W815" i="2"/>
  <c r="W814" i="2"/>
  <c r="W813" i="2"/>
  <c r="W812" i="2"/>
  <c r="W811" i="2"/>
  <c r="W810" i="2"/>
  <c r="W809" i="2"/>
  <c r="W80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W726" i="2"/>
  <c r="W724" i="2"/>
  <c r="W722" i="2"/>
  <c r="W720" i="2"/>
  <c r="W718" i="2"/>
  <c r="W716" i="2"/>
  <c r="W714" i="2"/>
  <c r="W710" i="2"/>
  <c r="W709" i="2"/>
  <c r="W708" i="2"/>
  <c r="W693" i="2"/>
  <c r="W707" i="2"/>
  <c r="W706" i="2"/>
  <c r="W700" i="2"/>
  <c r="W699" i="2"/>
  <c r="W697" i="2"/>
  <c r="W695" i="2"/>
  <c r="B301" i="1" l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AT47" i="1" l="1"/>
  <c r="AT46" i="1"/>
  <c r="AT45" i="1"/>
  <c r="F21" i="1"/>
  <c r="F22" i="1"/>
  <c r="W111" i="2"/>
  <c r="W109" i="2"/>
  <c r="W107" i="2"/>
  <c r="W105" i="2"/>
  <c r="W103" i="2"/>
  <c r="W101" i="2"/>
  <c r="W99" i="2"/>
  <c r="W97" i="2"/>
  <c r="W95" i="2"/>
  <c r="W93" i="2"/>
  <c r="W91" i="2"/>
  <c r="W89" i="2"/>
  <c r="W87" i="2"/>
  <c r="W85" i="2"/>
  <c r="W83" i="2"/>
  <c r="W81" i="2"/>
  <c r="W79" i="2"/>
  <c r="W77" i="2"/>
  <c r="W75" i="2"/>
  <c r="W73" i="2"/>
  <c r="W71" i="2"/>
  <c r="W69" i="2"/>
  <c r="W67" i="2"/>
  <c r="W65" i="2"/>
  <c r="W63" i="2"/>
  <c r="W61" i="2"/>
  <c r="W59" i="2"/>
  <c r="W57" i="2"/>
  <c r="W55" i="2"/>
  <c r="W53" i="2"/>
  <c r="W51" i="2"/>
  <c r="W49" i="2"/>
  <c r="W47" i="2"/>
  <c r="W45" i="2"/>
  <c r="W43" i="2"/>
  <c r="W41" i="2"/>
  <c r="W39" i="2"/>
  <c r="W37" i="2"/>
  <c r="W35" i="2"/>
  <c r="W33" i="2"/>
  <c r="W31" i="2"/>
  <c r="W29" i="2"/>
  <c r="W27" i="2"/>
  <c r="W25" i="2"/>
  <c r="W23" i="2"/>
  <c r="W21" i="2"/>
  <c r="W113" i="2"/>
  <c r="W115" i="2"/>
  <c r="W117" i="2"/>
  <c r="W119" i="2"/>
  <c r="W146" i="2"/>
  <c r="W145" i="2"/>
  <c r="W144" i="2"/>
  <c r="W142" i="2"/>
  <c r="W140" i="2"/>
  <c r="W138" i="2"/>
  <c r="W136" i="2"/>
  <c r="W134" i="2"/>
  <c r="W132" i="2"/>
  <c r="W130" i="2"/>
  <c r="W128" i="2"/>
  <c r="W147" i="2"/>
  <c r="W156" i="2"/>
  <c r="W155" i="2"/>
  <c r="W154" i="2"/>
  <c r="W153" i="2"/>
  <c r="W157" i="2"/>
  <c r="W178" i="2"/>
  <c r="W176" i="2"/>
  <c r="W174" i="2"/>
  <c r="W172" i="2"/>
  <c r="W170" i="2"/>
  <c r="W168" i="2"/>
  <c r="W166" i="2"/>
  <c r="W164" i="2"/>
  <c r="W162" i="2"/>
  <c r="W160" i="2"/>
  <c r="W158" i="2"/>
  <c r="W180" i="2"/>
  <c r="W197" i="2"/>
  <c r="W196" i="2"/>
  <c r="W195" i="2"/>
  <c r="W194" i="2"/>
  <c r="W193" i="2"/>
  <c r="W192" i="2"/>
  <c r="W190" i="2"/>
  <c r="W188" i="2"/>
  <c r="W186" i="2"/>
  <c r="W184" i="2"/>
  <c r="W182" i="2"/>
  <c r="W198" i="2"/>
  <c r="W199" i="2"/>
  <c r="W293" i="2"/>
  <c r="W291" i="2"/>
  <c r="W289" i="2"/>
  <c r="W287" i="2"/>
  <c r="W285" i="2"/>
  <c r="W283" i="2"/>
  <c r="W281" i="2"/>
  <c r="W279" i="2"/>
  <c r="W277" i="2"/>
  <c r="W275" i="2"/>
  <c r="W273" i="2"/>
  <c r="W271" i="2"/>
  <c r="W269" i="2"/>
  <c r="W267" i="2"/>
  <c r="W265" i="2"/>
  <c r="W263" i="2"/>
  <c r="W261" i="2"/>
  <c r="W259" i="2"/>
  <c r="W257" i="2"/>
  <c r="W255" i="2"/>
  <c r="W253" i="2"/>
  <c r="W251" i="2"/>
  <c r="W249" i="2"/>
  <c r="W247" i="2"/>
  <c r="W245" i="2"/>
  <c r="W243" i="2"/>
  <c r="W241" i="2"/>
  <c r="W239" i="2"/>
  <c r="W237" i="2"/>
  <c r="W235" i="2"/>
  <c r="W233" i="2"/>
  <c r="W231" i="2"/>
  <c r="W229" i="2"/>
  <c r="W227" i="2"/>
  <c r="W225" i="2"/>
  <c r="W223" i="2"/>
  <c r="W221" i="2"/>
  <c r="W219" i="2"/>
  <c r="W217" i="2"/>
  <c r="W215" i="2"/>
  <c r="W213" i="2"/>
  <c r="W211" i="2"/>
  <c r="W209" i="2"/>
  <c r="W207" i="2"/>
  <c r="W205" i="2"/>
  <c r="W203" i="2"/>
  <c r="W295" i="2"/>
  <c r="W297" i="2"/>
  <c r="W299" i="2"/>
  <c r="W301" i="2"/>
  <c r="W330" i="2"/>
  <c r="W328" i="2"/>
  <c r="W326" i="2"/>
  <c r="W324" i="2"/>
  <c r="W322" i="2"/>
  <c r="W320" i="2"/>
  <c r="W318" i="2"/>
  <c r="W316" i="2"/>
  <c r="W314" i="2"/>
  <c r="W312" i="2"/>
  <c r="W310" i="2"/>
  <c r="W308" i="2"/>
  <c r="W306" i="2"/>
  <c r="W304" i="2"/>
  <c r="W332" i="2"/>
  <c r="W342" i="2"/>
  <c r="W341" i="2"/>
  <c r="W340" i="2"/>
  <c r="W339" i="2"/>
  <c r="W343" i="2"/>
  <c r="W364" i="2"/>
  <c r="W362" i="2"/>
  <c r="W360" i="2"/>
  <c r="W358" i="2"/>
  <c r="W356" i="2"/>
  <c r="W354" i="2"/>
  <c r="W352" i="2"/>
  <c r="W350" i="2"/>
  <c r="W348" i="2"/>
  <c r="W346" i="2"/>
  <c r="W344" i="2"/>
  <c r="W366" i="2"/>
  <c r="W368" i="2"/>
  <c r="W379" i="2"/>
  <c r="W378" i="2"/>
  <c r="W376" i="2"/>
  <c r="W374" i="2"/>
  <c r="W372" i="2"/>
  <c r="W370" i="2"/>
  <c r="W380" i="2"/>
  <c r="W383" i="2"/>
  <c r="W382" i="2"/>
  <c r="W381" i="2"/>
  <c r="W384" i="2"/>
  <c r="W385" i="2"/>
  <c r="W479" i="2"/>
  <c r="W477" i="2"/>
  <c r="W475" i="2"/>
  <c r="W473" i="2"/>
  <c r="W471" i="2"/>
  <c r="W469" i="2"/>
  <c r="W467" i="2"/>
  <c r="W465" i="2"/>
  <c r="W463" i="2"/>
  <c r="W461" i="2"/>
  <c r="W459" i="2"/>
  <c r="W457" i="2"/>
  <c r="W455" i="2"/>
  <c r="W453" i="2"/>
  <c r="W451" i="2"/>
  <c r="W449" i="2"/>
  <c r="W447" i="2"/>
  <c r="W445" i="2"/>
  <c r="W443" i="2"/>
  <c r="W441" i="2"/>
  <c r="W439" i="2"/>
  <c r="W437" i="2"/>
  <c r="W435" i="2"/>
  <c r="W433" i="2"/>
  <c r="W431" i="2"/>
  <c r="W429" i="2"/>
  <c r="W427" i="2"/>
  <c r="W425" i="2"/>
  <c r="W423" i="2"/>
  <c r="W421" i="2"/>
  <c r="W419" i="2"/>
  <c r="W417" i="2"/>
  <c r="W415" i="2"/>
  <c r="W413" i="2"/>
  <c r="W411" i="2"/>
  <c r="W409" i="2"/>
  <c r="W407" i="2"/>
  <c r="W405" i="2"/>
  <c r="W403" i="2"/>
  <c r="W401" i="2"/>
  <c r="W399" i="2"/>
  <c r="W397" i="2"/>
  <c r="W395" i="2"/>
  <c r="W393" i="2"/>
  <c r="W391" i="2"/>
  <c r="W389" i="2"/>
  <c r="W481" i="2"/>
  <c r="W483" i="2"/>
  <c r="W485" i="2"/>
  <c r="W487" i="2"/>
  <c r="W517" i="2"/>
  <c r="W515" i="2"/>
  <c r="W513" i="2"/>
  <c r="W511" i="2"/>
  <c r="W509" i="2"/>
  <c r="W507" i="2"/>
  <c r="W505" i="2"/>
  <c r="W503" i="2"/>
  <c r="W501" i="2"/>
  <c r="W499" i="2"/>
  <c r="W497" i="2"/>
  <c r="W495" i="2"/>
  <c r="W493" i="2"/>
  <c r="W491" i="2"/>
  <c r="W490" i="2"/>
  <c r="W519" i="2"/>
  <c r="W529" i="2"/>
  <c r="W528" i="2"/>
  <c r="W527" i="2"/>
  <c r="W526" i="2"/>
  <c r="W530" i="2"/>
  <c r="W551" i="2"/>
  <c r="W549" i="2"/>
  <c r="W547" i="2"/>
  <c r="W545" i="2"/>
  <c r="W543" i="2"/>
  <c r="W541" i="2"/>
  <c r="W539" i="2"/>
  <c r="W537" i="2"/>
  <c r="W535" i="2"/>
  <c r="W533" i="2"/>
  <c r="W531" i="2"/>
  <c r="W553" i="2"/>
  <c r="W571" i="2"/>
  <c r="W570" i="2"/>
  <c r="W569" i="2"/>
  <c r="W568" i="2"/>
  <c r="W567" i="2"/>
  <c r="W566" i="2"/>
  <c r="W564" i="2"/>
  <c r="W562" i="2"/>
  <c r="W560" i="2"/>
  <c r="W558" i="2"/>
  <c r="W556" i="2"/>
  <c r="W572" i="2"/>
  <c r="W573" i="2"/>
  <c r="W669" i="2"/>
  <c r="W667" i="2"/>
  <c r="W665" i="2"/>
  <c r="W663" i="2"/>
  <c r="W661" i="2"/>
  <c r="W659" i="2"/>
  <c r="W657" i="2"/>
  <c r="W655" i="2"/>
  <c r="W653" i="2"/>
  <c r="W651" i="2"/>
  <c r="W649" i="2"/>
  <c r="W647" i="2"/>
  <c r="W645" i="2"/>
  <c r="W643" i="2"/>
  <c r="W641" i="2"/>
  <c r="W639" i="2"/>
  <c r="W637" i="2"/>
  <c r="W635" i="2"/>
  <c r="W633" i="2"/>
  <c r="W631" i="2"/>
  <c r="W629" i="2"/>
  <c r="W627" i="2"/>
  <c r="W625" i="2"/>
  <c r="W623" i="2"/>
  <c r="W621" i="2"/>
  <c r="W619" i="2"/>
  <c r="W617" i="2"/>
  <c r="W615" i="2"/>
  <c r="W613" i="2"/>
  <c r="W611" i="2"/>
  <c r="W609" i="2"/>
  <c r="W607" i="2"/>
  <c r="W605" i="2"/>
  <c r="W603" i="2"/>
  <c r="W601" i="2"/>
  <c r="W599" i="2"/>
  <c r="W597" i="2"/>
  <c r="W595" i="2"/>
  <c r="W593" i="2"/>
  <c r="W591" i="2"/>
  <c r="W589" i="2"/>
  <c r="W587" i="2"/>
  <c r="W585" i="2"/>
  <c r="W583" i="2"/>
  <c r="W581" i="2"/>
  <c r="W579" i="2"/>
  <c r="W577" i="2"/>
  <c r="W575" i="2"/>
  <c r="W671" i="2"/>
  <c r="W673" i="2"/>
  <c r="W674" i="2"/>
  <c r="W675" i="2"/>
  <c r="W696" i="2"/>
  <c r="W694" i="2"/>
  <c r="W692" i="2"/>
  <c r="W690" i="2"/>
  <c r="W688" i="2"/>
  <c r="W686" i="2"/>
  <c r="W684" i="2"/>
  <c r="W683" i="2"/>
  <c r="W682" i="2"/>
  <c r="W681" i="2"/>
  <c r="W680" i="2"/>
  <c r="W679" i="2"/>
  <c r="W678" i="2"/>
  <c r="W677" i="2"/>
  <c r="W698" i="2"/>
  <c r="W701" i="2"/>
  <c r="W704" i="2"/>
  <c r="W703" i="2"/>
  <c r="W702" i="2"/>
  <c r="W705" i="2"/>
  <c r="W723" i="2"/>
  <c r="W721" i="2"/>
  <c r="W719" i="2"/>
  <c r="W717" i="2"/>
  <c r="W715" i="2"/>
  <c r="W713" i="2"/>
  <c r="W712" i="2"/>
  <c r="W711" i="2"/>
  <c r="W725" i="2"/>
  <c r="W588" i="2" l="1"/>
  <c r="W590" i="2"/>
  <c r="W592" i="2"/>
  <c r="W594" i="2"/>
  <c r="W596" i="2"/>
  <c r="W598" i="2"/>
  <c r="W600" i="2"/>
  <c r="W602" i="2"/>
  <c r="W604" i="2"/>
  <c r="W606" i="2"/>
  <c r="W608" i="2"/>
  <c r="W610" i="2"/>
  <c r="W612" i="2"/>
  <c r="W614" i="2"/>
  <c r="W616" i="2"/>
  <c r="W618" i="2"/>
  <c r="W620" i="2"/>
  <c r="W622" i="2"/>
  <c r="W624" i="2"/>
  <c r="W626" i="2"/>
  <c r="W628" i="2"/>
  <c r="W630" i="2"/>
  <c r="W632" i="2"/>
  <c r="W634" i="2"/>
  <c r="W636" i="2"/>
  <c r="W638" i="2"/>
  <c r="W640" i="2"/>
  <c r="W642" i="2"/>
  <c r="W644" i="2"/>
  <c r="W646" i="2"/>
  <c r="W648" i="2"/>
  <c r="W650" i="2"/>
  <c r="W652" i="2"/>
  <c r="W654" i="2"/>
  <c r="W656" i="2"/>
  <c r="W658" i="2"/>
  <c r="W660" i="2"/>
  <c r="W662" i="2"/>
  <c r="W664" i="2"/>
  <c r="W666" i="2"/>
  <c r="W668" i="2"/>
  <c r="W670" i="2"/>
  <c r="W672" i="2"/>
  <c r="W676" i="2"/>
  <c r="W685" i="2"/>
  <c r="W687" i="2"/>
  <c r="W689" i="2"/>
  <c r="W691" i="2"/>
  <c r="W502" i="2"/>
  <c r="W504" i="2"/>
  <c r="W506" i="2"/>
  <c r="W508" i="2"/>
  <c r="W510" i="2"/>
  <c r="W512" i="2"/>
  <c r="W514" i="2"/>
  <c r="W516" i="2"/>
  <c r="W518" i="2"/>
  <c r="W520" i="2"/>
  <c r="W521" i="2"/>
  <c r="W522" i="2"/>
  <c r="W523" i="2"/>
  <c r="W524" i="2"/>
  <c r="W525" i="2"/>
  <c r="W532" i="2"/>
  <c r="W534" i="2"/>
  <c r="W536" i="2"/>
  <c r="W538" i="2"/>
  <c r="W540" i="2"/>
  <c r="W542" i="2"/>
  <c r="W544" i="2"/>
  <c r="W546" i="2"/>
  <c r="W548" i="2"/>
  <c r="W550" i="2"/>
  <c r="W552" i="2"/>
  <c r="W554" i="2"/>
  <c r="W555" i="2"/>
  <c r="W557" i="2"/>
  <c r="W559" i="2"/>
  <c r="W561" i="2"/>
  <c r="W563" i="2"/>
  <c r="W565" i="2"/>
  <c r="W574" i="2"/>
  <c r="W576" i="2"/>
  <c r="W578" i="2"/>
  <c r="W580" i="2"/>
  <c r="W582" i="2"/>
  <c r="W584" i="2"/>
  <c r="W586" i="2"/>
  <c r="W500" i="2"/>
  <c r="W498" i="2"/>
  <c r="W125" i="2"/>
  <c r="W126" i="2"/>
  <c r="W127" i="2"/>
  <c r="W129" i="2"/>
  <c r="W131" i="2"/>
  <c r="W133" i="2"/>
  <c r="W135" i="2"/>
  <c r="W137" i="2"/>
  <c r="W139" i="2"/>
  <c r="W141" i="2"/>
  <c r="W143" i="2"/>
  <c r="W148" i="2"/>
  <c r="W149" i="2"/>
  <c r="W150" i="2"/>
  <c r="W151" i="2"/>
  <c r="W152" i="2"/>
  <c r="W159" i="2"/>
  <c r="W161" i="2"/>
  <c r="W163" i="2"/>
  <c r="W165" i="2"/>
  <c r="W167" i="2"/>
  <c r="W169" i="2"/>
  <c r="W171" i="2"/>
  <c r="W173" i="2"/>
  <c r="W175" i="2"/>
  <c r="W177" i="2"/>
  <c r="W179" i="2"/>
  <c r="W181" i="2"/>
  <c r="W183" i="2"/>
  <c r="W185" i="2"/>
  <c r="W187" i="2"/>
  <c r="W189" i="2"/>
  <c r="W191" i="2"/>
  <c r="W200" i="2"/>
  <c r="W201" i="2"/>
  <c r="W202" i="2"/>
  <c r="W204" i="2"/>
  <c r="W26" i="2"/>
  <c r="W206" i="2"/>
  <c r="W208" i="2"/>
  <c r="W210" i="2"/>
  <c r="W212" i="2"/>
  <c r="W214" i="2"/>
  <c r="W216" i="2"/>
  <c r="W218" i="2"/>
  <c r="W220" i="2"/>
  <c r="W222" i="2"/>
  <c r="W224" i="2"/>
  <c r="W226" i="2"/>
  <c r="W228" i="2"/>
  <c r="W230" i="2"/>
  <c r="W232" i="2"/>
  <c r="W234" i="2"/>
  <c r="W236" i="2"/>
  <c r="W238" i="2"/>
  <c r="W240" i="2"/>
  <c r="W242" i="2"/>
  <c r="W244" i="2"/>
  <c r="W246" i="2"/>
  <c r="W248" i="2"/>
  <c r="W250" i="2"/>
  <c r="W252" i="2"/>
  <c r="W254" i="2"/>
  <c r="W256" i="2"/>
  <c r="W258" i="2"/>
  <c r="W260" i="2"/>
  <c r="W262" i="2"/>
  <c r="W264" i="2"/>
  <c r="W266" i="2"/>
  <c r="W268" i="2"/>
  <c r="W270" i="2"/>
  <c r="W272" i="2"/>
  <c r="W274" i="2"/>
  <c r="W276" i="2"/>
  <c r="W278" i="2"/>
  <c r="W280" i="2"/>
  <c r="W282" i="2"/>
  <c r="W284" i="2"/>
  <c r="W286" i="2"/>
  <c r="W288" i="2"/>
  <c r="W290" i="2"/>
  <c r="W292" i="2"/>
  <c r="W294" i="2"/>
  <c r="W296" i="2"/>
  <c r="W298" i="2"/>
  <c r="W300" i="2"/>
  <c r="W302" i="2"/>
  <c r="W303" i="2"/>
  <c r="W305" i="2"/>
  <c r="W307" i="2"/>
  <c r="W309" i="2"/>
  <c r="W311" i="2"/>
  <c r="W313" i="2"/>
  <c r="W315" i="2"/>
  <c r="W317" i="2"/>
  <c r="W319" i="2"/>
  <c r="W321" i="2"/>
  <c r="W323" i="2"/>
  <c r="W325" i="2"/>
  <c r="W327" i="2"/>
  <c r="W329" i="2"/>
  <c r="W331" i="2"/>
  <c r="W333" i="2"/>
  <c r="W334" i="2"/>
  <c r="W335" i="2"/>
  <c r="W336" i="2"/>
  <c r="W337" i="2"/>
  <c r="W338" i="2"/>
  <c r="W345" i="2"/>
  <c r="W347" i="2"/>
  <c r="W349" i="2"/>
  <c r="W351" i="2"/>
  <c r="W353" i="2"/>
  <c r="W355" i="2"/>
  <c r="W357" i="2"/>
  <c r="W359" i="2"/>
  <c r="W361" i="2"/>
  <c r="W363" i="2"/>
  <c r="W365" i="2"/>
  <c r="W367" i="2"/>
  <c r="W369" i="2"/>
  <c r="W371" i="2"/>
  <c r="W373" i="2"/>
  <c r="W375" i="2"/>
  <c r="W377" i="2"/>
  <c r="W386" i="2"/>
  <c r="W387" i="2"/>
  <c r="W388" i="2"/>
  <c r="W390" i="2"/>
  <c r="W392" i="2"/>
  <c r="W394" i="2"/>
  <c r="W396" i="2"/>
  <c r="W398" i="2"/>
  <c r="W400" i="2"/>
  <c r="W402" i="2"/>
  <c r="W404" i="2"/>
  <c r="W406" i="2"/>
  <c r="W408" i="2"/>
  <c r="W410" i="2"/>
  <c r="W412" i="2"/>
  <c r="W414" i="2"/>
  <c r="W416" i="2"/>
  <c r="W418" i="2"/>
  <c r="W420" i="2"/>
  <c r="W422" i="2"/>
  <c r="W424" i="2"/>
  <c r="W426" i="2"/>
  <c r="W428" i="2"/>
  <c r="W430" i="2"/>
  <c r="W432" i="2"/>
  <c r="W434" i="2"/>
  <c r="W436" i="2"/>
  <c r="W438" i="2"/>
  <c r="W440" i="2"/>
  <c r="W442" i="2"/>
  <c r="W444" i="2"/>
  <c r="W446" i="2"/>
  <c r="W448" i="2"/>
  <c r="W450" i="2"/>
  <c r="W452" i="2"/>
  <c r="W454" i="2"/>
  <c r="W456" i="2"/>
  <c r="W458" i="2"/>
  <c r="W460" i="2"/>
  <c r="W462" i="2"/>
  <c r="W464" i="2"/>
  <c r="W466" i="2"/>
  <c r="W468" i="2"/>
  <c r="W470" i="2"/>
  <c r="W472" i="2"/>
  <c r="W474" i="2"/>
  <c r="W476" i="2"/>
  <c r="W478" i="2"/>
  <c r="W480" i="2"/>
  <c r="W482" i="2"/>
  <c r="W484" i="2"/>
  <c r="W486" i="2"/>
  <c r="W488" i="2"/>
  <c r="W489" i="2"/>
  <c r="W492" i="2"/>
  <c r="W494" i="2"/>
  <c r="W496" i="2"/>
  <c r="W124" i="2"/>
  <c r="W123" i="2"/>
  <c r="W30" i="2"/>
  <c r="W32" i="2"/>
  <c r="W34" i="2"/>
  <c r="W36" i="2"/>
  <c r="W38" i="2"/>
  <c r="W40" i="2"/>
  <c r="W42" i="2"/>
  <c r="W44" i="2"/>
  <c r="W46" i="2"/>
  <c r="W48" i="2"/>
  <c r="W50" i="2"/>
  <c r="W52" i="2"/>
  <c r="W54" i="2"/>
  <c r="W56" i="2"/>
  <c r="W58" i="2"/>
  <c r="W60" i="2"/>
  <c r="W62" i="2"/>
  <c r="W64" i="2"/>
  <c r="W66" i="2"/>
  <c r="W68" i="2"/>
  <c r="W70" i="2"/>
  <c r="W72" i="2"/>
  <c r="W74" i="2"/>
  <c r="W76" i="2"/>
  <c r="W78" i="2"/>
  <c r="W80" i="2"/>
  <c r="W82" i="2"/>
  <c r="W84" i="2"/>
  <c r="W86" i="2"/>
  <c r="W88" i="2"/>
  <c r="W90" i="2"/>
  <c r="W92" i="2"/>
  <c r="W94" i="2"/>
  <c r="W96" i="2"/>
  <c r="W98" i="2"/>
  <c r="W100" i="2"/>
  <c r="W102" i="2"/>
  <c r="W104" i="2"/>
  <c r="W106" i="2"/>
  <c r="W108" i="2"/>
  <c r="W110" i="2"/>
  <c r="W112" i="2"/>
  <c r="W114" i="2"/>
  <c r="W116" i="2"/>
  <c r="W118" i="2"/>
  <c r="W120" i="2"/>
  <c r="W121" i="2"/>
  <c r="W122" i="2"/>
  <c r="W28" i="2"/>
  <c r="W15" i="2"/>
  <c r="W16" i="2"/>
  <c r="W17" i="2"/>
  <c r="W18" i="2"/>
  <c r="W19" i="2"/>
  <c r="W20" i="2"/>
  <c r="W22" i="2"/>
  <c r="W24" i="2"/>
  <c r="W14" i="2"/>
  <c r="W10" i="2"/>
  <c r="W11" i="2"/>
  <c r="W12" i="2"/>
  <c r="W13" i="2"/>
  <c r="W9" i="2"/>
  <c r="W3" i="2"/>
  <c r="W4" i="2"/>
  <c r="W5" i="2"/>
  <c r="W6" i="2"/>
  <c r="W7" i="2"/>
  <c r="W8" i="2"/>
  <c r="W2" i="2" l="1"/>
  <c r="T90" i="2" l="1"/>
  <c r="T87" i="2"/>
  <c r="T85" i="2"/>
  <c r="T83" i="2"/>
  <c r="T81" i="2"/>
  <c r="T79" i="2"/>
  <c r="T78" i="2"/>
  <c r="T75" i="2"/>
  <c r="T74" i="2"/>
  <c r="T72" i="2"/>
  <c r="T69" i="2"/>
  <c r="T67" i="2"/>
  <c r="T65" i="2"/>
  <c r="T63" i="2"/>
  <c r="T61" i="2"/>
  <c r="T60" i="2"/>
  <c r="T57" i="2"/>
  <c r="T56" i="2"/>
  <c r="T54" i="2"/>
  <c r="T51" i="2"/>
  <c r="T49" i="2"/>
  <c r="T47" i="2"/>
  <c r="T45" i="2"/>
  <c r="T43" i="2"/>
  <c r="T42" i="2"/>
  <c r="T39" i="2"/>
  <c r="T38" i="2"/>
  <c r="T36" i="2"/>
  <c r="T33" i="2"/>
  <c r="T31" i="2"/>
  <c r="T29" i="2"/>
  <c r="T27" i="2"/>
  <c r="T25" i="2"/>
  <c r="T24" i="2"/>
  <c r="T21" i="2"/>
  <c r="T20" i="2"/>
  <c r="T18" i="2"/>
  <c r="T15" i="2"/>
  <c r="T13" i="2"/>
  <c r="T11" i="2"/>
  <c r="T9" i="2"/>
  <c r="T7" i="2"/>
  <c r="T6" i="2"/>
  <c r="T3" i="2"/>
  <c r="T2" i="2"/>
  <c r="T91" i="2"/>
  <c r="T89" i="2"/>
  <c r="T88" i="2"/>
  <c r="T86" i="2"/>
  <c r="T84" i="2"/>
  <c r="T82" i="2"/>
  <c r="T80" i="2"/>
  <c r="T77" i="2"/>
  <c r="T76" i="2"/>
  <c r="T73" i="2"/>
  <c r="T71" i="2"/>
  <c r="T70" i="2"/>
  <c r="T68" i="2"/>
  <c r="T66" i="2"/>
  <c r="T64" i="2"/>
  <c r="T62" i="2"/>
  <c r="T59" i="2"/>
  <c r="T58" i="2"/>
  <c r="T55" i="2"/>
  <c r="T53" i="2"/>
  <c r="T52" i="2"/>
  <c r="T50" i="2"/>
  <c r="T48" i="2"/>
  <c r="T46" i="2"/>
  <c r="T44" i="2"/>
  <c r="T41" i="2"/>
  <c r="T40" i="2"/>
  <c r="T37" i="2"/>
  <c r="T35" i="2"/>
  <c r="T34" i="2"/>
  <c r="T32" i="2"/>
  <c r="T30" i="2"/>
  <c r="T28" i="2"/>
  <c r="T26" i="2"/>
  <c r="T23" i="2"/>
  <c r="T22" i="2"/>
  <c r="T19" i="2"/>
  <c r="T17" i="2"/>
  <c r="T16" i="2"/>
  <c r="T14" i="2"/>
  <c r="T12" i="2"/>
  <c r="T10" i="2"/>
  <c r="T8" i="2"/>
  <c r="T5" i="2"/>
  <c r="T4" i="2"/>
  <c r="L8" i="1" l="1"/>
  <c r="K36" i="1" l="1"/>
  <c r="BF36" i="1"/>
  <c r="BD36" i="1"/>
  <c r="BB36" i="1"/>
  <c r="AZ36" i="1"/>
  <c r="AX36" i="1"/>
  <c r="AV36" i="1"/>
  <c r="AT36" i="1"/>
  <c r="AR36" i="1"/>
  <c r="AP36" i="1"/>
  <c r="AN36" i="1"/>
  <c r="AL36" i="1"/>
  <c r="AJ36" i="1"/>
  <c r="AH36" i="1"/>
  <c r="AF36" i="1"/>
  <c r="AD36" i="1"/>
  <c r="AB36" i="1"/>
  <c r="Z36" i="1"/>
  <c r="X36" i="1"/>
  <c r="V36" i="1"/>
  <c r="T36" i="1"/>
  <c r="R36" i="1"/>
  <c r="P36" i="1"/>
  <c r="N36" i="1"/>
  <c r="L36" i="1"/>
  <c r="AR35" i="1"/>
  <c r="AQ36" i="1"/>
  <c r="AB35" i="1"/>
  <c r="AA36" i="1"/>
  <c r="L35" i="1"/>
  <c r="BF27" i="1"/>
  <c r="BD27" i="1"/>
  <c r="BB27" i="1"/>
  <c r="AZ27" i="1"/>
  <c r="AX27" i="1"/>
  <c r="AV27" i="1"/>
  <c r="AT27" i="1"/>
  <c r="AR27" i="1"/>
  <c r="AP27" i="1"/>
  <c r="AN27" i="1"/>
  <c r="AL27" i="1"/>
  <c r="AJ27" i="1"/>
  <c r="AH27" i="1"/>
  <c r="AF27" i="1"/>
  <c r="AD27" i="1"/>
  <c r="AB27" i="1"/>
  <c r="Z27" i="1"/>
  <c r="X27" i="1"/>
  <c r="V27" i="1"/>
  <c r="T27" i="1"/>
  <c r="R27" i="1"/>
  <c r="P27" i="1"/>
  <c r="N27" i="1"/>
  <c r="L27" i="1"/>
  <c r="AR26" i="1"/>
  <c r="AQ27" i="1"/>
  <c r="AB26" i="1"/>
  <c r="AA27" i="1"/>
  <c r="L26" i="1"/>
  <c r="K27" i="1"/>
  <c r="K18" i="1"/>
  <c r="AA18" i="1"/>
  <c r="AQ18" i="1"/>
  <c r="AQ9" i="1"/>
  <c r="AA9" i="1"/>
  <c r="K9" i="1"/>
  <c r="BF18" i="1"/>
  <c r="BD18" i="1"/>
  <c r="BB18" i="1"/>
  <c r="AZ18" i="1"/>
  <c r="AX18" i="1"/>
  <c r="AV18" i="1"/>
  <c r="AT18" i="1"/>
  <c r="AR18" i="1"/>
  <c r="AR17" i="1"/>
  <c r="AP18" i="1"/>
  <c r="AN18" i="1"/>
  <c r="AL18" i="1"/>
  <c r="AJ18" i="1"/>
  <c r="AH18" i="1"/>
  <c r="AF18" i="1"/>
  <c r="AD18" i="1"/>
  <c r="AB18" i="1"/>
  <c r="AB17" i="1"/>
  <c r="Z18" i="1"/>
  <c r="X18" i="1"/>
  <c r="V18" i="1"/>
  <c r="T18" i="1"/>
  <c r="R18" i="1"/>
  <c r="P18" i="1"/>
  <c r="N18" i="1"/>
  <c r="L18" i="1"/>
  <c r="L17" i="1"/>
  <c r="BF9" i="1"/>
  <c r="AP9" i="1"/>
  <c r="Z9" i="1"/>
  <c r="BD9" i="1"/>
  <c r="BB9" i="1"/>
  <c r="AZ9" i="1"/>
  <c r="AX9" i="1"/>
  <c r="AV9" i="1"/>
  <c r="AT9" i="1"/>
  <c r="AR9" i="1"/>
  <c r="AR8" i="1"/>
  <c r="AB8" i="1"/>
  <c r="AN9" i="1"/>
  <c r="AL9" i="1"/>
  <c r="AJ9" i="1"/>
  <c r="AH9" i="1"/>
  <c r="AF9" i="1"/>
  <c r="AD9" i="1"/>
  <c r="AB9" i="1"/>
  <c r="X9" i="1"/>
  <c r="V9" i="1"/>
  <c r="T9" i="1"/>
  <c r="R9" i="1"/>
  <c r="P9" i="1"/>
  <c r="N9" i="1"/>
  <c r="L9" i="1"/>
  <c r="AB37" i="1" l="1"/>
  <c r="AD37" i="1" s="1"/>
  <c r="AF37" i="1" s="1"/>
  <c r="AH37" i="1" s="1"/>
  <c r="AJ37" i="1" s="1"/>
  <c r="AL37" i="1" s="1"/>
  <c r="AN37" i="1" s="1"/>
  <c r="AR10" i="1"/>
  <c r="EN10" i="1" s="1"/>
  <c r="AR28" i="1"/>
  <c r="EN28" i="1" s="1"/>
  <c r="AB28" i="1"/>
  <c r="DX28" i="1" s="1"/>
  <c r="DX37" i="1"/>
  <c r="AB10" i="1"/>
  <c r="DX10" i="1" s="1"/>
  <c r="AR19" i="1"/>
  <c r="EN19" i="1" s="1"/>
  <c r="AB19" i="1"/>
  <c r="DX19" i="1" s="1"/>
  <c r="L19" i="1"/>
  <c r="DH19" i="1" s="1"/>
  <c r="L28" i="1"/>
  <c r="DH28" i="1" s="1"/>
  <c r="L10" i="1"/>
  <c r="DH10" i="1" s="1"/>
  <c r="AR37" i="1"/>
  <c r="EN37" i="1" s="1"/>
  <c r="L37" i="1"/>
  <c r="PV28" i="1" l="1"/>
  <c r="TR28" i="1"/>
  <c r="RT28" i="1"/>
  <c r="PV37" i="1"/>
  <c r="TR37" i="1"/>
  <c r="RT37" i="1"/>
  <c r="PV10" i="1"/>
  <c r="RT10" i="1"/>
  <c r="TR10" i="1"/>
  <c r="OP28" i="1"/>
  <c r="QN28" i="1"/>
  <c r="SL28" i="1"/>
  <c r="PF10" i="1"/>
  <c r="TB10" i="1"/>
  <c r="RD10" i="1"/>
  <c r="PF28" i="1"/>
  <c r="TB28" i="1"/>
  <c r="RD28" i="1"/>
  <c r="SL10" i="1"/>
  <c r="QN10" i="1"/>
  <c r="OP19" i="1"/>
  <c r="QN19" i="1"/>
  <c r="SL19" i="1"/>
  <c r="PF19" i="1"/>
  <c r="TB19" i="1"/>
  <c r="RD19" i="1"/>
  <c r="PV19" i="1"/>
  <c r="TR19" i="1"/>
  <c r="RT19" i="1"/>
  <c r="PF37" i="1"/>
  <c r="TB37" i="1"/>
  <c r="RD37" i="1"/>
  <c r="KV10" i="1"/>
  <c r="OP10" i="1"/>
  <c r="MS10" i="1"/>
  <c r="MB37" i="1"/>
  <c r="NY37" i="1"/>
  <c r="LL37" i="1"/>
  <c r="NI37" i="1"/>
  <c r="MB28" i="1"/>
  <c r="NY28" i="1"/>
  <c r="LL28" i="1"/>
  <c r="NI28" i="1"/>
  <c r="KV28" i="1"/>
  <c r="MS28" i="1"/>
  <c r="MB19" i="1"/>
  <c r="NY19" i="1"/>
  <c r="LL19" i="1"/>
  <c r="NI19" i="1"/>
  <c r="KV19" i="1"/>
  <c r="MS19" i="1"/>
  <c r="MB10" i="1"/>
  <c r="NY10" i="1"/>
  <c r="LL10" i="1"/>
  <c r="NI10" i="1"/>
  <c r="DI10" i="1"/>
  <c r="IY10" i="1"/>
  <c r="HB10" i="1"/>
  <c r="IH19" i="1"/>
  <c r="KE19" i="1"/>
  <c r="IH28" i="1"/>
  <c r="KE28" i="1"/>
  <c r="IH37" i="1"/>
  <c r="KE37" i="1"/>
  <c r="HR37" i="1"/>
  <c r="JO37" i="1"/>
  <c r="HR28" i="1"/>
  <c r="JO28" i="1"/>
  <c r="IH10" i="1"/>
  <c r="KE10" i="1"/>
  <c r="HR19" i="1"/>
  <c r="JO19" i="1"/>
  <c r="HR10" i="1"/>
  <c r="JO10" i="1"/>
  <c r="HB28" i="1"/>
  <c r="IY28" i="1"/>
  <c r="HB19" i="1"/>
  <c r="IY19" i="1"/>
  <c r="FE19" i="1"/>
  <c r="DI19" i="1"/>
  <c r="EO19" i="1"/>
  <c r="GK19" i="1"/>
  <c r="DY10" i="1"/>
  <c r="FU10" i="1"/>
  <c r="DY37" i="1"/>
  <c r="FU37" i="1"/>
  <c r="GK37" i="1"/>
  <c r="EO37" i="1"/>
  <c r="FU28" i="1"/>
  <c r="DY28" i="1"/>
  <c r="EO28" i="1"/>
  <c r="GK28" i="1"/>
  <c r="FE28" i="1"/>
  <c r="DI28" i="1"/>
  <c r="DY19" i="1"/>
  <c r="FU19" i="1"/>
  <c r="EO10" i="1"/>
  <c r="GK10" i="1"/>
  <c r="AT19" i="1"/>
  <c r="EP19" i="1" s="1"/>
  <c r="N28" i="1"/>
  <c r="DJ28" i="1" s="1"/>
  <c r="AD19" i="1"/>
  <c r="DZ19" i="1" s="1"/>
  <c r="AD10" i="1"/>
  <c r="DZ10" i="1" s="1"/>
  <c r="DG5" i="1"/>
  <c r="DG6" i="1"/>
  <c r="AT10" i="1"/>
  <c r="EP10" i="1" s="1"/>
  <c r="N19" i="1"/>
  <c r="DJ19" i="1" s="1"/>
  <c r="N37" i="1"/>
  <c r="DJ37" i="1" s="1"/>
  <c r="DH37" i="1"/>
  <c r="AT37" i="1"/>
  <c r="EP37" i="1" s="1"/>
  <c r="AD28" i="1"/>
  <c r="DZ28" i="1" s="1"/>
  <c r="N10" i="1"/>
  <c r="DJ10" i="1" s="1"/>
  <c r="DZ37" i="1"/>
  <c r="AT28" i="1"/>
  <c r="EP28" i="1" s="1"/>
  <c r="OR37" i="1" l="1"/>
  <c r="SN37" i="1"/>
  <c r="QP37" i="1"/>
  <c r="RE19" i="1"/>
  <c r="TC19" i="1"/>
  <c r="RE10" i="1"/>
  <c r="TC10" i="1"/>
  <c r="PX10" i="1"/>
  <c r="RV10" i="1"/>
  <c r="TT10" i="1"/>
  <c r="TS19" i="1"/>
  <c r="RU19" i="1"/>
  <c r="QO19" i="1"/>
  <c r="SM19" i="1"/>
  <c r="SM10" i="1"/>
  <c r="QO10" i="1"/>
  <c r="TS28" i="1"/>
  <c r="RU28" i="1"/>
  <c r="PH10" i="1"/>
  <c r="TD10" i="1"/>
  <c r="RF10" i="1"/>
  <c r="TC28" i="1"/>
  <c r="RE28" i="1"/>
  <c r="PX28" i="1"/>
  <c r="RV28" i="1"/>
  <c r="TT28" i="1"/>
  <c r="PH19" i="1"/>
  <c r="TD19" i="1"/>
  <c r="RF19" i="1"/>
  <c r="OR28" i="1"/>
  <c r="QP28" i="1"/>
  <c r="SN28" i="1"/>
  <c r="RU37" i="1"/>
  <c r="TS37" i="1"/>
  <c r="SL37" i="1"/>
  <c r="QN37" i="1"/>
  <c r="OR19" i="1"/>
  <c r="SN19" i="1"/>
  <c r="QP19" i="1"/>
  <c r="SM28" i="1"/>
  <c r="QO28" i="1"/>
  <c r="SN10" i="1"/>
  <c r="QP10" i="1"/>
  <c r="PX19" i="1"/>
  <c r="RV19" i="1"/>
  <c r="TT19" i="1"/>
  <c r="PH28" i="1"/>
  <c r="RF28" i="1"/>
  <c r="TD28" i="1"/>
  <c r="PX37" i="1"/>
  <c r="RV37" i="1"/>
  <c r="TT37" i="1"/>
  <c r="RU10" i="1"/>
  <c r="TS10" i="1"/>
  <c r="PH37" i="1"/>
  <c r="TD37" i="1"/>
  <c r="RF37" i="1"/>
  <c r="TC37" i="1"/>
  <c r="RE37" i="1"/>
  <c r="KW10" i="1"/>
  <c r="OQ10" i="1"/>
  <c r="MT10" i="1"/>
  <c r="KX10" i="1"/>
  <c r="OR10" i="1"/>
  <c r="MU10" i="1"/>
  <c r="NZ37" i="1"/>
  <c r="PW37" i="1"/>
  <c r="NJ37" i="1"/>
  <c r="PG37" i="1"/>
  <c r="MS37" i="1"/>
  <c r="OP37" i="1"/>
  <c r="NZ28" i="1"/>
  <c r="PW28" i="1"/>
  <c r="NJ28" i="1"/>
  <c r="PG28" i="1"/>
  <c r="MT28" i="1"/>
  <c r="OQ28" i="1"/>
  <c r="NZ19" i="1"/>
  <c r="PW19" i="1"/>
  <c r="NJ19" i="1"/>
  <c r="PG19" i="1"/>
  <c r="MT19" i="1"/>
  <c r="OQ19" i="1"/>
  <c r="NZ10" i="1"/>
  <c r="PW10" i="1"/>
  <c r="NJ10" i="1"/>
  <c r="PG10" i="1"/>
  <c r="MD37" i="1"/>
  <c r="OA37" i="1"/>
  <c r="LN37" i="1"/>
  <c r="NK37" i="1"/>
  <c r="KX37" i="1"/>
  <c r="MU37" i="1"/>
  <c r="MD28" i="1"/>
  <c r="OA28" i="1"/>
  <c r="LN28" i="1"/>
  <c r="NK28" i="1"/>
  <c r="KX28" i="1"/>
  <c r="MU28" i="1"/>
  <c r="MD19" i="1"/>
  <c r="OA19" i="1"/>
  <c r="LN19" i="1"/>
  <c r="NK19" i="1"/>
  <c r="KX19" i="1"/>
  <c r="MU19" i="1"/>
  <c r="MD10" i="1"/>
  <c r="OA10" i="1"/>
  <c r="LN10" i="1"/>
  <c r="NK10" i="1"/>
  <c r="KF28" i="1"/>
  <c r="MC28" i="1"/>
  <c r="KF37" i="1"/>
  <c r="MC37" i="1"/>
  <c r="JP37" i="1"/>
  <c r="LM37" i="1"/>
  <c r="IY37" i="1"/>
  <c r="KV37" i="1"/>
  <c r="JP28" i="1"/>
  <c r="LM28" i="1"/>
  <c r="IZ28" i="1"/>
  <c r="KW28" i="1"/>
  <c r="KF19" i="1"/>
  <c r="MC19" i="1"/>
  <c r="JP19" i="1"/>
  <c r="LM19" i="1"/>
  <c r="IZ19" i="1"/>
  <c r="KW19" i="1"/>
  <c r="KF10" i="1"/>
  <c r="MC10" i="1"/>
  <c r="JP10" i="1"/>
  <c r="LM10" i="1"/>
  <c r="HD10" i="1"/>
  <c r="JA10" i="1"/>
  <c r="FF10" i="1"/>
  <c r="HC10" i="1"/>
  <c r="IZ10" i="1"/>
  <c r="IJ19" i="1"/>
  <c r="KG19" i="1"/>
  <c r="IJ28" i="1"/>
  <c r="KG28" i="1"/>
  <c r="IJ37" i="1"/>
  <c r="KG37" i="1"/>
  <c r="HT37" i="1"/>
  <c r="JQ37" i="1"/>
  <c r="HT28" i="1"/>
  <c r="JQ28" i="1"/>
  <c r="IJ10" i="1"/>
  <c r="KG10" i="1"/>
  <c r="HT19" i="1"/>
  <c r="JQ19" i="1"/>
  <c r="HT10" i="1"/>
  <c r="JQ10" i="1"/>
  <c r="HD28" i="1"/>
  <c r="JA28" i="1"/>
  <c r="HD19" i="1"/>
  <c r="JA19" i="1"/>
  <c r="HD37" i="1"/>
  <c r="JA37" i="1"/>
  <c r="GL37" i="1"/>
  <c r="II37" i="1"/>
  <c r="FV37" i="1"/>
  <c r="HS37" i="1"/>
  <c r="FE37" i="1"/>
  <c r="HB37" i="1"/>
  <c r="GL28" i="1"/>
  <c r="II28" i="1"/>
  <c r="FV28" i="1"/>
  <c r="HS28" i="1"/>
  <c r="FF28" i="1"/>
  <c r="HC28" i="1"/>
  <c r="GL19" i="1"/>
  <c r="II19" i="1"/>
  <c r="FV19" i="1"/>
  <c r="HS19" i="1"/>
  <c r="FF19" i="1"/>
  <c r="HC19" i="1"/>
  <c r="GL10" i="1"/>
  <c r="II10" i="1"/>
  <c r="FV10" i="1"/>
  <c r="HS10" i="1"/>
  <c r="DK10" i="1"/>
  <c r="FG10" i="1"/>
  <c r="EQ37" i="1"/>
  <c r="GM37" i="1"/>
  <c r="EQ28" i="1"/>
  <c r="GM28" i="1"/>
  <c r="EQ19" i="1"/>
  <c r="GM19" i="1"/>
  <c r="EA37" i="1"/>
  <c r="FW37" i="1"/>
  <c r="EA28" i="1"/>
  <c r="FW28" i="1"/>
  <c r="DK37" i="1"/>
  <c r="FG37" i="1"/>
  <c r="DK28" i="1"/>
  <c r="FG28" i="1"/>
  <c r="DK19" i="1"/>
  <c r="FG19" i="1"/>
  <c r="EA19" i="1"/>
  <c r="FW19" i="1"/>
  <c r="EA10" i="1"/>
  <c r="FW10" i="1"/>
  <c r="EQ10" i="1"/>
  <c r="GM10" i="1"/>
  <c r="AF10" i="1"/>
  <c r="EB10" i="1" s="1"/>
  <c r="DI37" i="1"/>
  <c r="AV37" i="1"/>
  <c r="ER37" i="1" s="1"/>
  <c r="P37" i="1"/>
  <c r="DL37" i="1" s="1"/>
  <c r="AV10" i="1"/>
  <c r="ER10" i="1" s="1"/>
  <c r="AF19" i="1"/>
  <c r="EB19" i="1" s="1"/>
  <c r="EB37" i="1"/>
  <c r="P10" i="1"/>
  <c r="DL10" i="1" s="1"/>
  <c r="AF28" i="1"/>
  <c r="EB28" i="1" s="1"/>
  <c r="AV28" i="1"/>
  <c r="ER28" i="1" s="1"/>
  <c r="P19" i="1"/>
  <c r="DL19" i="1" s="1"/>
  <c r="P28" i="1"/>
  <c r="DL28" i="1" s="1"/>
  <c r="FE10" i="1"/>
  <c r="AV19" i="1"/>
  <c r="ER19" i="1" s="1"/>
  <c r="OT28" i="1" l="1"/>
  <c r="QR28" i="1"/>
  <c r="SP28" i="1"/>
  <c r="OT19" i="1"/>
  <c r="SP19" i="1"/>
  <c r="QR19" i="1"/>
  <c r="TU10" i="1"/>
  <c r="RW10" i="1"/>
  <c r="TE28" i="1"/>
  <c r="RG28" i="1"/>
  <c r="PZ28" i="1"/>
  <c r="TV28" i="1"/>
  <c r="RX28" i="1"/>
  <c r="PJ28" i="1"/>
  <c r="TF28" i="1"/>
  <c r="RH28" i="1"/>
  <c r="TE10" i="1"/>
  <c r="RG10" i="1"/>
  <c r="OT37" i="1"/>
  <c r="QR37" i="1"/>
  <c r="SP37" i="1"/>
  <c r="PZ19" i="1"/>
  <c r="TV19" i="1"/>
  <c r="RX19" i="1"/>
  <c r="QO37" i="1"/>
  <c r="SM37" i="1"/>
  <c r="PJ10" i="1"/>
  <c r="RH10" i="1"/>
  <c r="TF10" i="1"/>
  <c r="SO37" i="1"/>
  <c r="QQ37" i="1"/>
  <c r="SO10" i="1"/>
  <c r="QQ10" i="1"/>
  <c r="SP10" i="1"/>
  <c r="QR10" i="1"/>
  <c r="TE19" i="1"/>
  <c r="RG19" i="1"/>
  <c r="TU19" i="1"/>
  <c r="RW19" i="1"/>
  <c r="PJ19" i="1"/>
  <c r="RH19" i="1"/>
  <c r="TF19" i="1"/>
  <c r="PZ10" i="1"/>
  <c r="TV10" i="1"/>
  <c r="RX10" i="1"/>
  <c r="SO19" i="1"/>
  <c r="QQ19" i="1"/>
  <c r="TU28" i="1"/>
  <c r="RW28" i="1"/>
  <c r="PZ37" i="1"/>
  <c r="TV37" i="1"/>
  <c r="RX37" i="1"/>
  <c r="SO28" i="1"/>
  <c r="QQ28" i="1"/>
  <c r="TU37" i="1"/>
  <c r="RW37" i="1"/>
  <c r="TE37" i="1"/>
  <c r="RG37" i="1"/>
  <c r="PJ37" i="1"/>
  <c r="TF37" i="1"/>
  <c r="RH37" i="1"/>
  <c r="KY10" i="1"/>
  <c r="OS10" i="1"/>
  <c r="MV10" i="1"/>
  <c r="KZ10" i="1"/>
  <c r="MW10" i="1"/>
  <c r="OT10" i="1"/>
  <c r="OB37" i="1"/>
  <c r="PY37" i="1"/>
  <c r="NL37" i="1"/>
  <c r="PI37" i="1"/>
  <c r="MV37" i="1"/>
  <c r="OS37" i="1"/>
  <c r="MT37" i="1"/>
  <c r="OQ37" i="1"/>
  <c r="OB28" i="1"/>
  <c r="PY28" i="1"/>
  <c r="NL28" i="1"/>
  <c r="PI28" i="1"/>
  <c r="MV28" i="1"/>
  <c r="OS28" i="1"/>
  <c r="OB19" i="1"/>
  <c r="PY19" i="1"/>
  <c r="NL19" i="1"/>
  <c r="PI19" i="1"/>
  <c r="MV19" i="1"/>
  <c r="OS19" i="1"/>
  <c r="OB10" i="1"/>
  <c r="PY10" i="1"/>
  <c r="NL10" i="1"/>
  <c r="PI10" i="1"/>
  <c r="MF37" i="1"/>
  <c r="OC37" i="1"/>
  <c r="LP37" i="1"/>
  <c r="NM37" i="1"/>
  <c r="KZ37" i="1"/>
  <c r="MW37" i="1"/>
  <c r="MF28" i="1"/>
  <c r="OC28" i="1"/>
  <c r="LP28" i="1"/>
  <c r="NM28" i="1"/>
  <c r="KZ28" i="1"/>
  <c r="MW28" i="1"/>
  <c r="MF19" i="1"/>
  <c r="OC19" i="1"/>
  <c r="LP19" i="1"/>
  <c r="NM19" i="1"/>
  <c r="KZ19" i="1"/>
  <c r="MW19" i="1"/>
  <c r="MF10" i="1"/>
  <c r="OC10" i="1"/>
  <c r="LP10" i="1"/>
  <c r="NM10" i="1"/>
  <c r="KH28" i="1"/>
  <c r="ME28" i="1"/>
  <c r="KH37" i="1"/>
  <c r="ME37" i="1"/>
  <c r="JR37" i="1"/>
  <c r="LO37" i="1"/>
  <c r="JB37" i="1"/>
  <c r="KY37" i="1"/>
  <c r="IZ37" i="1"/>
  <c r="KW37" i="1"/>
  <c r="JR28" i="1"/>
  <c r="LO28" i="1"/>
  <c r="JB28" i="1"/>
  <c r="KY28" i="1"/>
  <c r="KH19" i="1"/>
  <c r="ME19" i="1"/>
  <c r="JR19" i="1"/>
  <c r="LO19" i="1"/>
  <c r="JB19" i="1"/>
  <c r="KY19" i="1"/>
  <c r="KH10" i="1"/>
  <c r="ME10" i="1"/>
  <c r="JR10" i="1"/>
  <c r="LO10" i="1"/>
  <c r="JC10" i="1"/>
  <c r="HF10" i="1"/>
  <c r="FH10" i="1"/>
  <c r="JB10" i="1"/>
  <c r="HE10" i="1"/>
  <c r="IL19" i="1"/>
  <c r="KI19" i="1"/>
  <c r="IL28" i="1"/>
  <c r="KI28" i="1"/>
  <c r="IL37" i="1"/>
  <c r="KI37" i="1"/>
  <c r="HV37" i="1"/>
  <c r="JS37" i="1"/>
  <c r="HV28" i="1"/>
  <c r="JS28" i="1"/>
  <c r="IL10" i="1"/>
  <c r="KI10" i="1"/>
  <c r="HV19" i="1"/>
  <c r="JS19" i="1"/>
  <c r="HV10" i="1"/>
  <c r="JS10" i="1"/>
  <c r="HF28" i="1"/>
  <c r="JC28" i="1"/>
  <c r="HF19" i="1"/>
  <c r="JC19" i="1"/>
  <c r="HF37" i="1"/>
  <c r="JC37" i="1"/>
  <c r="GN37" i="1"/>
  <c r="IK37" i="1"/>
  <c r="FX37" i="1"/>
  <c r="HU37" i="1"/>
  <c r="FH37" i="1"/>
  <c r="HE37" i="1"/>
  <c r="FF37" i="1"/>
  <c r="HC37" i="1"/>
  <c r="GN28" i="1"/>
  <c r="IK28" i="1"/>
  <c r="FX28" i="1"/>
  <c r="HU28" i="1"/>
  <c r="FH28" i="1"/>
  <c r="HE28" i="1"/>
  <c r="GN19" i="1"/>
  <c r="IK19" i="1"/>
  <c r="FX19" i="1"/>
  <c r="HU19" i="1"/>
  <c r="FH19" i="1"/>
  <c r="HE19" i="1"/>
  <c r="GN10" i="1"/>
  <c r="IK10" i="1"/>
  <c r="FX10" i="1"/>
  <c r="HU10" i="1"/>
  <c r="DM10" i="1"/>
  <c r="FI10" i="1"/>
  <c r="ES37" i="1"/>
  <c r="GO37" i="1"/>
  <c r="ES28" i="1"/>
  <c r="GO28" i="1"/>
  <c r="ES19" i="1"/>
  <c r="GO19" i="1"/>
  <c r="EC37" i="1"/>
  <c r="FY37" i="1"/>
  <c r="EC28" i="1"/>
  <c r="FY28" i="1"/>
  <c r="DM37" i="1"/>
  <c r="FI37" i="1"/>
  <c r="DM28" i="1"/>
  <c r="FI28" i="1"/>
  <c r="DM19" i="1"/>
  <c r="FI19" i="1"/>
  <c r="EC19" i="1"/>
  <c r="FY19" i="1"/>
  <c r="ES10" i="1"/>
  <c r="GO10" i="1"/>
  <c r="EC10" i="1"/>
  <c r="FY10" i="1"/>
  <c r="ED37" i="1"/>
  <c r="AX10" i="1"/>
  <c r="ET10" i="1" s="1"/>
  <c r="AX28" i="1"/>
  <c r="ET28" i="1" s="1"/>
  <c r="R37" i="1"/>
  <c r="DN37" i="1" s="1"/>
  <c r="R28" i="1"/>
  <c r="DN28" i="1" s="1"/>
  <c r="AH28" i="1"/>
  <c r="ED28" i="1" s="1"/>
  <c r="AX19" i="1"/>
  <c r="ET19" i="1" s="1"/>
  <c r="R19" i="1"/>
  <c r="DN19" i="1" s="1"/>
  <c r="R10" i="1"/>
  <c r="DN10" i="1" s="1"/>
  <c r="AX37" i="1"/>
  <c r="ET37" i="1" s="1"/>
  <c r="AH19" i="1"/>
  <c r="ED19" i="1" s="1"/>
  <c r="AH10" i="1"/>
  <c r="ED10" i="1" s="1"/>
  <c r="OV37" i="1" l="1"/>
  <c r="SR37" i="1"/>
  <c r="QT37" i="1"/>
  <c r="QB28" i="1"/>
  <c r="TX28" i="1"/>
  <c r="RZ28" i="1"/>
  <c r="SQ28" i="1"/>
  <c r="QS28" i="1"/>
  <c r="TW37" i="1"/>
  <c r="RY37" i="1"/>
  <c r="QB19" i="1"/>
  <c r="TX19" i="1"/>
  <c r="RZ19" i="1"/>
  <c r="TG19" i="1"/>
  <c r="RI19" i="1"/>
  <c r="TW19" i="1"/>
  <c r="RY19" i="1"/>
  <c r="OV28" i="1"/>
  <c r="SR28" i="1"/>
  <c r="QT28" i="1"/>
  <c r="SQ19" i="1"/>
  <c r="QS19" i="1"/>
  <c r="TW28" i="1"/>
  <c r="RY28" i="1"/>
  <c r="QB10" i="1"/>
  <c r="TX10" i="1"/>
  <c r="RZ10" i="1"/>
  <c r="SQ37" i="1"/>
  <c r="QS37" i="1"/>
  <c r="SQ10" i="1"/>
  <c r="QS10" i="1"/>
  <c r="PL10" i="1"/>
  <c r="TH10" i="1"/>
  <c r="RJ10" i="1"/>
  <c r="PL19" i="1"/>
  <c r="TH19" i="1"/>
  <c r="RJ19" i="1"/>
  <c r="TG10" i="1"/>
  <c r="RI10" i="1"/>
  <c r="TG28" i="1"/>
  <c r="RI28" i="1"/>
  <c r="QB37" i="1"/>
  <c r="TX37" i="1"/>
  <c r="RZ37" i="1"/>
  <c r="SR10" i="1"/>
  <c r="QT10" i="1"/>
  <c r="RY10" i="1"/>
  <c r="TW10" i="1"/>
  <c r="OV19" i="1"/>
  <c r="SR19" i="1"/>
  <c r="QT19" i="1"/>
  <c r="PL28" i="1"/>
  <c r="TH28" i="1"/>
  <c r="RJ28" i="1"/>
  <c r="TG37" i="1"/>
  <c r="RI37" i="1"/>
  <c r="PL37" i="1"/>
  <c r="RJ37" i="1"/>
  <c r="TH37" i="1"/>
  <c r="LB10" i="1"/>
  <c r="OV10" i="1"/>
  <c r="MY10" i="1"/>
  <c r="LA10" i="1"/>
  <c r="MX10" i="1"/>
  <c r="OU10" i="1"/>
  <c r="OD37" i="1"/>
  <c r="QA37" i="1"/>
  <c r="NN37" i="1"/>
  <c r="PK37" i="1"/>
  <c r="MX37" i="1"/>
  <c r="OU37" i="1"/>
  <c r="OD28" i="1"/>
  <c r="QA28" i="1"/>
  <c r="NN28" i="1"/>
  <c r="PK28" i="1"/>
  <c r="MX28" i="1"/>
  <c r="OU28" i="1"/>
  <c r="OD19" i="1"/>
  <c r="QA19" i="1"/>
  <c r="NN19" i="1"/>
  <c r="PK19" i="1"/>
  <c r="MX19" i="1"/>
  <c r="OU19" i="1"/>
  <c r="OD10" i="1"/>
  <c r="QA10" i="1"/>
  <c r="NN10" i="1"/>
  <c r="PK10" i="1"/>
  <c r="MH37" i="1"/>
  <c r="OE37" i="1"/>
  <c r="LR37" i="1"/>
  <c r="NO37" i="1"/>
  <c r="LB37" i="1"/>
  <c r="MY37" i="1"/>
  <c r="MH28" i="1"/>
  <c r="OE28" i="1"/>
  <c r="LR28" i="1"/>
  <c r="NO28" i="1"/>
  <c r="LB28" i="1"/>
  <c r="MY28" i="1"/>
  <c r="MH19" i="1"/>
  <c r="OE19" i="1"/>
  <c r="LR19" i="1"/>
  <c r="NO19" i="1"/>
  <c r="LB19" i="1"/>
  <c r="MY19" i="1"/>
  <c r="MH10" i="1"/>
  <c r="OE10" i="1"/>
  <c r="LR10" i="1"/>
  <c r="NO10" i="1"/>
  <c r="KJ28" i="1"/>
  <c r="MG28" i="1"/>
  <c r="KJ37" i="1"/>
  <c r="MG37" i="1"/>
  <c r="JT37" i="1"/>
  <c r="LQ37" i="1"/>
  <c r="JD37" i="1"/>
  <c r="LA37" i="1"/>
  <c r="JT28" i="1"/>
  <c r="LQ28" i="1"/>
  <c r="JD28" i="1"/>
  <c r="LA28" i="1"/>
  <c r="KJ19" i="1"/>
  <c r="MG19" i="1"/>
  <c r="JT19" i="1"/>
  <c r="LQ19" i="1"/>
  <c r="JD19" i="1"/>
  <c r="LA19" i="1"/>
  <c r="KJ10" i="1"/>
  <c r="MG10" i="1"/>
  <c r="JT10" i="1"/>
  <c r="LQ10" i="1"/>
  <c r="JE10" i="1"/>
  <c r="HH10" i="1"/>
  <c r="FJ10" i="1"/>
  <c r="JD10" i="1"/>
  <c r="HG10" i="1"/>
  <c r="IN19" i="1"/>
  <c r="KK19" i="1"/>
  <c r="IN28" i="1"/>
  <c r="KK28" i="1"/>
  <c r="IN37" i="1"/>
  <c r="KK37" i="1"/>
  <c r="HX37" i="1"/>
  <c r="JU37" i="1"/>
  <c r="HX28" i="1"/>
  <c r="JU28" i="1"/>
  <c r="IN10" i="1"/>
  <c r="KK10" i="1"/>
  <c r="HX19" i="1"/>
  <c r="JU19" i="1"/>
  <c r="HX10" i="1"/>
  <c r="JU10" i="1"/>
  <c r="HH28" i="1"/>
  <c r="JE28" i="1"/>
  <c r="HH19" i="1"/>
  <c r="JE19" i="1"/>
  <c r="HH37" i="1"/>
  <c r="JE37" i="1"/>
  <c r="GP37" i="1"/>
  <c r="IM37" i="1"/>
  <c r="FZ37" i="1"/>
  <c r="HW37" i="1"/>
  <c r="FJ37" i="1"/>
  <c r="HG37" i="1"/>
  <c r="GP28" i="1"/>
  <c r="IM28" i="1"/>
  <c r="FZ28" i="1"/>
  <c r="HW28" i="1"/>
  <c r="FJ28" i="1"/>
  <c r="HG28" i="1"/>
  <c r="GP19" i="1"/>
  <c r="IM19" i="1"/>
  <c r="FZ19" i="1"/>
  <c r="HW19" i="1"/>
  <c r="FJ19" i="1"/>
  <c r="HG19" i="1"/>
  <c r="GP10" i="1"/>
  <c r="IM10" i="1"/>
  <c r="FZ10" i="1"/>
  <c r="HW10" i="1"/>
  <c r="DO10" i="1"/>
  <c r="FK10" i="1"/>
  <c r="GQ37" i="1"/>
  <c r="EU37" i="1"/>
  <c r="EU28" i="1"/>
  <c r="GQ28" i="1"/>
  <c r="EU19" i="1"/>
  <c r="GQ19" i="1"/>
  <c r="EE37" i="1"/>
  <c r="GA37" i="1"/>
  <c r="EE28" i="1"/>
  <c r="GA28" i="1"/>
  <c r="FK37" i="1"/>
  <c r="DO37" i="1"/>
  <c r="DO28" i="1"/>
  <c r="FK28" i="1"/>
  <c r="EE19" i="1"/>
  <c r="GA19" i="1"/>
  <c r="DO19" i="1"/>
  <c r="FK19" i="1"/>
  <c r="EU10" i="1"/>
  <c r="GQ10" i="1"/>
  <c r="EE10" i="1"/>
  <c r="GA10" i="1"/>
  <c r="AZ19" i="1"/>
  <c r="EV19" i="1" s="1"/>
  <c r="AJ28" i="1"/>
  <c r="EF28" i="1" s="1"/>
  <c r="T28" i="1"/>
  <c r="DP28" i="1" s="1"/>
  <c r="T37" i="1"/>
  <c r="DP37" i="1" s="1"/>
  <c r="AJ10" i="1"/>
  <c r="EF10" i="1" s="1"/>
  <c r="AZ37" i="1"/>
  <c r="EV37" i="1" s="1"/>
  <c r="AJ19" i="1"/>
  <c r="EF19" i="1" s="1"/>
  <c r="T10" i="1"/>
  <c r="DP10" i="1" s="1"/>
  <c r="AZ28" i="1"/>
  <c r="EV28" i="1" s="1"/>
  <c r="AZ10" i="1"/>
  <c r="EV10" i="1" s="1"/>
  <c r="EF37" i="1"/>
  <c r="T19" i="1"/>
  <c r="DP19" i="1" s="1"/>
  <c r="OX19" i="1" l="1"/>
  <c r="ST19" i="1"/>
  <c r="QV19" i="1"/>
  <c r="QD10" i="1"/>
  <c r="TZ10" i="1"/>
  <c r="SB10" i="1"/>
  <c r="SS10" i="1"/>
  <c r="QU10" i="1"/>
  <c r="TI10" i="1"/>
  <c r="RK10" i="1"/>
  <c r="TI28" i="1"/>
  <c r="RK28" i="1"/>
  <c r="PN19" i="1"/>
  <c r="TJ19" i="1"/>
  <c r="RL19" i="1"/>
  <c r="SS19" i="1"/>
  <c r="QU19" i="1"/>
  <c r="TY19" i="1"/>
  <c r="SA19" i="1"/>
  <c r="QD28" i="1"/>
  <c r="TZ28" i="1"/>
  <c r="SB28" i="1"/>
  <c r="TY10" i="1"/>
  <c r="SA10" i="1"/>
  <c r="ST10" i="1"/>
  <c r="QV10" i="1"/>
  <c r="QD37" i="1"/>
  <c r="TZ37" i="1"/>
  <c r="SB37" i="1"/>
  <c r="OX37" i="1"/>
  <c r="ST37" i="1"/>
  <c r="QV37" i="1"/>
  <c r="TY37" i="1"/>
  <c r="SA37" i="1"/>
  <c r="PN10" i="1"/>
  <c r="TJ10" i="1"/>
  <c r="RL10" i="1"/>
  <c r="TI19" i="1"/>
  <c r="RK19" i="1"/>
  <c r="TY28" i="1"/>
  <c r="SA28" i="1"/>
  <c r="OX28" i="1"/>
  <c r="ST28" i="1"/>
  <c r="QV28" i="1"/>
  <c r="SS28" i="1"/>
  <c r="QU28" i="1"/>
  <c r="PN28" i="1"/>
  <c r="TJ28" i="1"/>
  <c r="RL28" i="1"/>
  <c r="SS37" i="1"/>
  <c r="QU37" i="1"/>
  <c r="QD19" i="1"/>
  <c r="TZ19" i="1"/>
  <c r="SB19" i="1"/>
  <c r="TI37" i="1"/>
  <c r="RK37" i="1"/>
  <c r="PN37" i="1"/>
  <c r="RL37" i="1"/>
  <c r="TJ37" i="1"/>
  <c r="LC10" i="1"/>
  <c r="OW10" i="1"/>
  <c r="MZ10" i="1"/>
  <c r="LD10" i="1"/>
  <c r="OX10" i="1"/>
  <c r="NA10" i="1"/>
  <c r="OF37" i="1"/>
  <c r="QC37" i="1"/>
  <c r="NP37" i="1"/>
  <c r="PM37" i="1"/>
  <c r="MZ37" i="1"/>
  <c r="OW37" i="1"/>
  <c r="OF28" i="1"/>
  <c r="QC28" i="1"/>
  <c r="NP28" i="1"/>
  <c r="PM28" i="1"/>
  <c r="MZ28" i="1"/>
  <c r="OW28" i="1"/>
  <c r="OF19" i="1"/>
  <c r="QC19" i="1"/>
  <c r="NP19" i="1"/>
  <c r="PM19" i="1"/>
  <c r="MZ19" i="1"/>
  <c r="OW19" i="1"/>
  <c r="OF10" i="1"/>
  <c r="QC10" i="1"/>
  <c r="NP10" i="1"/>
  <c r="PM10" i="1"/>
  <c r="MJ37" i="1"/>
  <c r="OG37" i="1"/>
  <c r="LT37" i="1"/>
  <c r="NQ37" i="1"/>
  <c r="LD37" i="1"/>
  <c r="NA37" i="1"/>
  <c r="MJ28" i="1"/>
  <c r="OG28" i="1"/>
  <c r="LT28" i="1"/>
  <c r="NQ28" i="1"/>
  <c r="LD28" i="1"/>
  <c r="NA28" i="1"/>
  <c r="MJ19" i="1"/>
  <c r="OG19" i="1"/>
  <c r="LT19" i="1"/>
  <c r="NQ19" i="1"/>
  <c r="LD19" i="1"/>
  <c r="NA19" i="1"/>
  <c r="MJ10" i="1"/>
  <c r="OG10" i="1"/>
  <c r="LT10" i="1"/>
  <c r="NQ10" i="1"/>
  <c r="KL28" i="1"/>
  <c r="MI28" i="1"/>
  <c r="KL37" i="1"/>
  <c r="MI37" i="1"/>
  <c r="JV37" i="1"/>
  <c r="LS37" i="1"/>
  <c r="JF37" i="1"/>
  <c r="LC37" i="1"/>
  <c r="JV28" i="1"/>
  <c r="LS28" i="1"/>
  <c r="JF28" i="1"/>
  <c r="LC28" i="1"/>
  <c r="KL19" i="1"/>
  <c r="MI19" i="1"/>
  <c r="JV19" i="1"/>
  <c r="LS19" i="1"/>
  <c r="JF19" i="1"/>
  <c r="LC19" i="1"/>
  <c r="KL10" i="1"/>
  <c r="MI10" i="1"/>
  <c r="JV10" i="1"/>
  <c r="LS10" i="1"/>
  <c r="HJ10" i="1"/>
  <c r="JG10" i="1"/>
  <c r="FL10" i="1"/>
  <c r="HI10" i="1"/>
  <c r="JF10" i="1"/>
  <c r="IP19" i="1"/>
  <c r="KM19" i="1"/>
  <c r="IP28" i="1"/>
  <c r="KM28" i="1"/>
  <c r="IP37" i="1"/>
  <c r="KM37" i="1"/>
  <c r="HZ37" i="1"/>
  <c r="JW37" i="1"/>
  <c r="HZ28" i="1"/>
  <c r="JW28" i="1"/>
  <c r="IP10" i="1"/>
  <c r="KM10" i="1"/>
  <c r="HZ19" i="1"/>
  <c r="JW19" i="1"/>
  <c r="HZ10" i="1"/>
  <c r="JW10" i="1"/>
  <c r="HJ28" i="1"/>
  <c r="JG28" i="1"/>
  <c r="HJ19" i="1"/>
  <c r="JG19" i="1"/>
  <c r="HJ37" i="1"/>
  <c r="JG37" i="1"/>
  <c r="GR37" i="1"/>
  <c r="IO37" i="1"/>
  <c r="GB37" i="1"/>
  <c r="HY37" i="1"/>
  <c r="FL37" i="1"/>
  <c r="HI37" i="1"/>
  <c r="GR28" i="1"/>
  <c r="IO28" i="1"/>
  <c r="GB28" i="1"/>
  <c r="HY28" i="1"/>
  <c r="FL28" i="1"/>
  <c r="HI28" i="1"/>
  <c r="GR19" i="1"/>
  <c r="IO19" i="1"/>
  <c r="GB19" i="1"/>
  <c r="HY19" i="1"/>
  <c r="FL19" i="1"/>
  <c r="HI19" i="1"/>
  <c r="GR10" i="1"/>
  <c r="IO10" i="1"/>
  <c r="GB10" i="1"/>
  <c r="HY10" i="1"/>
  <c r="FM10" i="1"/>
  <c r="DQ10" i="1"/>
  <c r="GS37" i="1"/>
  <c r="EW37" i="1"/>
  <c r="EW28" i="1"/>
  <c r="GS28" i="1"/>
  <c r="GS19" i="1"/>
  <c r="EW19" i="1"/>
  <c r="EG37" i="1"/>
  <c r="GC37" i="1"/>
  <c r="GC28" i="1"/>
  <c r="EG28" i="1"/>
  <c r="FM37" i="1"/>
  <c r="DQ37" i="1"/>
  <c r="DQ28" i="1"/>
  <c r="FM28" i="1"/>
  <c r="DQ19" i="1"/>
  <c r="FM19" i="1"/>
  <c r="EG19" i="1"/>
  <c r="GC19" i="1"/>
  <c r="EW10" i="1"/>
  <c r="GS10" i="1"/>
  <c r="EG10" i="1"/>
  <c r="GC10" i="1"/>
  <c r="V19" i="1"/>
  <c r="DR19" i="1" s="1"/>
  <c r="BB10" i="1"/>
  <c r="EX10" i="1" s="1"/>
  <c r="BB28" i="1"/>
  <c r="EX28" i="1" s="1"/>
  <c r="EH37" i="1"/>
  <c r="V10" i="1"/>
  <c r="DR10" i="1" s="1"/>
  <c r="BB37" i="1"/>
  <c r="EX37" i="1" s="1"/>
  <c r="V37" i="1"/>
  <c r="DR37" i="1" s="1"/>
  <c r="AL28" i="1"/>
  <c r="EH28" i="1" s="1"/>
  <c r="AL19" i="1"/>
  <c r="EH19" i="1" s="1"/>
  <c r="AL10" i="1"/>
  <c r="EH10" i="1" s="1"/>
  <c r="V28" i="1"/>
  <c r="DR28" i="1" s="1"/>
  <c r="BB19" i="1"/>
  <c r="EX19" i="1" s="1"/>
  <c r="QF19" i="1" l="1"/>
  <c r="UB19" i="1"/>
  <c r="SD19" i="1"/>
  <c r="TK28" i="1"/>
  <c r="RM28" i="1"/>
  <c r="OZ37" i="1"/>
  <c r="QX37" i="1"/>
  <c r="SV37" i="1"/>
  <c r="TK19" i="1"/>
  <c r="RM19" i="1"/>
  <c r="QF37" i="1"/>
  <c r="UB37" i="1"/>
  <c r="SD37" i="1"/>
  <c r="OZ28" i="1"/>
  <c r="SV28" i="1"/>
  <c r="QX28" i="1"/>
  <c r="TK10" i="1"/>
  <c r="RM10" i="1"/>
  <c r="PP10" i="1"/>
  <c r="TL10" i="1"/>
  <c r="RN10" i="1"/>
  <c r="PP19" i="1"/>
  <c r="TL19" i="1"/>
  <c r="RN19" i="1"/>
  <c r="UA10" i="1"/>
  <c r="SC10" i="1"/>
  <c r="PP28" i="1"/>
  <c r="RN28" i="1"/>
  <c r="TL28" i="1"/>
  <c r="UA19" i="1"/>
  <c r="SC19" i="1"/>
  <c r="UA37" i="1"/>
  <c r="SC37" i="1"/>
  <c r="QF10" i="1"/>
  <c r="UB10" i="1"/>
  <c r="SD10" i="1"/>
  <c r="SU37" i="1"/>
  <c r="QW37" i="1"/>
  <c r="QW10" i="1"/>
  <c r="SU10" i="1"/>
  <c r="SV10" i="1"/>
  <c r="QX10" i="1"/>
  <c r="SU19" i="1"/>
  <c r="QW19" i="1"/>
  <c r="UA28" i="1"/>
  <c r="SC28" i="1"/>
  <c r="QF28" i="1"/>
  <c r="UB28" i="1"/>
  <c r="SD28" i="1"/>
  <c r="SU28" i="1"/>
  <c r="QW28" i="1"/>
  <c r="OZ19" i="1"/>
  <c r="SV19" i="1"/>
  <c r="QX19" i="1"/>
  <c r="PP37" i="1"/>
  <c r="TL37" i="1"/>
  <c r="RN37" i="1"/>
  <c r="RM37" i="1"/>
  <c r="TK37" i="1"/>
  <c r="LF10" i="1"/>
  <c r="NC10" i="1"/>
  <c r="OZ10" i="1"/>
  <c r="LE10" i="1"/>
  <c r="OY10" i="1"/>
  <c r="NB10" i="1"/>
  <c r="OH37" i="1"/>
  <c r="QE37" i="1"/>
  <c r="NR37" i="1"/>
  <c r="PO37" i="1"/>
  <c r="NB37" i="1"/>
  <c r="OY37" i="1"/>
  <c r="OH28" i="1"/>
  <c r="QE28" i="1"/>
  <c r="NR28" i="1"/>
  <c r="PO28" i="1"/>
  <c r="NB28" i="1"/>
  <c r="OY28" i="1"/>
  <c r="OH19" i="1"/>
  <c r="QE19" i="1"/>
  <c r="NR19" i="1"/>
  <c r="PO19" i="1"/>
  <c r="NB19" i="1"/>
  <c r="OY19" i="1"/>
  <c r="OH10" i="1"/>
  <c r="QE10" i="1"/>
  <c r="NR10" i="1"/>
  <c r="PO10" i="1"/>
  <c r="ML37" i="1"/>
  <c r="OI37" i="1"/>
  <c r="LV37" i="1"/>
  <c r="NS37" i="1"/>
  <c r="LF37" i="1"/>
  <c r="NC37" i="1"/>
  <c r="ML28" i="1"/>
  <c r="OI28" i="1"/>
  <c r="LV28" i="1"/>
  <c r="NS28" i="1"/>
  <c r="LF28" i="1"/>
  <c r="NC28" i="1"/>
  <c r="ML19" i="1"/>
  <c r="OI19" i="1"/>
  <c r="LV19" i="1"/>
  <c r="NS19" i="1"/>
  <c r="LF19" i="1"/>
  <c r="NC19" i="1"/>
  <c r="ML10" i="1"/>
  <c r="OI10" i="1"/>
  <c r="LV10" i="1"/>
  <c r="NS10" i="1"/>
  <c r="KN28" i="1"/>
  <c r="MK28" i="1"/>
  <c r="KN37" i="1"/>
  <c r="MK37" i="1"/>
  <c r="JX37" i="1"/>
  <c r="LU37" i="1"/>
  <c r="JH37" i="1"/>
  <c r="LE37" i="1"/>
  <c r="JX28" i="1"/>
  <c r="LU28" i="1"/>
  <c r="JH28" i="1"/>
  <c r="LE28" i="1"/>
  <c r="KN19" i="1"/>
  <c r="MK19" i="1"/>
  <c r="JX19" i="1"/>
  <c r="LU19" i="1"/>
  <c r="JH19" i="1"/>
  <c r="LE19" i="1"/>
  <c r="KN10" i="1"/>
  <c r="MK10" i="1"/>
  <c r="JX10" i="1"/>
  <c r="LU10" i="1"/>
  <c r="HL10" i="1"/>
  <c r="JI10" i="1"/>
  <c r="FN10" i="1"/>
  <c r="HK10" i="1"/>
  <c r="JH10" i="1"/>
  <c r="IR19" i="1"/>
  <c r="KO19" i="1"/>
  <c r="IR28" i="1"/>
  <c r="KO28" i="1"/>
  <c r="IR37" i="1"/>
  <c r="KO37" i="1"/>
  <c r="IB37" i="1"/>
  <c r="JY37" i="1"/>
  <c r="IB28" i="1"/>
  <c r="JY28" i="1"/>
  <c r="IR10" i="1"/>
  <c r="KO10" i="1"/>
  <c r="IB19" i="1"/>
  <c r="JY19" i="1"/>
  <c r="IB10" i="1"/>
  <c r="JY10" i="1"/>
  <c r="HL28" i="1"/>
  <c r="JI28" i="1"/>
  <c r="HL19" i="1"/>
  <c r="JI19" i="1"/>
  <c r="HL37" i="1"/>
  <c r="JI37" i="1"/>
  <c r="GT37" i="1"/>
  <c r="IQ37" i="1"/>
  <c r="GD37" i="1"/>
  <c r="IA37" i="1"/>
  <c r="FN37" i="1"/>
  <c r="HK37" i="1"/>
  <c r="GT28" i="1"/>
  <c r="IQ28" i="1"/>
  <c r="GD28" i="1"/>
  <c r="IA28" i="1"/>
  <c r="FN28" i="1"/>
  <c r="HK28" i="1"/>
  <c r="GT19" i="1"/>
  <c r="IQ19" i="1"/>
  <c r="GD19" i="1"/>
  <c r="IA19" i="1"/>
  <c r="FN19" i="1"/>
  <c r="HK19" i="1"/>
  <c r="GT10" i="1"/>
  <c r="IQ10" i="1"/>
  <c r="GD10" i="1"/>
  <c r="IA10" i="1"/>
  <c r="DS10" i="1"/>
  <c r="FO10" i="1"/>
  <c r="EY37" i="1"/>
  <c r="GU37" i="1"/>
  <c r="EY28" i="1"/>
  <c r="GU28" i="1"/>
  <c r="EY19" i="1"/>
  <c r="GU19" i="1"/>
  <c r="EI37" i="1"/>
  <c r="GE37" i="1"/>
  <c r="EI28" i="1"/>
  <c r="GE28" i="1"/>
  <c r="FO37" i="1"/>
  <c r="DS37" i="1"/>
  <c r="DS28" i="1"/>
  <c r="FO28" i="1"/>
  <c r="EI19" i="1"/>
  <c r="GE19" i="1"/>
  <c r="DS19" i="1"/>
  <c r="FO19" i="1"/>
  <c r="EI10" i="1"/>
  <c r="GE10" i="1"/>
  <c r="EY10" i="1"/>
  <c r="GU10" i="1"/>
  <c r="AN28" i="1"/>
  <c r="EJ28" i="1" s="1"/>
  <c r="EJ37" i="1"/>
  <c r="BD19" i="1"/>
  <c r="EZ19" i="1" s="1"/>
  <c r="BD37" i="1"/>
  <c r="EZ37" i="1" s="1"/>
  <c r="BD10" i="1"/>
  <c r="EZ10" i="1" s="1"/>
  <c r="X28" i="1"/>
  <c r="DT28" i="1" s="1"/>
  <c r="X37" i="1"/>
  <c r="DT37" i="1" s="1"/>
  <c r="AN10" i="1"/>
  <c r="EJ10" i="1" s="1"/>
  <c r="AN19" i="1"/>
  <c r="EJ19" i="1" s="1"/>
  <c r="X10" i="1"/>
  <c r="DT10" i="1" s="1"/>
  <c r="BD28" i="1"/>
  <c r="EZ28" i="1" s="1"/>
  <c r="X19" i="1"/>
  <c r="DT19" i="1" s="1"/>
  <c r="SW37" i="1" l="1"/>
  <c r="QY37" i="1"/>
  <c r="PR28" i="1"/>
  <c r="TN28" i="1"/>
  <c r="RP28" i="1"/>
  <c r="SW10" i="1"/>
  <c r="QY10" i="1"/>
  <c r="PB19" i="1"/>
  <c r="SX19" i="1"/>
  <c r="QZ19" i="1"/>
  <c r="PR19" i="1"/>
  <c r="TN19" i="1"/>
  <c r="RP19" i="1"/>
  <c r="TM10" i="1"/>
  <c r="RO10" i="1"/>
  <c r="QH19" i="1"/>
  <c r="UD19" i="1"/>
  <c r="SF19" i="1"/>
  <c r="QY28" i="1"/>
  <c r="SW28" i="1"/>
  <c r="UC37" i="1"/>
  <c r="SE37" i="1"/>
  <c r="QH28" i="1"/>
  <c r="SF28" i="1"/>
  <c r="UD28" i="1"/>
  <c r="SE10" i="1"/>
  <c r="UC10" i="1"/>
  <c r="TM28" i="1"/>
  <c r="RO28" i="1"/>
  <c r="SX10" i="1"/>
  <c r="QZ10" i="1"/>
  <c r="PR10" i="1"/>
  <c r="TN10" i="1"/>
  <c r="RP10" i="1"/>
  <c r="PB37" i="1"/>
  <c r="SX37" i="1"/>
  <c r="QZ37" i="1"/>
  <c r="SW19" i="1"/>
  <c r="QY19" i="1"/>
  <c r="UC19" i="1"/>
  <c r="SE19" i="1"/>
  <c r="PB28" i="1"/>
  <c r="SX28" i="1"/>
  <c r="QZ28" i="1"/>
  <c r="QH10" i="1"/>
  <c r="UD10" i="1"/>
  <c r="SF10" i="1"/>
  <c r="TM19" i="1"/>
  <c r="RO19" i="1"/>
  <c r="UC28" i="1"/>
  <c r="SE28" i="1"/>
  <c r="QH37" i="1"/>
  <c r="SF37" i="1"/>
  <c r="UD37" i="1"/>
  <c r="PR37" i="1"/>
  <c r="TN37" i="1"/>
  <c r="RP37" i="1"/>
  <c r="TM37" i="1"/>
  <c r="RO37" i="1"/>
  <c r="LH10" i="1"/>
  <c r="NE10" i="1"/>
  <c r="PB10" i="1"/>
  <c r="LG10" i="1"/>
  <c r="PA10" i="1"/>
  <c r="ND10" i="1"/>
  <c r="OJ37" i="1"/>
  <c r="QG37" i="1"/>
  <c r="NT37" i="1"/>
  <c r="PQ37" i="1"/>
  <c r="ND37" i="1"/>
  <c r="PA37" i="1"/>
  <c r="OJ28" i="1"/>
  <c r="QG28" i="1"/>
  <c r="NT28" i="1"/>
  <c r="PQ28" i="1"/>
  <c r="ND28" i="1"/>
  <c r="PA28" i="1"/>
  <c r="OJ19" i="1"/>
  <c r="QG19" i="1"/>
  <c r="NT19" i="1"/>
  <c r="PQ19" i="1"/>
  <c r="ND19" i="1"/>
  <c r="PA19" i="1"/>
  <c r="OJ10" i="1"/>
  <c r="QG10" i="1"/>
  <c r="NT10" i="1"/>
  <c r="PQ10" i="1"/>
  <c r="MN37" i="1"/>
  <c r="OK37" i="1"/>
  <c r="LX37" i="1"/>
  <c r="NU37" i="1"/>
  <c r="LH37" i="1"/>
  <c r="NE37" i="1"/>
  <c r="MN28" i="1"/>
  <c r="OK28" i="1"/>
  <c r="LX28" i="1"/>
  <c r="NU28" i="1"/>
  <c r="LH28" i="1"/>
  <c r="NE28" i="1"/>
  <c r="MN19" i="1"/>
  <c r="OK19" i="1"/>
  <c r="LX19" i="1"/>
  <c r="NU19" i="1"/>
  <c r="LH19" i="1"/>
  <c r="NE19" i="1"/>
  <c r="MN10" i="1"/>
  <c r="OK10" i="1"/>
  <c r="LX10" i="1"/>
  <c r="NU10" i="1"/>
  <c r="KP28" i="1"/>
  <c r="MM28" i="1"/>
  <c r="KP37" i="1"/>
  <c r="MM37" i="1"/>
  <c r="JZ37" i="1"/>
  <c r="LW37" i="1"/>
  <c r="JJ37" i="1"/>
  <c r="LG37" i="1"/>
  <c r="JZ28" i="1"/>
  <c r="LW28" i="1"/>
  <c r="JJ28" i="1"/>
  <c r="LG28" i="1"/>
  <c r="KP19" i="1"/>
  <c r="MM19" i="1"/>
  <c r="JZ19" i="1"/>
  <c r="LW19" i="1"/>
  <c r="JJ19" i="1"/>
  <c r="LG19" i="1"/>
  <c r="KP10" i="1"/>
  <c r="MM10" i="1"/>
  <c r="JZ10" i="1"/>
  <c r="LW10" i="1"/>
  <c r="JK10" i="1"/>
  <c r="HN10" i="1"/>
  <c r="FP10" i="1"/>
  <c r="JJ10" i="1"/>
  <c r="HM10" i="1"/>
  <c r="IT19" i="1"/>
  <c r="KQ19" i="1"/>
  <c r="IT28" i="1"/>
  <c r="KQ28" i="1"/>
  <c r="IT37" i="1"/>
  <c r="KQ37" i="1"/>
  <c r="ID37" i="1"/>
  <c r="KA37" i="1"/>
  <c r="ID28" i="1"/>
  <c r="KA28" i="1"/>
  <c r="IT10" i="1"/>
  <c r="KQ10" i="1"/>
  <c r="ID19" i="1"/>
  <c r="KA19" i="1"/>
  <c r="ID10" i="1"/>
  <c r="KA10" i="1"/>
  <c r="HN28" i="1"/>
  <c r="JK28" i="1"/>
  <c r="HN19" i="1"/>
  <c r="JK19" i="1"/>
  <c r="HN37" i="1"/>
  <c r="JK37" i="1"/>
  <c r="GV37" i="1"/>
  <c r="IS37" i="1"/>
  <c r="GF37" i="1"/>
  <c r="IC37" i="1"/>
  <c r="FP37" i="1"/>
  <c r="HM37" i="1"/>
  <c r="GV28" i="1"/>
  <c r="IS28" i="1"/>
  <c r="GF28" i="1"/>
  <c r="IC28" i="1"/>
  <c r="FP28" i="1"/>
  <c r="HM28" i="1"/>
  <c r="GV19" i="1"/>
  <c r="IS19" i="1"/>
  <c r="GF19" i="1"/>
  <c r="IC19" i="1"/>
  <c r="FP19" i="1"/>
  <c r="HM19" i="1"/>
  <c r="GV10" i="1"/>
  <c r="IS10" i="1"/>
  <c r="GF10" i="1"/>
  <c r="IC10" i="1"/>
  <c r="DU10" i="1"/>
  <c r="FQ10" i="1"/>
  <c r="FA37" i="1"/>
  <c r="GW37" i="1"/>
  <c r="FA28" i="1"/>
  <c r="GW28" i="1"/>
  <c r="FA19" i="1"/>
  <c r="GW19" i="1"/>
  <c r="EK37" i="1"/>
  <c r="GG37" i="1"/>
  <c r="EK28" i="1"/>
  <c r="GG28" i="1"/>
  <c r="DU37" i="1"/>
  <c r="FQ37" i="1"/>
  <c r="DU28" i="1"/>
  <c r="FQ28" i="1"/>
  <c r="EK19" i="1"/>
  <c r="GG19" i="1"/>
  <c r="DU19" i="1"/>
  <c r="FQ19" i="1"/>
  <c r="EK10" i="1"/>
  <c r="GG10" i="1"/>
  <c r="FA10" i="1"/>
  <c r="GW10" i="1"/>
  <c r="AB38" i="1"/>
  <c r="DX38" i="1" s="1"/>
  <c r="L20" i="1"/>
  <c r="DH20" i="1" s="1"/>
  <c r="AR29" i="1"/>
  <c r="EN29" i="1" s="1"/>
  <c r="AB11" i="1"/>
  <c r="DX11" i="1" s="1"/>
  <c r="AR11" i="1"/>
  <c r="EN11" i="1" s="1"/>
  <c r="AB29" i="1"/>
  <c r="DX29" i="1" s="1"/>
  <c r="AR38" i="1"/>
  <c r="EN38" i="1" s="1"/>
  <c r="AR20" i="1"/>
  <c r="EN20" i="1" s="1"/>
  <c r="L11" i="1"/>
  <c r="DH11" i="1" s="1"/>
  <c r="AB20" i="1"/>
  <c r="DX20" i="1" s="1"/>
  <c r="L38" i="1"/>
  <c r="L29" i="1"/>
  <c r="DH29" i="1" s="1"/>
  <c r="PV29" i="1" l="1"/>
  <c r="RT29" i="1"/>
  <c r="TR29" i="1"/>
  <c r="SY28" i="1"/>
  <c r="RA28" i="1"/>
  <c r="SG37" i="1"/>
  <c r="UE37" i="1"/>
  <c r="RA37" i="1"/>
  <c r="SY37" i="1"/>
  <c r="RA10" i="1"/>
  <c r="SY10" i="1"/>
  <c r="OP29" i="1"/>
  <c r="SL29" i="1"/>
  <c r="QN29" i="1"/>
  <c r="PF20" i="1"/>
  <c r="TB20" i="1"/>
  <c r="RD20" i="1"/>
  <c r="OP11" i="1"/>
  <c r="QN11" i="1"/>
  <c r="SL11" i="1"/>
  <c r="TO10" i="1"/>
  <c r="RQ10" i="1"/>
  <c r="UE10" i="1"/>
  <c r="SG10" i="1"/>
  <c r="TO28" i="1"/>
  <c r="RQ28" i="1"/>
  <c r="PF29" i="1"/>
  <c r="TB29" i="1"/>
  <c r="RD29" i="1"/>
  <c r="PV11" i="1"/>
  <c r="RT11" i="1"/>
  <c r="TR11" i="1"/>
  <c r="RQ19" i="1"/>
  <c r="TO19" i="1"/>
  <c r="UE28" i="1"/>
  <c r="SG28" i="1"/>
  <c r="PF11" i="1"/>
  <c r="TB11" i="1"/>
  <c r="RD11" i="1"/>
  <c r="PV20" i="1"/>
  <c r="RT20" i="1"/>
  <c r="TR20" i="1"/>
  <c r="PV38" i="1"/>
  <c r="TR38" i="1"/>
  <c r="RT38" i="1"/>
  <c r="SY19" i="1"/>
  <c r="RA19" i="1"/>
  <c r="UE19" i="1"/>
  <c r="SG19" i="1"/>
  <c r="OP20" i="1"/>
  <c r="SL20" i="1"/>
  <c r="QN20" i="1"/>
  <c r="PF38" i="1"/>
  <c r="RD38" i="1"/>
  <c r="TB38" i="1"/>
  <c r="TO37" i="1"/>
  <c r="RQ37" i="1"/>
  <c r="LI10" i="1"/>
  <c r="NF10" i="1"/>
  <c r="PC10" i="1"/>
  <c r="KV11" i="1"/>
  <c r="MS11" i="1"/>
  <c r="OL37" i="1"/>
  <c r="QI37" i="1"/>
  <c r="NV37" i="1"/>
  <c r="PS37" i="1"/>
  <c r="NF37" i="1"/>
  <c r="PC37" i="1"/>
  <c r="OL28" i="1"/>
  <c r="QI28" i="1"/>
  <c r="NV28" i="1"/>
  <c r="PS28" i="1"/>
  <c r="NF28" i="1"/>
  <c r="PC28" i="1"/>
  <c r="OL19" i="1"/>
  <c r="QI19" i="1"/>
  <c r="NV19" i="1"/>
  <c r="PS19" i="1"/>
  <c r="NF19" i="1"/>
  <c r="PC19" i="1"/>
  <c r="OL10" i="1"/>
  <c r="QI10" i="1"/>
  <c r="NV10" i="1"/>
  <c r="PS10" i="1"/>
  <c r="MB38" i="1"/>
  <c r="NY38" i="1"/>
  <c r="LL38" i="1"/>
  <c r="NI38" i="1"/>
  <c r="MB29" i="1"/>
  <c r="NY29" i="1"/>
  <c r="LL29" i="1"/>
  <c r="NI29" i="1"/>
  <c r="KV29" i="1"/>
  <c r="MS29" i="1"/>
  <c r="MB20" i="1"/>
  <c r="NY20" i="1"/>
  <c r="LL20" i="1"/>
  <c r="NI20" i="1"/>
  <c r="KV20" i="1"/>
  <c r="MS20" i="1"/>
  <c r="MB11" i="1"/>
  <c r="NY11" i="1"/>
  <c r="LL11" i="1"/>
  <c r="NI11" i="1"/>
  <c r="KR28" i="1"/>
  <c r="MO28" i="1"/>
  <c r="KR37" i="1"/>
  <c r="MO37" i="1"/>
  <c r="KB37" i="1"/>
  <c r="LY37" i="1"/>
  <c r="JL37" i="1"/>
  <c r="LI37" i="1"/>
  <c r="KB28" i="1"/>
  <c r="LY28" i="1"/>
  <c r="JL28" i="1"/>
  <c r="LI28" i="1"/>
  <c r="KR19" i="1"/>
  <c r="MO19" i="1"/>
  <c r="KB19" i="1"/>
  <c r="LY19" i="1"/>
  <c r="JL19" i="1"/>
  <c r="LI19" i="1"/>
  <c r="KR10" i="1"/>
  <c r="MO10" i="1"/>
  <c r="KB10" i="1"/>
  <c r="LY10" i="1"/>
  <c r="HB11" i="1"/>
  <c r="IY11" i="1"/>
  <c r="FR10" i="1"/>
  <c r="JL10" i="1"/>
  <c r="HO10" i="1"/>
  <c r="IH20" i="1"/>
  <c r="KE20" i="1"/>
  <c r="IH29" i="1"/>
  <c r="KE29" i="1"/>
  <c r="IH38" i="1"/>
  <c r="KE38" i="1"/>
  <c r="HR38" i="1"/>
  <c r="JO38" i="1"/>
  <c r="HR29" i="1"/>
  <c r="JO29" i="1"/>
  <c r="IH11" i="1"/>
  <c r="KE11" i="1"/>
  <c r="HR20" i="1"/>
  <c r="JO20" i="1"/>
  <c r="HR11" i="1"/>
  <c r="JO11" i="1"/>
  <c r="HB29" i="1"/>
  <c r="IY29" i="1"/>
  <c r="HB20" i="1"/>
  <c r="IY20" i="1"/>
  <c r="GX37" i="1"/>
  <c r="IU37" i="1"/>
  <c r="GH37" i="1"/>
  <c r="IE37" i="1"/>
  <c r="FR37" i="1"/>
  <c r="HO37" i="1"/>
  <c r="GX28" i="1"/>
  <c r="IU28" i="1"/>
  <c r="GH28" i="1"/>
  <c r="IE28" i="1"/>
  <c r="FR28" i="1"/>
  <c r="HO28" i="1"/>
  <c r="GX19" i="1"/>
  <c r="IU19" i="1"/>
  <c r="GH19" i="1"/>
  <c r="IE19" i="1"/>
  <c r="FR19" i="1"/>
  <c r="HO19" i="1"/>
  <c r="GX10" i="1"/>
  <c r="IU10" i="1"/>
  <c r="GH10" i="1"/>
  <c r="IE10" i="1"/>
  <c r="DI11" i="1"/>
  <c r="FE11" i="1"/>
  <c r="EO38" i="1"/>
  <c r="GK38" i="1"/>
  <c r="EO29" i="1"/>
  <c r="GK29" i="1"/>
  <c r="EO20" i="1"/>
  <c r="GK20" i="1"/>
  <c r="DY38" i="1"/>
  <c r="FU38" i="1"/>
  <c r="DY29" i="1"/>
  <c r="FU29" i="1"/>
  <c r="DI29" i="1"/>
  <c r="FE29" i="1"/>
  <c r="DY20" i="1"/>
  <c r="FU20" i="1"/>
  <c r="DI20" i="1"/>
  <c r="FE20" i="1"/>
  <c r="DY11" i="1"/>
  <c r="FU11" i="1"/>
  <c r="EO11" i="1"/>
  <c r="GK11" i="1"/>
  <c r="AT29" i="1"/>
  <c r="EP29" i="1" s="1"/>
  <c r="N38" i="1"/>
  <c r="DJ38" i="1" s="1"/>
  <c r="DH38" i="1"/>
  <c r="AT20" i="1"/>
  <c r="EP20" i="1" s="1"/>
  <c r="AD29" i="1"/>
  <c r="DZ29" i="1" s="1"/>
  <c r="N20" i="1"/>
  <c r="DJ20" i="1" s="1"/>
  <c r="N29" i="1"/>
  <c r="DJ29" i="1" s="1"/>
  <c r="AD20" i="1"/>
  <c r="DZ20" i="1" s="1"/>
  <c r="N11" i="1"/>
  <c r="DJ11" i="1" s="1"/>
  <c r="AT38" i="1"/>
  <c r="EP38" i="1" s="1"/>
  <c r="AT11" i="1"/>
  <c r="EP11" i="1" s="1"/>
  <c r="AD38" i="1"/>
  <c r="DZ38" i="1" s="1"/>
  <c r="AD11" i="1"/>
  <c r="DZ11" i="1" s="1"/>
  <c r="PH20" i="1" l="1"/>
  <c r="TD20" i="1"/>
  <c r="RF20" i="1"/>
  <c r="PX38" i="1"/>
  <c r="RV38" i="1"/>
  <c r="TT38" i="1"/>
  <c r="SN11" i="1"/>
  <c r="QP11" i="1"/>
  <c r="TC11" i="1"/>
  <c r="RE11" i="1"/>
  <c r="TS20" i="1"/>
  <c r="RU20" i="1"/>
  <c r="OR29" i="1"/>
  <c r="QP29" i="1"/>
  <c r="SN29" i="1"/>
  <c r="SM20" i="1"/>
  <c r="QO20" i="1"/>
  <c r="TS29" i="1"/>
  <c r="RU29" i="1"/>
  <c r="OR20" i="1"/>
  <c r="QP20" i="1"/>
  <c r="SN20" i="1"/>
  <c r="TS11" i="1"/>
  <c r="RU11" i="1"/>
  <c r="PH29" i="1"/>
  <c r="TD29" i="1"/>
  <c r="RF29" i="1"/>
  <c r="TC20" i="1"/>
  <c r="RE20" i="1"/>
  <c r="TS38" i="1"/>
  <c r="RU38" i="1"/>
  <c r="PX20" i="1"/>
  <c r="RV20" i="1"/>
  <c r="TT20" i="1"/>
  <c r="PX29" i="1"/>
  <c r="RV29" i="1"/>
  <c r="TT29" i="1"/>
  <c r="TC29" i="1"/>
  <c r="RE29" i="1"/>
  <c r="SL38" i="1"/>
  <c r="QN38" i="1"/>
  <c r="SM29" i="1"/>
  <c r="QO29" i="1"/>
  <c r="SM11" i="1"/>
  <c r="QO11" i="1"/>
  <c r="OR38" i="1"/>
  <c r="QP38" i="1"/>
  <c r="SN38" i="1"/>
  <c r="PH11" i="1"/>
  <c r="RF11" i="1"/>
  <c r="TD11" i="1"/>
  <c r="PX11" i="1"/>
  <c r="TT11" i="1"/>
  <c r="RV11" i="1"/>
  <c r="PH38" i="1"/>
  <c r="TD38" i="1"/>
  <c r="RF38" i="1"/>
  <c r="RE38" i="1"/>
  <c r="TC38" i="1"/>
  <c r="KW11" i="1"/>
  <c r="OQ11" i="1"/>
  <c r="MT11" i="1"/>
  <c r="KX11" i="1"/>
  <c r="OR11" i="1"/>
  <c r="MU11" i="1"/>
  <c r="NZ38" i="1"/>
  <c r="PW38" i="1"/>
  <c r="NJ38" i="1"/>
  <c r="PG38" i="1"/>
  <c r="MS38" i="1"/>
  <c r="OP38" i="1"/>
  <c r="NZ29" i="1"/>
  <c r="PW29" i="1"/>
  <c r="NJ29" i="1"/>
  <c r="PG29" i="1"/>
  <c r="MT29" i="1"/>
  <c r="OQ29" i="1"/>
  <c r="NZ20" i="1"/>
  <c r="PW20" i="1"/>
  <c r="NJ20" i="1"/>
  <c r="PG20" i="1"/>
  <c r="MT20" i="1"/>
  <c r="OQ20" i="1"/>
  <c r="NZ11" i="1"/>
  <c r="PW11" i="1"/>
  <c r="NJ11" i="1"/>
  <c r="PG11" i="1"/>
  <c r="MD38" i="1"/>
  <c r="OA38" i="1"/>
  <c r="LN38" i="1"/>
  <c r="NK38" i="1"/>
  <c r="KX38" i="1"/>
  <c r="MU38" i="1"/>
  <c r="MD29" i="1"/>
  <c r="OA29" i="1"/>
  <c r="LN29" i="1"/>
  <c r="NK29" i="1"/>
  <c r="KX29" i="1"/>
  <c r="MU29" i="1"/>
  <c r="MD20" i="1"/>
  <c r="OA20" i="1"/>
  <c r="LN20" i="1"/>
  <c r="NK20" i="1"/>
  <c r="KX20" i="1"/>
  <c r="MU20" i="1"/>
  <c r="MD11" i="1"/>
  <c r="OA11" i="1"/>
  <c r="LN11" i="1"/>
  <c r="NK11" i="1"/>
  <c r="KF29" i="1"/>
  <c r="MC29" i="1"/>
  <c r="KF38" i="1"/>
  <c r="MC38" i="1"/>
  <c r="JP38" i="1"/>
  <c r="LM38" i="1"/>
  <c r="IY38" i="1"/>
  <c r="KV38" i="1"/>
  <c r="JP29" i="1"/>
  <c r="LM29" i="1"/>
  <c r="IZ29" i="1"/>
  <c r="KW29" i="1"/>
  <c r="KF20" i="1"/>
  <c r="MC20" i="1"/>
  <c r="JP20" i="1"/>
  <c r="LM20" i="1"/>
  <c r="IZ20" i="1"/>
  <c r="KW20" i="1"/>
  <c r="KF11" i="1"/>
  <c r="MC11" i="1"/>
  <c r="JP11" i="1"/>
  <c r="LM11" i="1"/>
  <c r="JA11" i="1"/>
  <c r="HD11" i="1"/>
  <c r="FF11" i="1"/>
  <c r="HC11" i="1"/>
  <c r="IZ11" i="1"/>
  <c r="IJ20" i="1"/>
  <c r="KG20" i="1"/>
  <c r="IJ29" i="1"/>
  <c r="KG29" i="1"/>
  <c r="IJ38" i="1"/>
  <c r="KG38" i="1"/>
  <c r="HT38" i="1"/>
  <c r="JQ38" i="1"/>
  <c r="HT29" i="1"/>
  <c r="JQ29" i="1"/>
  <c r="IJ11" i="1"/>
  <c r="KG11" i="1"/>
  <c r="HT20" i="1"/>
  <c r="JQ20" i="1"/>
  <c r="HT11" i="1"/>
  <c r="JQ11" i="1"/>
  <c r="HD29" i="1"/>
  <c r="JA29" i="1"/>
  <c r="HD20" i="1"/>
  <c r="JA20" i="1"/>
  <c r="HD38" i="1"/>
  <c r="JA38" i="1"/>
  <c r="GL38" i="1"/>
  <c r="II38" i="1"/>
  <c r="FV38" i="1"/>
  <c r="HS38" i="1"/>
  <c r="FE38" i="1"/>
  <c r="HB38" i="1"/>
  <c r="GL29" i="1"/>
  <c r="II29" i="1"/>
  <c r="FV29" i="1"/>
  <c r="HS29" i="1"/>
  <c r="FF29" i="1"/>
  <c r="HC29" i="1"/>
  <c r="GL20" i="1"/>
  <c r="II20" i="1"/>
  <c r="FV20" i="1"/>
  <c r="HS20" i="1"/>
  <c r="FF20" i="1"/>
  <c r="HC20" i="1"/>
  <c r="GL11" i="1"/>
  <c r="II11" i="1"/>
  <c r="FV11" i="1"/>
  <c r="HS11" i="1"/>
  <c r="FG11" i="1"/>
  <c r="DK11" i="1"/>
  <c r="GM38" i="1"/>
  <c r="EQ38" i="1"/>
  <c r="EQ29" i="1"/>
  <c r="GM29" i="1"/>
  <c r="GM20" i="1"/>
  <c r="EQ20" i="1"/>
  <c r="FW38" i="1"/>
  <c r="EA38" i="1"/>
  <c r="EA29" i="1"/>
  <c r="FW29" i="1"/>
  <c r="DK38" i="1"/>
  <c r="FG38" i="1"/>
  <c r="FG29" i="1"/>
  <c r="DK29" i="1"/>
  <c r="EA20" i="1"/>
  <c r="FW20" i="1"/>
  <c r="FG20" i="1"/>
  <c r="DK20" i="1"/>
  <c r="EA11" i="1"/>
  <c r="FW11" i="1"/>
  <c r="GM11" i="1"/>
  <c r="EQ11" i="1"/>
  <c r="AF20" i="1"/>
  <c r="EB20" i="1" s="1"/>
  <c r="AV11" i="1"/>
  <c r="ER11" i="1" s="1"/>
  <c r="AV20" i="1"/>
  <c r="ER20" i="1" s="1"/>
  <c r="DI38" i="1"/>
  <c r="AV38" i="1"/>
  <c r="ER38" i="1" s="1"/>
  <c r="P29" i="1"/>
  <c r="DL29" i="1" s="1"/>
  <c r="P38" i="1"/>
  <c r="DL38" i="1" s="1"/>
  <c r="AF38" i="1"/>
  <c r="EB38" i="1" s="1"/>
  <c r="AF29" i="1"/>
  <c r="EB29" i="1" s="1"/>
  <c r="AF11" i="1"/>
  <c r="EB11" i="1" s="1"/>
  <c r="P11" i="1"/>
  <c r="DL11" i="1" s="1"/>
  <c r="P20" i="1"/>
  <c r="DL20" i="1" s="1"/>
  <c r="AV29" i="1"/>
  <c r="ER29" i="1" s="1"/>
  <c r="OT20" i="1" l="1"/>
  <c r="SP20" i="1"/>
  <c r="QR20" i="1"/>
  <c r="TU11" i="1"/>
  <c r="RW11" i="1"/>
  <c r="SP11" i="1"/>
  <c r="QR11" i="1"/>
  <c r="PJ11" i="1"/>
  <c r="TF11" i="1"/>
  <c r="RH11" i="1"/>
  <c r="RG29" i="1"/>
  <c r="TE29" i="1"/>
  <c r="PJ29" i="1"/>
  <c r="TF29" i="1"/>
  <c r="RH29" i="1"/>
  <c r="TE11" i="1"/>
  <c r="RG11" i="1"/>
  <c r="SO20" i="1"/>
  <c r="QQ20" i="1"/>
  <c r="RW20" i="1"/>
  <c r="TU20" i="1"/>
  <c r="PZ20" i="1"/>
  <c r="TV20" i="1"/>
  <c r="RX20" i="1"/>
  <c r="PZ29" i="1"/>
  <c r="TV29" i="1"/>
  <c r="RX29" i="1"/>
  <c r="PJ20" i="1"/>
  <c r="TF20" i="1"/>
  <c r="RH20" i="1"/>
  <c r="SO38" i="1"/>
  <c r="QQ38" i="1"/>
  <c r="OT29" i="1"/>
  <c r="SP29" i="1"/>
  <c r="QR29" i="1"/>
  <c r="OT38" i="1"/>
  <c r="SP38" i="1"/>
  <c r="QR38" i="1"/>
  <c r="PZ38" i="1"/>
  <c r="TV38" i="1"/>
  <c r="RX38" i="1"/>
  <c r="TE20" i="1"/>
  <c r="RG20" i="1"/>
  <c r="RW29" i="1"/>
  <c r="TU29" i="1"/>
  <c r="SM38" i="1"/>
  <c r="QO38" i="1"/>
  <c r="SO29" i="1"/>
  <c r="QQ29" i="1"/>
  <c r="TU38" i="1"/>
  <c r="RW38" i="1"/>
  <c r="PZ11" i="1"/>
  <c r="TV11" i="1"/>
  <c r="RX11" i="1"/>
  <c r="QQ11" i="1"/>
  <c r="SO11" i="1"/>
  <c r="TE38" i="1"/>
  <c r="RG38" i="1"/>
  <c r="PJ38" i="1"/>
  <c r="TF38" i="1"/>
  <c r="RH38" i="1"/>
  <c r="KY11" i="1"/>
  <c r="OS11" i="1"/>
  <c r="MV11" i="1"/>
  <c r="KZ11" i="1"/>
  <c r="OT11" i="1"/>
  <c r="MW11" i="1"/>
  <c r="OB38" i="1"/>
  <c r="PY38" i="1"/>
  <c r="NL38" i="1"/>
  <c r="PI38" i="1"/>
  <c r="MV38" i="1"/>
  <c r="OS38" i="1"/>
  <c r="MT38" i="1"/>
  <c r="OQ38" i="1"/>
  <c r="OB29" i="1"/>
  <c r="PY29" i="1"/>
  <c r="NL29" i="1"/>
  <c r="PI29" i="1"/>
  <c r="MV29" i="1"/>
  <c r="OS29" i="1"/>
  <c r="OB20" i="1"/>
  <c r="PY20" i="1"/>
  <c r="NL20" i="1"/>
  <c r="PI20" i="1"/>
  <c r="MV20" i="1"/>
  <c r="OS20" i="1"/>
  <c r="OB11" i="1"/>
  <c r="PY11" i="1"/>
  <c r="NL11" i="1"/>
  <c r="PI11" i="1"/>
  <c r="MF38" i="1"/>
  <c r="OC38" i="1"/>
  <c r="LP38" i="1"/>
  <c r="NM38" i="1"/>
  <c r="KZ38" i="1"/>
  <c r="MW38" i="1"/>
  <c r="MF29" i="1"/>
  <c r="OC29" i="1"/>
  <c r="LP29" i="1"/>
  <c r="NM29" i="1"/>
  <c r="KZ29" i="1"/>
  <c r="MW29" i="1"/>
  <c r="MF20" i="1"/>
  <c r="OC20" i="1"/>
  <c r="LP20" i="1"/>
  <c r="NM20" i="1"/>
  <c r="KZ20" i="1"/>
  <c r="MW20" i="1"/>
  <c r="MF11" i="1"/>
  <c r="OC11" i="1"/>
  <c r="LP11" i="1"/>
  <c r="NM11" i="1"/>
  <c r="KH29" i="1"/>
  <c r="ME29" i="1"/>
  <c r="KH38" i="1"/>
  <c r="ME38" i="1"/>
  <c r="JR38" i="1"/>
  <c r="LO38" i="1"/>
  <c r="JB38" i="1"/>
  <c r="KY38" i="1"/>
  <c r="IZ38" i="1"/>
  <c r="KW38" i="1"/>
  <c r="JR29" i="1"/>
  <c r="LO29" i="1"/>
  <c r="JB29" i="1"/>
  <c r="KY29" i="1"/>
  <c r="KH20" i="1"/>
  <c r="ME20" i="1"/>
  <c r="JR20" i="1"/>
  <c r="LO20" i="1"/>
  <c r="JB20" i="1"/>
  <c r="KY20" i="1"/>
  <c r="KH11" i="1"/>
  <c r="ME11" i="1"/>
  <c r="JR11" i="1"/>
  <c r="LO11" i="1"/>
  <c r="FH11" i="1"/>
  <c r="HE11" i="1"/>
  <c r="JB11" i="1"/>
  <c r="HF11" i="1"/>
  <c r="JC11" i="1"/>
  <c r="IL20" i="1"/>
  <c r="KI20" i="1"/>
  <c r="IL29" i="1"/>
  <c r="KI29" i="1"/>
  <c r="IL38" i="1"/>
  <c r="KI38" i="1"/>
  <c r="HV38" i="1"/>
  <c r="JS38" i="1"/>
  <c r="HV29" i="1"/>
  <c r="JS29" i="1"/>
  <c r="IL11" i="1"/>
  <c r="KI11" i="1"/>
  <c r="HV20" i="1"/>
  <c r="JS20" i="1"/>
  <c r="HV11" i="1"/>
  <c r="JS11" i="1"/>
  <c r="HF29" i="1"/>
  <c r="JC29" i="1"/>
  <c r="HF20" i="1"/>
  <c r="JC20" i="1"/>
  <c r="HF38" i="1"/>
  <c r="JC38" i="1"/>
  <c r="GN38" i="1"/>
  <c r="IK38" i="1"/>
  <c r="FX38" i="1"/>
  <c r="HU38" i="1"/>
  <c r="FH38" i="1"/>
  <c r="HE38" i="1"/>
  <c r="FF38" i="1"/>
  <c r="HC38" i="1"/>
  <c r="GN29" i="1"/>
  <c r="IK29" i="1"/>
  <c r="FX29" i="1"/>
  <c r="HU29" i="1"/>
  <c r="FH29" i="1"/>
  <c r="HE29" i="1"/>
  <c r="GN20" i="1"/>
  <c r="IK20" i="1"/>
  <c r="FX20" i="1"/>
  <c r="HU20" i="1"/>
  <c r="FH20" i="1"/>
  <c r="HE20" i="1"/>
  <c r="GN11" i="1"/>
  <c r="IK11" i="1"/>
  <c r="FX11" i="1"/>
  <c r="HU11" i="1"/>
  <c r="DM11" i="1"/>
  <c r="FI11" i="1"/>
  <c r="ES38" i="1"/>
  <c r="GO38" i="1"/>
  <c r="ES29" i="1"/>
  <c r="GO29" i="1"/>
  <c r="ES20" i="1"/>
  <c r="GO20" i="1"/>
  <c r="EC38" i="1"/>
  <c r="FY38" i="1"/>
  <c r="EC29" i="1"/>
  <c r="FY29" i="1"/>
  <c r="DM38" i="1"/>
  <c r="FI38" i="1"/>
  <c r="DM29" i="1"/>
  <c r="FI29" i="1"/>
  <c r="EC20" i="1"/>
  <c r="FY20" i="1"/>
  <c r="DM20" i="1"/>
  <c r="FI20" i="1"/>
  <c r="EC11" i="1"/>
  <c r="FY11" i="1"/>
  <c r="ES11" i="1"/>
  <c r="GO11" i="1"/>
  <c r="AX11" i="1"/>
  <c r="ET11" i="1" s="1"/>
  <c r="R38" i="1"/>
  <c r="DN38" i="1" s="1"/>
  <c r="AH20" i="1"/>
  <c r="ED20" i="1" s="1"/>
  <c r="R20" i="1"/>
  <c r="DN20" i="1" s="1"/>
  <c r="R11" i="1"/>
  <c r="DN11" i="1" s="1"/>
  <c r="AH29" i="1"/>
  <c r="ED29" i="1" s="1"/>
  <c r="AX29" i="1"/>
  <c r="ET29" i="1" s="1"/>
  <c r="R29" i="1"/>
  <c r="DN29" i="1" s="1"/>
  <c r="AH11" i="1"/>
  <c r="ED11" i="1" s="1"/>
  <c r="AH38" i="1"/>
  <c r="ED38" i="1" s="1"/>
  <c r="AX38" i="1"/>
  <c r="ET38" i="1" s="1"/>
  <c r="AX20" i="1"/>
  <c r="ET20" i="1" s="1"/>
  <c r="OV20" i="1" l="1"/>
  <c r="SR20" i="1"/>
  <c r="QT20" i="1"/>
  <c r="OV38" i="1"/>
  <c r="SR38" i="1"/>
  <c r="QT38" i="1"/>
  <c r="SR11" i="1"/>
  <c r="QT11" i="1"/>
  <c r="TG20" i="1"/>
  <c r="RI20" i="1"/>
  <c r="TW29" i="1"/>
  <c r="RY29" i="1"/>
  <c r="QB20" i="1"/>
  <c r="TX20" i="1"/>
  <c r="RZ20" i="1"/>
  <c r="PL20" i="1"/>
  <c r="TH20" i="1"/>
  <c r="RJ20" i="1"/>
  <c r="SQ29" i="1"/>
  <c r="QS29" i="1"/>
  <c r="TW38" i="1"/>
  <c r="RY38" i="1"/>
  <c r="QB11" i="1"/>
  <c r="TX11" i="1"/>
  <c r="RZ11" i="1"/>
  <c r="SQ38" i="1"/>
  <c r="QS38" i="1"/>
  <c r="SQ11" i="1"/>
  <c r="QS11" i="1"/>
  <c r="QB38" i="1"/>
  <c r="TX38" i="1"/>
  <c r="RZ38" i="1"/>
  <c r="TW11" i="1"/>
  <c r="RY11" i="1"/>
  <c r="TG29" i="1"/>
  <c r="RI29" i="1"/>
  <c r="PL11" i="1"/>
  <c r="TH11" i="1"/>
  <c r="RJ11" i="1"/>
  <c r="TG11" i="1"/>
  <c r="RI11" i="1"/>
  <c r="OV29" i="1"/>
  <c r="SR29" i="1"/>
  <c r="QT29" i="1"/>
  <c r="QB29" i="1"/>
  <c r="TX29" i="1"/>
  <c r="RZ29" i="1"/>
  <c r="SQ20" i="1"/>
  <c r="QS20" i="1"/>
  <c r="TW20" i="1"/>
  <c r="RY20" i="1"/>
  <c r="PL29" i="1"/>
  <c r="TH29" i="1"/>
  <c r="RJ29" i="1"/>
  <c r="PL38" i="1"/>
  <c r="RJ38" i="1"/>
  <c r="TH38" i="1"/>
  <c r="RI38" i="1"/>
  <c r="TG38" i="1"/>
  <c r="LA11" i="1"/>
  <c r="OU11" i="1"/>
  <c r="MX11" i="1"/>
  <c r="LB11" i="1"/>
  <c r="MY11" i="1"/>
  <c r="OV11" i="1"/>
  <c r="OD38" i="1"/>
  <c r="QA38" i="1"/>
  <c r="NN38" i="1"/>
  <c r="PK38" i="1"/>
  <c r="MX38" i="1"/>
  <c r="OU38" i="1"/>
  <c r="OD29" i="1"/>
  <c r="QA29" i="1"/>
  <c r="NN29" i="1"/>
  <c r="PK29" i="1"/>
  <c r="MX29" i="1"/>
  <c r="OU29" i="1"/>
  <c r="OD20" i="1"/>
  <c r="QA20" i="1"/>
  <c r="NN20" i="1"/>
  <c r="PK20" i="1"/>
  <c r="MX20" i="1"/>
  <c r="OU20" i="1"/>
  <c r="OD11" i="1"/>
  <c r="QA11" i="1"/>
  <c r="NN11" i="1"/>
  <c r="PK11" i="1"/>
  <c r="MH38" i="1"/>
  <c r="OE38" i="1"/>
  <c r="LR38" i="1"/>
  <c r="NO38" i="1"/>
  <c r="LB38" i="1"/>
  <c r="MY38" i="1"/>
  <c r="MH29" i="1"/>
  <c r="OE29" i="1"/>
  <c r="LR29" i="1"/>
  <c r="NO29" i="1"/>
  <c r="LB29" i="1"/>
  <c r="MY29" i="1"/>
  <c r="MH20" i="1"/>
  <c r="OE20" i="1"/>
  <c r="LR20" i="1"/>
  <c r="NO20" i="1"/>
  <c r="LB20" i="1"/>
  <c r="MY20" i="1"/>
  <c r="MH11" i="1"/>
  <c r="OE11" i="1"/>
  <c r="LR11" i="1"/>
  <c r="NO11" i="1"/>
  <c r="KJ29" i="1"/>
  <c r="MG29" i="1"/>
  <c r="KJ38" i="1"/>
  <c r="MG38" i="1"/>
  <c r="JT38" i="1"/>
  <c r="LQ38" i="1"/>
  <c r="JD38" i="1"/>
  <c r="LA38" i="1"/>
  <c r="JT29" i="1"/>
  <c r="LQ29" i="1"/>
  <c r="JD29" i="1"/>
  <c r="LA29" i="1"/>
  <c r="KJ20" i="1"/>
  <c r="MG20" i="1"/>
  <c r="JT20" i="1"/>
  <c r="LQ20" i="1"/>
  <c r="JD20" i="1"/>
  <c r="LA20" i="1"/>
  <c r="KJ11" i="1"/>
  <c r="MG11" i="1"/>
  <c r="JT11" i="1"/>
  <c r="LQ11" i="1"/>
  <c r="HH11" i="1"/>
  <c r="JE11" i="1"/>
  <c r="FJ11" i="1"/>
  <c r="HG11" i="1"/>
  <c r="JD11" i="1"/>
  <c r="IN20" i="1"/>
  <c r="KK20" i="1"/>
  <c r="IN29" i="1"/>
  <c r="KK29" i="1"/>
  <c r="IN38" i="1"/>
  <c r="KK38" i="1"/>
  <c r="HX38" i="1"/>
  <c r="JU38" i="1"/>
  <c r="HX29" i="1"/>
  <c r="JU29" i="1"/>
  <c r="IN11" i="1"/>
  <c r="KK11" i="1"/>
  <c r="HX20" i="1"/>
  <c r="JU20" i="1"/>
  <c r="HX11" i="1"/>
  <c r="JU11" i="1"/>
  <c r="HH29" i="1"/>
  <c r="JE29" i="1"/>
  <c r="HH20" i="1"/>
  <c r="JE20" i="1"/>
  <c r="HH38" i="1"/>
  <c r="JE38" i="1"/>
  <c r="GP38" i="1"/>
  <c r="IM38" i="1"/>
  <c r="FZ38" i="1"/>
  <c r="HW38" i="1"/>
  <c r="FJ38" i="1"/>
  <c r="HG38" i="1"/>
  <c r="GP29" i="1"/>
  <c r="IM29" i="1"/>
  <c r="FZ29" i="1"/>
  <c r="HW29" i="1"/>
  <c r="FJ29" i="1"/>
  <c r="HG29" i="1"/>
  <c r="GP20" i="1"/>
  <c r="IM20" i="1"/>
  <c r="FZ20" i="1"/>
  <c r="HW20" i="1"/>
  <c r="FJ20" i="1"/>
  <c r="HG20" i="1"/>
  <c r="GP11" i="1"/>
  <c r="IM11" i="1"/>
  <c r="FZ11" i="1"/>
  <c r="HW11" i="1"/>
  <c r="DO11" i="1"/>
  <c r="FK11" i="1"/>
  <c r="EU38" i="1"/>
  <c r="GQ38" i="1"/>
  <c r="EU29" i="1"/>
  <c r="GQ29" i="1"/>
  <c r="EU20" i="1"/>
  <c r="GQ20" i="1"/>
  <c r="EE38" i="1"/>
  <c r="GA38" i="1"/>
  <c r="EE29" i="1"/>
  <c r="GA29" i="1"/>
  <c r="FK38" i="1"/>
  <c r="DO38" i="1"/>
  <c r="DO29" i="1"/>
  <c r="FK29" i="1"/>
  <c r="DO20" i="1"/>
  <c r="FK20" i="1"/>
  <c r="EE20" i="1"/>
  <c r="GA20" i="1"/>
  <c r="EE11" i="1"/>
  <c r="GA11" i="1"/>
  <c r="EU11" i="1"/>
  <c r="GQ11" i="1"/>
  <c r="T11" i="1"/>
  <c r="DP11" i="1" s="1"/>
  <c r="T20" i="1"/>
  <c r="DP20" i="1" s="1"/>
  <c r="AJ11" i="1"/>
  <c r="EF11" i="1" s="1"/>
  <c r="AZ20" i="1"/>
  <c r="EV20" i="1" s="1"/>
  <c r="AJ20" i="1"/>
  <c r="EF20" i="1" s="1"/>
  <c r="AZ38" i="1"/>
  <c r="EV38" i="1" s="1"/>
  <c r="AJ38" i="1"/>
  <c r="EF38" i="1" s="1"/>
  <c r="T29" i="1"/>
  <c r="DP29" i="1" s="1"/>
  <c r="AZ29" i="1"/>
  <c r="EV29" i="1" s="1"/>
  <c r="T38" i="1"/>
  <c r="DP38" i="1" s="1"/>
  <c r="AZ11" i="1"/>
  <c r="EV11" i="1" s="1"/>
  <c r="AJ29" i="1"/>
  <c r="EF29" i="1" s="1"/>
  <c r="PN29" i="1" l="1"/>
  <c r="TJ29" i="1"/>
  <c r="RL29" i="1"/>
  <c r="QD11" i="1"/>
  <c r="TZ11" i="1"/>
  <c r="SB11" i="1"/>
  <c r="TY11" i="1"/>
  <c r="SA11" i="1"/>
  <c r="TI29" i="1"/>
  <c r="RK29" i="1"/>
  <c r="OX38" i="1"/>
  <c r="ST38" i="1"/>
  <c r="QV38" i="1"/>
  <c r="SS11" i="1"/>
  <c r="QU11" i="1"/>
  <c r="QD29" i="1"/>
  <c r="TZ29" i="1"/>
  <c r="SB29" i="1"/>
  <c r="TI11" i="1"/>
  <c r="RK11" i="1"/>
  <c r="TI20" i="1"/>
  <c r="RK20" i="1"/>
  <c r="TY20" i="1"/>
  <c r="SA20" i="1"/>
  <c r="ST11" i="1"/>
  <c r="QV11" i="1"/>
  <c r="OX29" i="1"/>
  <c r="ST29" i="1"/>
  <c r="QV29" i="1"/>
  <c r="QD38" i="1"/>
  <c r="TZ38" i="1"/>
  <c r="SB38" i="1"/>
  <c r="PN20" i="1"/>
  <c r="RL20" i="1"/>
  <c r="TJ20" i="1"/>
  <c r="SS20" i="1"/>
  <c r="QU20" i="1"/>
  <c r="TY29" i="1"/>
  <c r="SA29" i="1"/>
  <c r="QD20" i="1"/>
  <c r="SB20" i="1"/>
  <c r="TZ20" i="1"/>
  <c r="PN11" i="1"/>
  <c r="TJ11" i="1"/>
  <c r="RL11" i="1"/>
  <c r="SS29" i="1"/>
  <c r="QU29" i="1"/>
  <c r="TY38" i="1"/>
  <c r="SA38" i="1"/>
  <c r="OX20" i="1"/>
  <c r="ST20" i="1"/>
  <c r="QV20" i="1"/>
  <c r="SS38" i="1"/>
  <c r="QU38" i="1"/>
  <c r="PN38" i="1"/>
  <c r="TJ38" i="1"/>
  <c r="RL38" i="1"/>
  <c r="TI38" i="1"/>
  <c r="RK38" i="1"/>
  <c r="LD11" i="1"/>
  <c r="NA11" i="1"/>
  <c r="OX11" i="1"/>
  <c r="LC11" i="1"/>
  <c r="MZ11" i="1"/>
  <c r="OW11" i="1"/>
  <c r="OF38" i="1"/>
  <c r="QC38" i="1"/>
  <c r="NP38" i="1"/>
  <c r="PM38" i="1"/>
  <c r="MZ38" i="1"/>
  <c r="OW38" i="1"/>
  <c r="OF29" i="1"/>
  <c r="QC29" i="1"/>
  <c r="NP29" i="1"/>
  <c r="PM29" i="1"/>
  <c r="MZ29" i="1"/>
  <c r="OW29" i="1"/>
  <c r="OF20" i="1"/>
  <c r="QC20" i="1"/>
  <c r="NP20" i="1"/>
  <c r="PM20" i="1"/>
  <c r="MZ20" i="1"/>
  <c r="OW20" i="1"/>
  <c r="OF11" i="1"/>
  <c r="QC11" i="1"/>
  <c r="NP11" i="1"/>
  <c r="PM11" i="1"/>
  <c r="MJ38" i="1"/>
  <c r="OG38" i="1"/>
  <c r="LT38" i="1"/>
  <c r="NQ38" i="1"/>
  <c r="LD38" i="1"/>
  <c r="NA38" i="1"/>
  <c r="MJ29" i="1"/>
  <c r="OG29" i="1"/>
  <c r="LT29" i="1"/>
  <c r="NQ29" i="1"/>
  <c r="LD29" i="1"/>
  <c r="NA29" i="1"/>
  <c r="MJ20" i="1"/>
  <c r="OG20" i="1"/>
  <c r="LT20" i="1"/>
  <c r="NQ20" i="1"/>
  <c r="LD20" i="1"/>
  <c r="NA20" i="1"/>
  <c r="MJ11" i="1"/>
  <c r="OG11" i="1"/>
  <c r="LT11" i="1"/>
  <c r="NQ11" i="1"/>
  <c r="KL29" i="1"/>
  <c r="MI29" i="1"/>
  <c r="KL38" i="1"/>
  <c r="MI38" i="1"/>
  <c r="JV38" i="1"/>
  <c r="LS38" i="1"/>
  <c r="JF38" i="1"/>
  <c r="LC38" i="1"/>
  <c r="JV29" i="1"/>
  <c r="LS29" i="1"/>
  <c r="JF29" i="1"/>
  <c r="LC29" i="1"/>
  <c r="KL20" i="1"/>
  <c r="MI20" i="1"/>
  <c r="JV20" i="1"/>
  <c r="LS20" i="1"/>
  <c r="JF20" i="1"/>
  <c r="LC20" i="1"/>
  <c r="KL11" i="1"/>
  <c r="MI11" i="1"/>
  <c r="JV11" i="1"/>
  <c r="LS11" i="1"/>
  <c r="JG11" i="1"/>
  <c r="HJ11" i="1"/>
  <c r="FL11" i="1"/>
  <c r="JF11" i="1"/>
  <c r="HI11" i="1"/>
  <c r="IP20" i="1"/>
  <c r="KM20" i="1"/>
  <c r="IP29" i="1"/>
  <c r="KM29" i="1"/>
  <c r="IP38" i="1"/>
  <c r="KM38" i="1"/>
  <c r="HZ38" i="1"/>
  <c r="JW38" i="1"/>
  <c r="HZ29" i="1"/>
  <c r="JW29" i="1"/>
  <c r="IP11" i="1"/>
  <c r="KM11" i="1"/>
  <c r="HZ20" i="1"/>
  <c r="JW20" i="1"/>
  <c r="HZ11" i="1"/>
  <c r="JW11" i="1"/>
  <c r="HJ29" i="1"/>
  <c r="JG29" i="1"/>
  <c r="HJ20" i="1"/>
  <c r="JG20" i="1"/>
  <c r="HJ38" i="1"/>
  <c r="JG38" i="1"/>
  <c r="GR38" i="1"/>
  <c r="IO38" i="1"/>
  <c r="GB38" i="1"/>
  <c r="HY38" i="1"/>
  <c r="FL38" i="1"/>
  <c r="HI38" i="1"/>
  <c r="GR29" i="1"/>
  <c r="IO29" i="1"/>
  <c r="GB29" i="1"/>
  <c r="HY29" i="1"/>
  <c r="FL29" i="1"/>
  <c r="HI29" i="1"/>
  <c r="GR20" i="1"/>
  <c r="IO20" i="1"/>
  <c r="GB20" i="1"/>
  <c r="HY20" i="1"/>
  <c r="FL20" i="1"/>
  <c r="HI20" i="1"/>
  <c r="GR11" i="1"/>
  <c r="IO11" i="1"/>
  <c r="GB11" i="1"/>
  <c r="HY11" i="1"/>
  <c r="DQ11" i="1"/>
  <c r="FM11" i="1"/>
  <c r="GS38" i="1"/>
  <c r="EW38" i="1"/>
  <c r="EW29" i="1"/>
  <c r="GS29" i="1"/>
  <c r="EW20" i="1"/>
  <c r="GS20" i="1"/>
  <c r="EG38" i="1"/>
  <c r="GC38" i="1"/>
  <c r="EG29" i="1"/>
  <c r="GC29" i="1"/>
  <c r="DQ38" i="1"/>
  <c r="FM38" i="1"/>
  <c r="DQ29" i="1"/>
  <c r="FM29" i="1"/>
  <c r="EG20" i="1"/>
  <c r="GC20" i="1"/>
  <c r="DQ20" i="1"/>
  <c r="FM20" i="1"/>
  <c r="EW11" i="1"/>
  <c r="GS11" i="1"/>
  <c r="EG11" i="1"/>
  <c r="GC11" i="1"/>
  <c r="V20" i="1"/>
  <c r="DR20" i="1" s="1"/>
  <c r="BB29" i="1"/>
  <c r="EX29" i="1" s="1"/>
  <c r="V38" i="1"/>
  <c r="DR38" i="1" s="1"/>
  <c r="BB38" i="1"/>
  <c r="EX38" i="1" s="1"/>
  <c r="AL29" i="1"/>
  <c r="EH29" i="1" s="1"/>
  <c r="V29" i="1"/>
  <c r="DR29" i="1" s="1"/>
  <c r="BB11" i="1"/>
  <c r="EX11" i="1" s="1"/>
  <c r="AL38" i="1"/>
  <c r="EH38" i="1" s="1"/>
  <c r="AL20" i="1"/>
  <c r="EH20" i="1" s="1"/>
  <c r="V11" i="1"/>
  <c r="DR11" i="1" s="1"/>
  <c r="AL11" i="1"/>
  <c r="EH11" i="1" s="1"/>
  <c r="BB20" i="1"/>
  <c r="EX20" i="1" s="1"/>
  <c r="QF20" i="1" l="1"/>
  <c r="UB20" i="1"/>
  <c r="SD20" i="1"/>
  <c r="PP11" i="1"/>
  <c r="RN11" i="1"/>
  <c r="TL11" i="1"/>
  <c r="RM11" i="1"/>
  <c r="TK11" i="1"/>
  <c r="RM29" i="1"/>
  <c r="TK29" i="1"/>
  <c r="SV11" i="1"/>
  <c r="QX11" i="1"/>
  <c r="PP29" i="1"/>
  <c r="TL29" i="1"/>
  <c r="RN29" i="1"/>
  <c r="TK20" i="1"/>
  <c r="RM20" i="1"/>
  <c r="UA29" i="1"/>
  <c r="SC29" i="1"/>
  <c r="QF38" i="1"/>
  <c r="UB38" i="1"/>
  <c r="SD38" i="1"/>
  <c r="OZ38" i="1"/>
  <c r="SV38" i="1"/>
  <c r="QX38" i="1"/>
  <c r="SU29" i="1"/>
  <c r="QW29" i="1"/>
  <c r="PP20" i="1"/>
  <c r="TL20" i="1"/>
  <c r="RN20" i="1"/>
  <c r="SC11" i="1"/>
  <c r="UA11" i="1"/>
  <c r="OZ29" i="1"/>
  <c r="SV29" i="1"/>
  <c r="QX29" i="1"/>
  <c r="UA38" i="1"/>
  <c r="SC38" i="1"/>
  <c r="QF29" i="1"/>
  <c r="UB29" i="1"/>
  <c r="SD29" i="1"/>
  <c r="QF11" i="1"/>
  <c r="UB11" i="1"/>
  <c r="SD11" i="1"/>
  <c r="SU20" i="1"/>
  <c r="QW20" i="1"/>
  <c r="UA20" i="1"/>
  <c r="SC20" i="1"/>
  <c r="OZ20" i="1"/>
  <c r="SV20" i="1"/>
  <c r="QX20" i="1"/>
  <c r="SU38" i="1"/>
  <c r="QW38" i="1"/>
  <c r="QW11" i="1"/>
  <c r="SU11" i="1"/>
  <c r="TK38" i="1"/>
  <c r="RM38" i="1"/>
  <c r="PP38" i="1"/>
  <c r="TL38" i="1"/>
  <c r="RN38" i="1"/>
  <c r="LF11" i="1"/>
  <c r="OZ11" i="1"/>
  <c r="NC11" i="1"/>
  <c r="LE11" i="1"/>
  <c r="NB11" i="1"/>
  <c r="OY11" i="1"/>
  <c r="OH38" i="1"/>
  <c r="QE38" i="1"/>
  <c r="NR38" i="1"/>
  <c r="PO38" i="1"/>
  <c r="NB38" i="1"/>
  <c r="OY38" i="1"/>
  <c r="OH29" i="1"/>
  <c r="QE29" i="1"/>
  <c r="NR29" i="1"/>
  <c r="PO29" i="1"/>
  <c r="NB29" i="1"/>
  <c r="OY29" i="1"/>
  <c r="OH20" i="1"/>
  <c r="QE20" i="1"/>
  <c r="NR20" i="1"/>
  <c r="PO20" i="1"/>
  <c r="NB20" i="1"/>
  <c r="OY20" i="1"/>
  <c r="OH11" i="1"/>
  <c r="QE11" i="1"/>
  <c r="NR11" i="1"/>
  <c r="PO11" i="1"/>
  <c r="ML38" i="1"/>
  <c r="OI38" i="1"/>
  <c r="LV38" i="1"/>
  <c r="NS38" i="1"/>
  <c r="LF38" i="1"/>
  <c r="NC38" i="1"/>
  <c r="ML29" i="1"/>
  <c r="OI29" i="1"/>
  <c r="LV29" i="1"/>
  <c r="NS29" i="1"/>
  <c r="LF29" i="1"/>
  <c r="NC29" i="1"/>
  <c r="ML20" i="1"/>
  <c r="OI20" i="1"/>
  <c r="LV20" i="1"/>
  <c r="NS20" i="1"/>
  <c r="LF20" i="1"/>
  <c r="NC20" i="1"/>
  <c r="ML11" i="1"/>
  <c r="OI11" i="1"/>
  <c r="LV11" i="1"/>
  <c r="NS11" i="1"/>
  <c r="KN29" i="1"/>
  <c r="MK29" i="1"/>
  <c r="KN38" i="1"/>
  <c r="MK38" i="1"/>
  <c r="JX38" i="1"/>
  <c r="LU38" i="1"/>
  <c r="JH38" i="1"/>
  <c r="LE38" i="1"/>
  <c r="JX29" i="1"/>
  <c r="LU29" i="1"/>
  <c r="JH29" i="1"/>
  <c r="LE29" i="1"/>
  <c r="KN20" i="1"/>
  <c r="MK20" i="1"/>
  <c r="JX20" i="1"/>
  <c r="LU20" i="1"/>
  <c r="JH20" i="1"/>
  <c r="LE20" i="1"/>
  <c r="KN11" i="1"/>
  <c r="MK11" i="1"/>
  <c r="JX11" i="1"/>
  <c r="LU11" i="1"/>
  <c r="JI11" i="1"/>
  <c r="HL11" i="1"/>
  <c r="FN11" i="1"/>
  <c r="JH11" i="1"/>
  <c r="HK11" i="1"/>
  <c r="IR20" i="1"/>
  <c r="KO20" i="1"/>
  <c r="IR29" i="1"/>
  <c r="KO29" i="1"/>
  <c r="IR38" i="1"/>
  <c r="KO38" i="1"/>
  <c r="IB38" i="1"/>
  <c r="JY38" i="1"/>
  <c r="IB29" i="1"/>
  <c r="JY29" i="1"/>
  <c r="IR11" i="1"/>
  <c r="KO11" i="1"/>
  <c r="IB20" i="1"/>
  <c r="JY20" i="1"/>
  <c r="IB11" i="1"/>
  <c r="JY11" i="1"/>
  <c r="HL29" i="1"/>
  <c r="JI29" i="1"/>
  <c r="HL20" i="1"/>
  <c r="JI20" i="1"/>
  <c r="HL38" i="1"/>
  <c r="JI38" i="1"/>
  <c r="GT38" i="1"/>
  <c r="IQ38" i="1"/>
  <c r="GD38" i="1"/>
  <c r="IA38" i="1"/>
  <c r="FN38" i="1"/>
  <c r="HK38" i="1"/>
  <c r="GT29" i="1"/>
  <c r="IQ29" i="1"/>
  <c r="GD29" i="1"/>
  <c r="IA29" i="1"/>
  <c r="FN29" i="1"/>
  <c r="HK29" i="1"/>
  <c r="GT20" i="1"/>
  <c r="IQ20" i="1"/>
  <c r="GD20" i="1"/>
  <c r="IA20" i="1"/>
  <c r="FN20" i="1"/>
  <c r="HK20" i="1"/>
  <c r="GT11" i="1"/>
  <c r="IQ11" i="1"/>
  <c r="GD11" i="1"/>
  <c r="IA11" i="1"/>
  <c r="FO11" i="1"/>
  <c r="DS11" i="1"/>
  <c r="GU38" i="1"/>
  <c r="EY38" i="1"/>
  <c r="EY29" i="1"/>
  <c r="GU29" i="1"/>
  <c r="EY20" i="1"/>
  <c r="GU20" i="1"/>
  <c r="EI38" i="1"/>
  <c r="GE38" i="1"/>
  <c r="GE29" i="1"/>
  <c r="EI29" i="1"/>
  <c r="DS38" i="1"/>
  <c r="FO38" i="1"/>
  <c r="DS29" i="1"/>
  <c r="FO29" i="1"/>
  <c r="EI20" i="1"/>
  <c r="GE20" i="1"/>
  <c r="DS20" i="1"/>
  <c r="FO20" i="1"/>
  <c r="EI11" i="1"/>
  <c r="GE11" i="1"/>
  <c r="EY11" i="1"/>
  <c r="GU11" i="1"/>
  <c r="X20" i="1"/>
  <c r="DT20" i="1" s="1"/>
  <c r="AN20" i="1"/>
  <c r="EJ20" i="1" s="1"/>
  <c r="BD38" i="1"/>
  <c r="EZ38" i="1" s="1"/>
  <c r="AN11" i="1"/>
  <c r="EJ11" i="1" s="1"/>
  <c r="AN38" i="1"/>
  <c r="EJ38" i="1" s="1"/>
  <c r="X29" i="1"/>
  <c r="DT29" i="1" s="1"/>
  <c r="X38" i="1"/>
  <c r="DT38" i="1" s="1"/>
  <c r="BD20" i="1"/>
  <c r="EZ20" i="1" s="1"/>
  <c r="X11" i="1"/>
  <c r="DT11" i="1" s="1"/>
  <c r="BD11" i="1"/>
  <c r="EZ11" i="1" s="1"/>
  <c r="AN29" i="1"/>
  <c r="EJ29" i="1" s="1"/>
  <c r="BD29" i="1"/>
  <c r="EZ29" i="1" s="1"/>
  <c r="QH29" i="1" l="1"/>
  <c r="SF29" i="1"/>
  <c r="UD29" i="1"/>
  <c r="TM29" i="1"/>
  <c r="RO29" i="1"/>
  <c r="PR29" i="1"/>
  <c r="RP29" i="1"/>
  <c r="TN29" i="1"/>
  <c r="UC11" i="1"/>
  <c r="SE11" i="1"/>
  <c r="QH11" i="1"/>
  <c r="SF11" i="1"/>
  <c r="UD11" i="1"/>
  <c r="QZ11" i="1"/>
  <c r="SX11" i="1"/>
  <c r="RO11" i="1"/>
  <c r="TM11" i="1"/>
  <c r="RO20" i="1"/>
  <c r="TM20" i="1"/>
  <c r="UC29" i="1"/>
  <c r="SE29" i="1"/>
  <c r="QH38" i="1"/>
  <c r="SF38" i="1"/>
  <c r="UD38" i="1"/>
  <c r="SW29" i="1"/>
  <c r="QY29" i="1"/>
  <c r="PB20" i="1"/>
  <c r="SX20" i="1"/>
  <c r="QZ20" i="1"/>
  <c r="QY38" i="1"/>
  <c r="SW38" i="1"/>
  <c r="QH20" i="1"/>
  <c r="SF20" i="1"/>
  <c r="UD20" i="1"/>
  <c r="PB38" i="1"/>
  <c r="SX38" i="1"/>
  <c r="QZ38" i="1"/>
  <c r="SW20" i="1"/>
  <c r="QY20" i="1"/>
  <c r="SE20" i="1"/>
  <c r="UC20" i="1"/>
  <c r="PB29" i="1"/>
  <c r="SX29" i="1"/>
  <c r="QZ29" i="1"/>
  <c r="PR11" i="1"/>
  <c r="TN11" i="1"/>
  <c r="RP11" i="1"/>
  <c r="UC38" i="1"/>
  <c r="SE38" i="1"/>
  <c r="PR20" i="1"/>
  <c r="RP20" i="1"/>
  <c r="TN20" i="1"/>
  <c r="SW11" i="1"/>
  <c r="QY11" i="1"/>
  <c r="PR38" i="1"/>
  <c r="TN38" i="1"/>
  <c r="RP38" i="1"/>
  <c r="TM38" i="1"/>
  <c r="RO38" i="1"/>
  <c r="LG11" i="1"/>
  <c r="PA11" i="1"/>
  <c r="ND11" i="1"/>
  <c r="LH11" i="1"/>
  <c r="PB11" i="1"/>
  <c r="NE11" i="1"/>
  <c r="OJ38" i="1"/>
  <c r="QG38" i="1"/>
  <c r="NT38" i="1"/>
  <c r="PQ38" i="1"/>
  <c r="ND38" i="1"/>
  <c r="PA38" i="1"/>
  <c r="OJ29" i="1"/>
  <c r="QG29" i="1"/>
  <c r="NT29" i="1"/>
  <c r="PQ29" i="1"/>
  <c r="ND29" i="1"/>
  <c r="PA29" i="1"/>
  <c r="OJ20" i="1"/>
  <c r="QG20" i="1"/>
  <c r="NT20" i="1"/>
  <c r="PQ20" i="1"/>
  <c r="ND20" i="1"/>
  <c r="PA20" i="1"/>
  <c r="OJ11" i="1"/>
  <c r="QG11" i="1"/>
  <c r="NT11" i="1"/>
  <c r="PQ11" i="1"/>
  <c r="MN38" i="1"/>
  <c r="OK38" i="1"/>
  <c r="LX38" i="1"/>
  <c r="NU38" i="1"/>
  <c r="LH38" i="1"/>
  <c r="NE38" i="1"/>
  <c r="MN29" i="1"/>
  <c r="OK29" i="1"/>
  <c r="LX29" i="1"/>
  <c r="NU29" i="1"/>
  <c r="LH29" i="1"/>
  <c r="NE29" i="1"/>
  <c r="MN20" i="1"/>
  <c r="OK20" i="1"/>
  <c r="LX20" i="1"/>
  <c r="NU20" i="1"/>
  <c r="LH20" i="1"/>
  <c r="NE20" i="1"/>
  <c r="MN11" i="1"/>
  <c r="OK11" i="1"/>
  <c r="LX11" i="1"/>
  <c r="NU11" i="1"/>
  <c r="KP29" i="1"/>
  <c r="MM29" i="1"/>
  <c r="KP38" i="1"/>
  <c r="MM38" i="1"/>
  <c r="JZ38" i="1"/>
  <c r="LW38" i="1"/>
  <c r="JJ38" i="1"/>
  <c r="LG38" i="1"/>
  <c r="JZ29" i="1"/>
  <c r="LW29" i="1"/>
  <c r="JJ29" i="1"/>
  <c r="LG29" i="1"/>
  <c r="KP20" i="1"/>
  <c r="MM20" i="1"/>
  <c r="JZ20" i="1"/>
  <c r="LW20" i="1"/>
  <c r="JJ20" i="1"/>
  <c r="LG20" i="1"/>
  <c r="KP11" i="1"/>
  <c r="MM11" i="1"/>
  <c r="JZ11" i="1"/>
  <c r="LW11" i="1"/>
  <c r="HN11" i="1"/>
  <c r="JK11" i="1"/>
  <c r="FP11" i="1"/>
  <c r="HM11" i="1"/>
  <c r="JJ11" i="1"/>
  <c r="IT20" i="1"/>
  <c r="KQ20" i="1"/>
  <c r="IT29" i="1"/>
  <c r="KQ29" i="1"/>
  <c r="IT38" i="1"/>
  <c r="KQ38" i="1"/>
  <c r="ID38" i="1"/>
  <c r="KA38" i="1"/>
  <c r="ID29" i="1"/>
  <c r="KA29" i="1"/>
  <c r="IT11" i="1"/>
  <c r="KQ11" i="1"/>
  <c r="ID20" i="1"/>
  <c r="KA20" i="1"/>
  <c r="ID11" i="1"/>
  <c r="KA11" i="1"/>
  <c r="HN29" i="1"/>
  <c r="JK29" i="1"/>
  <c r="HN20" i="1"/>
  <c r="JK20" i="1"/>
  <c r="HN38" i="1"/>
  <c r="JK38" i="1"/>
  <c r="GV38" i="1"/>
  <c r="IS38" i="1"/>
  <c r="GF38" i="1"/>
  <c r="IC38" i="1"/>
  <c r="FP38" i="1"/>
  <c r="HM38" i="1"/>
  <c r="GV29" i="1"/>
  <c r="IS29" i="1"/>
  <c r="GF29" i="1"/>
  <c r="IC29" i="1"/>
  <c r="FP29" i="1"/>
  <c r="HM29" i="1"/>
  <c r="GV20" i="1"/>
  <c r="IS20" i="1"/>
  <c r="GF20" i="1"/>
  <c r="IC20" i="1"/>
  <c r="FP20" i="1"/>
  <c r="HM20" i="1"/>
  <c r="GV11" i="1"/>
  <c r="IS11" i="1"/>
  <c r="GF11" i="1"/>
  <c r="IC11" i="1"/>
  <c r="DU11" i="1"/>
  <c r="FQ11" i="1"/>
  <c r="FA38" i="1"/>
  <c r="GW38" i="1"/>
  <c r="FA29" i="1"/>
  <c r="GW29" i="1"/>
  <c r="FA20" i="1"/>
  <c r="GW20" i="1"/>
  <c r="EK38" i="1"/>
  <c r="GG38" i="1"/>
  <c r="EK29" i="1"/>
  <c r="GG29" i="1"/>
  <c r="DU38" i="1"/>
  <c r="FQ38" i="1"/>
  <c r="DU29" i="1"/>
  <c r="FQ29" i="1"/>
  <c r="EK20" i="1"/>
  <c r="GG20" i="1"/>
  <c r="DU20" i="1"/>
  <c r="FQ20" i="1"/>
  <c r="GG11" i="1"/>
  <c r="EK11" i="1"/>
  <c r="FA11" i="1"/>
  <c r="GW11" i="1"/>
  <c r="L30" i="1"/>
  <c r="DH30" i="1" s="1"/>
  <c r="L12" i="1"/>
  <c r="DH12" i="1" s="1"/>
  <c r="AR21" i="1"/>
  <c r="EN21" i="1" s="1"/>
  <c r="AB39" i="1"/>
  <c r="DX39" i="1" s="1"/>
  <c r="AB21" i="1"/>
  <c r="DX21" i="1" s="1"/>
  <c r="AB12" i="1"/>
  <c r="DX12" i="1" s="1"/>
  <c r="AB30" i="1"/>
  <c r="DX30" i="1" s="1"/>
  <c r="AR12" i="1"/>
  <c r="EN12" i="1" s="1"/>
  <c r="L39" i="1"/>
  <c r="L21" i="1"/>
  <c r="DH21" i="1" s="1"/>
  <c r="SL12" i="1" l="1"/>
  <c r="QN12" i="1"/>
  <c r="OP30" i="1"/>
  <c r="QN30" i="1"/>
  <c r="SL30" i="1"/>
  <c r="SY38" i="1"/>
  <c r="RA38" i="1"/>
  <c r="SY11" i="1"/>
  <c r="RA11" i="1"/>
  <c r="OP21" i="1"/>
  <c r="QN21" i="1"/>
  <c r="SL21" i="1"/>
  <c r="TO11" i="1"/>
  <c r="RQ11" i="1"/>
  <c r="PV12" i="1"/>
  <c r="RT12" i="1"/>
  <c r="TR12" i="1"/>
  <c r="PV21" i="1"/>
  <c r="RT21" i="1"/>
  <c r="TR21" i="1"/>
  <c r="SY29" i="1"/>
  <c r="RA29" i="1"/>
  <c r="UE38" i="1"/>
  <c r="SG38" i="1"/>
  <c r="UE11" i="1"/>
  <c r="SG11" i="1"/>
  <c r="TO29" i="1"/>
  <c r="RQ29" i="1"/>
  <c r="PF30" i="1"/>
  <c r="TB30" i="1"/>
  <c r="RD30" i="1"/>
  <c r="SY20" i="1"/>
  <c r="RA20" i="1"/>
  <c r="UE20" i="1"/>
  <c r="SG20" i="1"/>
  <c r="PF12" i="1"/>
  <c r="TB12" i="1"/>
  <c r="RD12" i="1"/>
  <c r="PF21" i="1"/>
  <c r="TB21" i="1"/>
  <c r="RD21" i="1"/>
  <c r="TO20" i="1"/>
  <c r="RQ20" i="1"/>
  <c r="UE29" i="1"/>
  <c r="SG29" i="1"/>
  <c r="PF39" i="1"/>
  <c r="TB39" i="1"/>
  <c r="RD39" i="1"/>
  <c r="TO38" i="1"/>
  <c r="RQ38" i="1"/>
  <c r="LI11" i="1"/>
  <c r="PC11" i="1"/>
  <c r="NF11" i="1"/>
  <c r="KV12" i="1"/>
  <c r="MS12" i="1"/>
  <c r="OP12" i="1"/>
  <c r="OL38" i="1"/>
  <c r="QI38" i="1"/>
  <c r="NV38" i="1"/>
  <c r="PS38" i="1"/>
  <c r="NF38" i="1"/>
  <c r="PC38" i="1"/>
  <c r="OL29" i="1"/>
  <c r="QI29" i="1"/>
  <c r="NV29" i="1"/>
  <c r="PS29" i="1"/>
  <c r="NF29" i="1"/>
  <c r="PC29" i="1"/>
  <c r="OL20" i="1"/>
  <c r="QI20" i="1"/>
  <c r="NV20" i="1"/>
  <c r="PS20" i="1"/>
  <c r="NF20" i="1"/>
  <c r="PC20" i="1"/>
  <c r="OL11" i="1"/>
  <c r="QI11" i="1"/>
  <c r="NV11" i="1"/>
  <c r="PS11" i="1"/>
  <c r="LL39" i="1"/>
  <c r="NI39" i="1"/>
  <c r="LL30" i="1"/>
  <c r="NI30" i="1"/>
  <c r="KV30" i="1"/>
  <c r="MS30" i="1"/>
  <c r="MB21" i="1"/>
  <c r="NY21" i="1"/>
  <c r="LL21" i="1"/>
  <c r="NI21" i="1"/>
  <c r="KV21" i="1"/>
  <c r="MS21" i="1"/>
  <c r="MB12" i="1"/>
  <c r="NY12" i="1"/>
  <c r="LL12" i="1"/>
  <c r="NI12" i="1"/>
  <c r="KR29" i="1"/>
  <c r="MO29" i="1"/>
  <c r="KR38" i="1"/>
  <c r="MO38" i="1"/>
  <c r="KB38" i="1"/>
  <c r="LY38" i="1"/>
  <c r="JL38" i="1"/>
  <c r="LI38" i="1"/>
  <c r="KB29" i="1"/>
  <c r="LY29" i="1"/>
  <c r="JL29" i="1"/>
  <c r="LI29" i="1"/>
  <c r="KR20" i="1"/>
  <c r="MO20" i="1"/>
  <c r="KB20" i="1"/>
  <c r="LY20" i="1"/>
  <c r="JL20" i="1"/>
  <c r="LI20" i="1"/>
  <c r="KR11" i="1"/>
  <c r="MO11" i="1"/>
  <c r="KB11" i="1"/>
  <c r="LY11" i="1"/>
  <c r="FR11" i="1"/>
  <c r="HO11" i="1"/>
  <c r="JL11" i="1"/>
  <c r="HB12" i="1"/>
  <c r="IY12" i="1"/>
  <c r="IH21" i="1"/>
  <c r="KE21" i="1"/>
  <c r="HR39" i="1"/>
  <c r="JO39" i="1"/>
  <c r="HR30" i="1"/>
  <c r="JO30" i="1"/>
  <c r="IH12" i="1"/>
  <c r="KE12" i="1"/>
  <c r="HR21" i="1"/>
  <c r="JO21" i="1"/>
  <c r="HR12" i="1"/>
  <c r="JO12" i="1"/>
  <c r="HB30" i="1"/>
  <c r="IY30" i="1"/>
  <c r="HB21" i="1"/>
  <c r="IY21" i="1"/>
  <c r="GX38" i="1"/>
  <c r="IU38" i="1"/>
  <c r="GH38" i="1"/>
  <c r="IE38" i="1"/>
  <c r="FR38" i="1"/>
  <c r="HO38" i="1"/>
  <c r="GX29" i="1"/>
  <c r="IU29" i="1"/>
  <c r="GH29" i="1"/>
  <c r="IE29" i="1"/>
  <c r="FR29" i="1"/>
  <c r="HO29" i="1"/>
  <c r="GX20" i="1"/>
  <c r="IU20" i="1"/>
  <c r="GH20" i="1"/>
  <c r="IE20" i="1"/>
  <c r="FR20" i="1"/>
  <c r="HO20" i="1"/>
  <c r="GX11" i="1"/>
  <c r="IU11" i="1"/>
  <c r="GH11" i="1"/>
  <c r="IE11" i="1"/>
  <c r="DI12" i="1"/>
  <c r="FE12" i="1"/>
  <c r="EO21" i="1"/>
  <c r="GK21" i="1"/>
  <c r="DY39" i="1"/>
  <c r="FU39" i="1"/>
  <c r="DY30" i="1"/>
  <c r="FU30" i="1"/>
  <c r="DI30" i="1"/>
  <c r="FE30" i="1"/>
  <c r="DI21" i="1"/>
  <c r="FE21" i="1"/>
  <c r="DY21" i="1"/>
  <c r="FU21" i="1"/>
  <c r="EO12" i="1"/>
  <c r="GK12" i="1"/>
  <c r="DY12" i="1"/>
  <c r="FU12" i="1"/>
  <c r="AT12" i="1"/>
  <c r="EP12" i="1" s="1"/>
  <c r="AT21" i="1"/>
  <c r="EP21" i="1" s="1"/>
  <c r="AD30" i="1"/>
  <c r="DZ30" i="1" s="1"/>
  <c r="N12" i="1"/>
  <c r="DJ12" i="1" s="1"/>
  <c r="N21" i="1"/>
  <c r="DJ21" i="1" s="1"/>
  <c r="AD12" i="1"/>
  <c r="DZ12" i="1" s="1"/>
  <c r="AD21" i="1"/>
  <c r="DZ21" i="1" s="1"/>
  <c r="N39" i="1"/>
  <c r="DJ39" i="1" s="1"/>
  <c r="DH39" i="1"/>
  <c r="AD39" i="1"/>
  <c r="DZ39" i="1" s="1"/>
  <c r="N30" i="1"/>
  <c r="DJ30" i="1" s="1"/>
  <c r="PH30" i="1" l="1"/>
  <c r="TD30" i="1"/>
  <c r="RF30" i="1"/>
  <c r="QO30" i="1"/>
  <c r="SM30" i="1"/>
  <c r="PX21" i="1"/>
  <c r="TT21" i="1"/>
  <c r="RV21" i="1"/>
  <c r="OR30" i="1"/>
  <c r="SN30" i="1"/>
  <c r="QP30" i="1"/>
  <c r="TC12" i="1"/>
  <c r="RE12" i="1"/>
  <c r="QN39" i="1"/>
  <c r="SL39" i="1"/>
  <c r="RU12" i="1"/>
  <c r="TS12" i="1"/>
  <c r="TS21" i="1"/>
  <c r="RU21" i="1"/>
  <c r="PX12" i="1"/>
  <c r="TT12" i="1"/>
  <c r="RV12" i="1"/>
  <c r="TC30" i="1"/>
  <c r="RE30" i="1"/>
  <c r="OR39" i="1"/>
  <c r="SN39" i="1"/>
  <c r="QP39" i="1"/>
  <c r="PH21" i="1"/>
  <c r="TD21" i="1"/>
  <c r="RF21" i="1"/>
  <c r="RE21" i="1"/>
  <c r="TC21" i="1"/>
  <c r="SM12" i="1"/>
  <c r="QO12" i="1"/>
  <c r="PH12" i="1"/>
  <c r="TD12" i="1"/>
  <c r="RF12" i="1"/>
  <c r="OR21" i="1"/>
  <c r="SN21" i="1"/>
  <c r="QP21" i="1"/>
  <c r="SM21" i="1"/>
  <c r="QO21" i="1"/>
  <c r="SN12" i="1"/>
  <c r="QP12" i="1"/>
  <c r="PH39" i="1"/>
  <c r="RF39" i="1"/>
  <c r="TD39" i="1"/>
  <c r="TC39" i="1"/>
  <c r="RE39" i="1"/>
  <c r="KW12" i="1"/>
  <c r="MT12" i="1"/>
  <c r="OQ12" i="1"/>
  <c r="KX12" i="1"/>
  <c r="OR12" i="1"/>
  <c r="MU12" i="1"/>
  <c r="NJ39" i="1"/>
  <c r="PG39" i="1"/>
  <c r="MS39" i="1"/>
  <c r="OP39" i="1"/>
  <c r="NJ30" i="1"/>
  <c r="PG30" i="1"/>
  <c r="MT30" i="1"/>
  <c r="OQ30" i="1"/>
  <c r="NZ21" i="1"/>
  <c r="PW21" i="1"/>
  <c r="NJ21" i="1"/>
  <c r="PG21" i="1"/>
  <c r="MT21" i="1"/>
  <c r="OQ21" i="1"/>
  <c r="NZ12" i="1"/>
  <c r="PW12" i="1"/>
  <c r="NJ12" i="1"/>
  <c r="PG12" i="1"/>
  <c r="LN39" i="1"/>
  <c r="NK39" i="1"/>
  <c r="KX39" i="1"/>
  <c r="MU39" i="1"/>
  <c r="LN30" i="1"/>
  <c r="NK30" i="1"/>
  <c r="KX30" i="1"/>
  <c r="MU30" i="1"/>
  <c r="MD21" i="1"/>
  <c r="OA21" i="1"/>
  <c r="LN21" i="1"/>
  <c r="NK21" i="1"/>
  <c r="KX21" i="1"/>
  <c r="MU21" i="1"/>
  <c r="MD12" i="1"/>
  <c r="OA12" i="1"/>
  <c r="LN12" i="1"/>
  <c r="NK12" i="1"/>
  <c r="JP39" i="1"/>
  <c r="LM39" i="1"/>
  <c r="IY39" i="1"/>
  <c r="KV39" i="1"/>
  <c r="JP30" i="1"/>
  <c r="LM30" i="1"/>
  <c r="IZ30" i="1"/>
  <c r="KW30" i="1"/>
  <c r="KF21" i="1"/>
  <c r="MC21" i="1"/>
  <c r="JP21" i="1"/>
  <c r="LM21" i="1"/>
  <c r="IZ21" i="1"/>
  <c r="KW21" i="1"/>
  <c r="KF12" i="1"/>
  <c r="MC12" i="1"/>
  <c r="JP12" i="1"/>
  <c r="LM12" i="1"/>
  <c r="HD12" i="1"/>
  <c r="JA12" i="1"/>
  <c r="FF12" i="1"/>
  <c r="IZ12" i="1"/>
  <c r="HC12" i="1"/>
  <c r="IJ21" i="1"/>
  <c r="KG21" i="1"/>
  <c r="HT39" i="1"/>
  <c r="JQ39" i="1"/>
  <c r="HT30" i="1"/>
  <c r="JQ30" i="1"/>
  <c r="IJ12" i="1"/>
  <c r="KG12" i="1"/>
  <c r="HT21" i="1"/>
  <c r="JQ21" i="1"/>
  <c r="HT12" i="1"/>
  <c r="JQ12" i="1"/>
  <c r="HD30" i="1"/>
  <c r="JA30" i="1"/>
  <c r="HD21" i="1"/>
  <c r="JA21" i="1"/>
  <c r="HD39" i="1"/>
  <c r="JA39" i="1"/>
  <c r="FV39" i="1"/>
  <c r="HS39" i="1"/>
  <c r="FE39" i="1"/>
  <c r="HB39" i="1"/>
  <c r="FV30" i="1"/>
  <c r="HS30" i="1"/>
  <c r="FF30" i="1"/>
  <c r="HC30" i="1"/>
  <c r="GL21" i="1"/>
  <c r="II21" i="1"/>
  <c r="FV21" i="1"/>
  <c r="HS21" i="1"/>
  <c r="FF21" i="1"/>
  <c r="HC21" i="1"/>
  <c r="GL12" i="1"/>
  <c r="II12" i="1"/>
  <c r="FV12" i="1"/>
  <c r="HS12" i="1"/>
  <c r="DK12" i="1"/>
  <c r="FG12" i="1"/>
  <c r="EQ21" i="1"/>
  <c r="GM21" i="1"/>
  <c r="EA39" i="1"/>
  <c r="FW39" i="1"/>
  <c r="EA30" i="1"/>
  <c r="FW30" i="1"/>
  <c r="FG39" i="1"/>
  <c r="DK39" i="1"/>
  <c r="DK30" i="1"/>
  <c r="FG30" i="1"/>
  <c r="EA21" i="1"/>
  <c r="FW21" i="1"/>
  <c r="DK21" i="1"/>
  <c r="FG21" i="1"/>
  <c r="EA12" i="1"/>
  <c r="FW12" i="1"/>
  <c r="EQ12" i="1"/>
  <c r="GM12" i="1"/>
  <c r="AF21" i="1"/>
  <c r="EB21" i="1" s="1"/>
  <c r="AF12" i="1"/>
  <c r="EB12" i="1" s="1"/>
  <c r="AV21" i="1"/>
  <c r="ER21" i="1" s="1"/>
  <c r="AF39" i="1"/>
  <c r="EB39" i="1" s="1"/>
  <c r="P21" i="1"/>
  <c r="DL21" i="1" s="1"/>
  <c r="AF30" i="1"/>
  <c r="EB30" i="1" s="1"/>
  <c r="P30" i="1"/>
  <c r="DL30" i="1" s="1"/>
  <c r="DI39" i="1"/>
  <c r="AV12" i="1"/>
  <c r="ER12" i="1" s="1"/>
  <c r="P39" i="1"/>
  <c r="DL39" i="1" s="1"/>
  <c r="P12" i="1"/>
  <c r="DL12" i="1" s="1"/>
  <c r="PZ21" i="1" l="1"/>
  <c r="TV21" i="1"/>
  <c r="RX21" i="1"/>
  <c r="SO30" i="1"/>
  <c r="QQ30" i="1"/>
  <c r="OT39" i="1"/>
  <c r="SP39" i="1"/>
  <c r="QR39" i="1"/>
  <c r="SM39" i="1"/>
  <c r="QO39" i="1"/>
  <c r="SP12" i="1"/>
  <c r="QR12" i="1"/>
  <c r="TU12" i="1"/>
  <c r="RW12" i="1"/>
  <c r="TE30" i="1"/>
  <c r="RG30" i="1"/>
  <c r="PJ30" i="1"/>
  <c r="TF30" i="1"/>
  <c r="RH30" i="1"/>
  <c r="PZ12" i="1"/>
  <c r="TV12" i="1"/>
  <c r="RX12" i="1"/>
  <c r="TE12" i="1"/>
  <c r="RG12" i="1"/>
  <c r="OT30" i="1"/>
  <c r="SP30" i="1"/>
  <c r="QR30" i="1"/>
  <c r="SO21" i="1"/>
  <c r="QQ21" i="1"/>
  <c r="TU21" i="1"/>
  <c r="RW21" i="1"/>
  <c r="OT21" i="1"/>
  <c r="SP21" i="1"/>
  <c r="QR21" i="1"/>
  <c r="TE21" i="1"/>
  <c r="RG21" i="1"/>
  <c r="SO12" i="1"/>
  <c r="QQ12" i="1"/>
  <c r="PJ12" i="1"/>
  <c r="TF12" i="1"/>
  <c r="RH12" i="1"/>
  <c r="SO39" i="1"/>
  <c r="QQ39" i="1"/>
  <c r="PJ21" i="1"/>
  <c r="TF21" i="1"/>
  <c r="RH21" i="1"/>
  <c r="PJ39" i="1"/>
  <c r="TF39" i="1"/>
  <c r="RH39" i="1"/>
  <c r="RG39" i="1"/>
  <c r="TE39" i="1"/>
  <c r="KZ12" i="1"/>
  <c r="OT12" i="1"/>
  <c r="MW12" i="1"/>
  <c r="KY12" i="1"/>
  <c r="MV12" i="1"/>
  <c r="OS12" i="1"/>
  <c r="NL39" i="1"/>
  <c r="PI39" i="1"/>
  <c r="MT39" i="1"/>
  <c r="OQ39" i="1"/>
  <c r="MV39" i="1"/>
  <c r="OS39" i="1"/>
  <c r="NL30" i="1"/>
  <c r="PI30" i="1"/>
  <c r="MV30" i="1"/>
  <c r="OS30" i="1"/>
  <c r="OB21" i="1"/>
  <c r="PY21" i="1"/>
  <c r="NL21" i="1"/>
  <c r="PI21" i="1"/>
  <c r="MV21" i="1"/>
  <c r="OS21" i="1"/>
  <c r="OB12" i="1"/>
  <c r="PY12" i="1"/>
  <c r="NL12" i="1"/>
  <c r="PI12" i="1"/>
  <c r="LP39" i="1"/>
  <c r="NM39" i="1"/>
  <c r="KZ39" i="1"/>
  <c r="MW39" i="1"/>
  <c r="LP30" i="1"/>
  <c r="NM30" i="1"/>
  <c r="KZ30" i="1"/>
  <c r="MW30" i="1"/>
  <c r="MF21" i="1"/>
  <c r="OC21" i="1"/>
  <c r="LP21" i="1"/>
  <c r="NM21" i="1"/>
  <c r="KZ21" i="1"/>
  <c r="MW21" i="1"/>
  <c r="MF12" i="1"/>
  <c r="OC12" i="1"/>
  <c r="LP12" i="1"/>
  <c r="NM12" i="1"/>
  <c r="JR39" i="1"/>
  <c r="LO39" i="1"/>
  <c r="IZ39" i="1"/>
  <c r="KW39" i="1"/>
  <c r="JB39" i="1"/>
  <c r="KY39" i="1"/>
  <c r="JR30" i="1"/>
  <c r="LO30" i="1"/>
  <c r="JB30" i="1"/>
  <c r="KY30" i="1"/>
  <c r="KH21" i="1"/>
  <c r="ME21" i="1"/>
  <c r="JR21" i="1"/>
  <c r="LO21" i="1"/>
  <c r="JB21" i="1"/>
  <c r="KY21" i="1"/>
  <c r="KH12" i="1"/>
  <c r="ME12" i="1"/>
  <c r="JR12" i="1"/>
  <c r="LO12" i="1"/>
  <c r="JC12" i="1"/>
  <c r="HF12" i="1"/>
  <c r="FH12" i="1"/>
  <c r="JB12" i="1"/>
  <c r="HE12" i="1"/>
  <c r="IL21" i="1"/>
  <c r="KI21" i="1"/>
  <c r="HV39" i="1"/>
  <c r="JS39" i="1"/>
  <c r="HV30" i="1"/>
  <c r="JS30" i="1"/>
  <c r="IL12" i="1"/>
  <c r="KI12" i="1"/>
  <c r="HV21" i="1"/>
  <c r="JS21" i="1"/>
  <c r="HV12" i="1"/>
  <c r="JS12" i="1"/>
  <c r="HF30" i="1"/>
  <c r="JC30" i="1"/>
  <c r="HF21" i="1"/>
  <c r="JC21" i="1"/>
  <c r="HF39" i="1"/>
  <c r="JC39" i="1"/>
  <c r="FX39" i="1"/>
  <c r="HU39" i="1"/>
  <c r="FF39" i="1"/>
  <c r="HC39" i="1"/>
  <c r="FH39" i="1"/>
  <c r="HE39" i="1"/>
  <c r="FX30" i="1"/>
  <c r="HU30" i="1"/>
  <c r="FH30" i="1"/>
  <c r="HE30" i="1"/>
  <c r="GN21" i="1"/>
  <c r="IK21" i="1"/>
  <c r="FX21" i="1"/>
  <c r="HU21" i="1"/>
  <c r="FH21" i="1"/>
  <c r="HE21" i="1"/>
  <c r="GN12" i="1"/>
  <c r="IK12" i="1"/>
  <c r="FX12" i="1"/>
  <c r="HU12" i="1"/>
  <c r="DM12" i="1"/>
  <c r="FI12" i="1"/>
  <c r="GO21" i="1"/>
  <c r="ES21" i="1"/>
  <c r="FY39" i="1"/>
  <c r="EC39" i="1"/>
  <c r="FY30" i="1"/>
  <c r="EC30" i="1"/>
  <c r="DM39" i="1"/>
  <c r="FI39" i="1"/>
  <c r="DM30" i="1"/>
  <c r="FI30" i="1"/>
  <c r="FI21" i="1"/>
  <c r="DM21" i="1"/>
  <c r="EC21" i="1"/>
  <c r="FY21" i="1"/>
  <c r="EC12" i="1"/>
  <c r="FY12" i="1"/>
  <c r="ES12" i="1"/>
  <c r="GO12" i="1"/>
  <c r="AX12" i="1"/>
  <c r="ET12" i="1" s="1"/>
  <c r="AH30" i="1"/>
  <c r="ED30" i="1" s="1"/>
  <c r="AH39" i="1"/>
  <c r="ED39" i="1" s="1"/>
  <c r="R12" i="1"/>
  <c r="DN12" i="1" s="1"/>
  <c r="AH12" i="1"/>
  <c r="ED12" i="1" s="1"/>
  <c r="R39" i="1"/>
  <c r="DN39" i="1" s="1"/>
  <c r="AX21" i="1"/>
  <c r="ET21" i="1" s="1"/>
  <c r="R30" i="1"/>
  <c r="DN30" i="1" s="1"/>
  <c r="R21" i="1"/>
  <c r="DN21" i="1" s="1"/>
  <c r="AH21" i="1"/>
  <c r="ED21" i="1" s="1"/>
  <c r="PL30" i="1" l="1"/>
  <c r="TH30" i="1"/>
  <c r="RJ30" i="1"/>
  <c r="TG30" i="1"/>
  <c r="RI30" i="1"/>
  <c r="PL21" i="1"/>
  <c r="TH21" i="1"/>
  <c r="RJ21" i="1"/>
  <c r="OV21" i="1"/>
  <c r="SR21" i="1"/>
  <c r="QT21" i="1"/>
  <c r="TG12" i="1"/>
  <c r="RI12" i="1"/>
  <c r="OV30" i="1"/>
  <c r="SR30" i="1"/>
  <c r="QT30" i="1"/>
  <c r="TW21" i="1"/>
  <c r="RY21" i="1"/>
  <c r="QB21" i="1"/>
  <c r="TX21" i="1"/>
  <c r="RZ21" i="1"/>
  <c r="TG21" i="1"/>
  <c r="RI21" i="1"/>
  <c r="OV39" i="1"/>
  <c r="SR39" i="1"/>
  <c r="QT39" i="1"/>
  <c r="SQ21" i="1"/>
  <c r="QS21" i="1"/>
  <c r="SQ30" i="1"/>
  <c r="QS30" i="1"/>
  <c r="QB12" i="1"/>
  <c r="TX12" i="1"/>
  <c r="RZ12" i="1"/>
  <c r="SQ39" i="1"/>
  <c r="QS39" i="1"/>
  <c r="TW12" i="1"/>
  <c r="RY12" i="1"/>
  <c r="PL12" i="1"/>
  <c r="RJ12" i="1"/>
  <c r="TH12" i="1"/>
  <c r="SQ12" i="1"/>
  <c r="QS12" i="1"/>
  <c r="SR12" i="1"/>
  <c r="QT12" i="1"/>
  <c r="TG39" i="1"/>
  <c r="RI39" i="1"/>
  <c r="PL39" i="1"/>
  <c r="TH39" i="1"/>
  <c r="RJ39" i="1"/>
  <c r="LA12" i="1"/>
  <c r="MX12" i="1"/>
  <c r="OU12" i="1"/>
  <c r="LB12" i="1"/>
  <c r="OV12" i="1"/>
  <c r="MY12" i="1"/>
  <c r="NN39" i="1"/>
  <c r="PK39" i="1"/>
  <c r="MX39" i="1"/>
  <c r="OU39" i="1"/>
  <c r="NN30" i="1"/>
  <c r="PK30" i="1"/>
  <c r="MX30" i="1"/>
  <c r="OU30" i="1"/>
  <c r="OD21" i="1"/>
  <c r="QA21" i="1"/>
  <c r="NN21" i="1"/>
  <c r="PK21" i="1"/>
  <c r="MX21" i="1"/>
  <c r="OU21" i="1"/>
  <c r="OD12" i="1"/>
  <c r="QA12" i="1"/>
  <c r="NN12" i="1"/>
  <c r="PK12" i="1"/>
  <c r="LR39" i="1"/>
  <c r="NO39" i="1"/>
  <c r="LB39" i="1"/>
  <c r="MY39" i="1"/>
  <c r="LR30" i="1"/>
  <c r="NO30" i="1"/>
  <c r="LB30" i="1"/>
  <c r="MY30" i="1"/>
  <c r="MH21" i="1"/>
  <c r="OE21" i="1"/>
  <c r="LR21" i="1"/>
  <c r="NO21" i="1"/>
  <c r="LB21" i="1"/>
  <c r="MY21" i="1"/>
  <c r="MH12" i="1"/>
  <c r="OE12" i="1"/>
  <c r="LR12" i="1"/>
  <c r="NO12" i="1"/>
  <c r="JT39" i="1"/>
  <c r="LQ39" i="1"/>
  <c r="JD39" i="1"/>
  <c r="LA39" i="1"/>
  <c r="JT30" i="1"/>
  <c r="LQ30" i="1"/>
  <c r="JD30" i="1"/>
  <c r="LA30" i="1"/>
  <c r="KJ21" i="1"/>
  <c r="MG21" i="1"/>
  <c r="JT21" i="1"/>
  <c r="LQ21" i="1"/>
  <c r="JD21" i="1"/>
  <c r="LA21" i="1"/>
  <c r="KJ12" i="1"/>
  <c r="MG12" i="1"/>
  <c r="JT12" i="1"/>
  <c r="LQ12" i="1"/>
  <c r="FJ12" i="1"/>
  <c r="JD12" i="1"/>
  <c r="HG12" i="1"/>
  <c r="JE12" i="1"/>
  <c r="HH12" i="1"/>
  <c r="IN21" i="1"/>
  <c r="KK21" i="1"/>
  <c r="HX39" i="1"/>
  <c r="JU39" i="1"/>
  <c r="HX30" i="1"/>
  <c r="JU30" i="1"/>
  <c r="IN12" i="1"/>
  <c r="KK12" i="1"/>
  <c r="HX21" i="1"/>
  <c r="JU21" i="1"/>
  <c r="HX12" i="1"/>
  <c r="JU12" i="1"/>
  <c r="HH30" i="1"/>
  <c r="JE30" i="1"/>
  <c r="HH21" i="1"/>
  <c r="JE21" i="1"/>
  <c r="HH39" i="1"/>
  <c r="JE39" i="1"/>
  <c r="FZ39" i="1"/>
  <c r="HW39" i="1"/>
  <c r="FJ39" i="1"/>
  <c r="HG39" i="1"/>
  <c r="FZ30" i="1"/>
  <c r="HW30" i="1"/>
  <c r="FJ30" i="1"/>
  <c r="HG30" i="1"/>
  <c r="GP21" i="1"/>
  <c r="IM21" i="1"/>
  <c r="FZ21" i="1"/>
  <c r="HW21" i="1"/>
  <c r="FJ21" i="1"/>
  <c r="HG21" i="1"/>
  <c r="GP12" i="1"/>
  <c r="IM12" i="1"/>
  <c r="FZ12" i="1"/>
  <c r="HW12" i="1"/>
  <c r="DO12" i="1"/>
  <c r="FK12" i="1"/>
  <c r="EU21" i="1"/>
  <c r="GQ21" i="1"/>
  <c r="EE39" i="1"/>
  <c r="GA39" i="1"/>
  <c r="EE30" i="1"/>
  <c r="GA30" i="1"/>
  <c r="DO39" i="1"/>
  <c r="FK39" i="1"/>
  <c r="DO30" i="1"/>
  <c r="FK30" i="1"/>
  <c r="EE21" i="1"/>
  <c r="GA21" i="1"/>
  <c r="DO21" i="1"/>
  <c r="FK21" i="1"/>
  <c r="EE12" i="1"/>
  <c r="GA12" i="1"/>
  <c r="EU12" i="1"/>
  <c r="GQ12" i="1"/>
  <c r="T39" i="1"/>
  <c r="DP39" i="1" s="1"/>
  <c r="AJ21" i="1"/>
  <c r="EF21" i="1" s="1"/>
  <c r="AZ12" i="1"/>
  <c r="EV12" i="1" s="1"/>
  <c r="AZ21" i="1"/>
  <c r="EV21" i="1" s="1"/>
  <c r="T21" i="1"/>
  <c r="DP21" i="1" s="1"/>
  <c r="AJ12" i="1"/>
  <c r="EF12" i="1" s="1"/>
  <c r="AJ39" i="1"/>
  <c r="EF39" i="1" s="1"/>
  <c r="T30" i="1"/>
  <c r="DP30" i="1" s="1"/>
  <c r="T12" i="1"/>
  <c r="DP12" i="1" s="1"/>
  <c r="AJ30" i="1"/>
  <c r="EF30" i="1" s="1"/>
  <c r="TY12" i="1" l="1"/>
  <c r="SA12" i="1"/>
  <c r="TI30" i="1"/>
  <c r="RK30" i="1"/>
  <c r="OX30" i="1"/>
  <c r="ST30" i="1"/>
  <c r="QV30" i="1"/>
  <c r="OX39" i="1"/>
  <c r="ST39" i="1"/>
  <c r="QV39" i="1"/>
  <c r="SS39" i="1"/>
  <c r="QU39" i="1"/>
  <c r="PN12" i="1"/>
  <c r="TJ12" i="1"/>
  <c r="RL12" i="1"/>
  <c r="PN30" i="1"/>
  <c r="TJ30" i="1"/>
  <c r="RL30" i="1"/>
  <c r="ST12" i="1"/>
  <c r="QV12" i="1"/>
  <c r="TI12" i="1"/>
  <c r="RK12" i="1"/>
  <c r="QU21" i="1"/>
  <c r="SS21" i="1"/>
  <c r="TY21" i="1"/>
  <c r="SA21" i="1"/>
  <c r="OX21" i="1"/>
  <c r="ST21" i="1"/>
  <c r="QV21" i="1"/>
  <c r="RK21" i="1"/>
  <c r="TI21" i="1"/>
  <c r="SS12" i="1"/>
  <c r="QU12" i="1"/>
  <c r="QD21" i="1"/>
  <c r="SB21" i="1"/>
  <c r="TZ21" i="1"/>
  <c r="QD12" i="1"/>
  <c r="TZ12" i="1"/>
  <c r="SB12" i="1"/>
  <c r="SS30" i="1"/>
  <c r="QU30" i="1"/>
  <c r="PN21" i="1"/>
  <c r="TJ21" i="1"/>
  <c r="RL21" i="1"/>
  <c r="PN39" i="1"/>
  <c r="TJ39" i="1"/>
  <c r="RL39" i="1"/>
  <c r="TI39" i="1"/>
  <c r="RK39" i="1"/>
  <c r="LC12" i="1"/>
  <c r="OW12" i="1"/>
  <c r="MZ12" i="1"/>
  <c r="LD12" i="1"/>
  <c r="NA12" i="1"/>
  <c r="OX12" i="1"/>
  <c r="NP39" i="1"/>
  <c r="PM39" i="1"/>
  <c r="MZ39" i="1"/>
  <c r="OW39" i="1"/>
  <c r="NP30" i="1"/>
  <c r="PM30" i="1"/>
  <c r="MZ30" i="1"/>
  <c r="OW30" i="1"/>
  <c r="OF21" i="1"/>
  <c r="QC21" i="1"/>
  <c r="NP21" i="1"/>
  <c r="PM21" i="1"/>
  <c r="MZ21" i="1"/>
  <c r="OW21" i="1"/>
  <c r="OF12" i="1"/>
  <c r="QC12" i="1"/>
  <c r="NP12" i="1"/>
  <c r="PM12" i="1"/>
  <c r="LT39" i="1"/>
  <c r="NQ39" i="1"/>
  <c r="LD39" i="1"/>
  <c r="NA39" i="1"/>
  <c r="LT30" i="1"/>
  <c r="NQ30" i="1"/>
  <c r="LD30" i="1"/>
  <c r="NA30" i="1"/>
  <c r="MJ21" i="1"/>
  <c r="OG21" i="1"/>
  <c r="LT21" i="1"/>
  <c r="NQ21" i="1"/>
  <c r="LD21" i="1"/>
  <c r="NA21" i="1"/>
  <c r="MJ12" i="1"/>
  <c r="OG12" i="1"/>
  <c r="LT12" i="1"/>
  <c r="NQ12" i="1"/>
  <c r="JV39" i="1"/>
  <c r="LS39" i="1"/>
  <c r="JF39" i="1"/>
  <c r="LC39" i="1"/>
  <c r="JV30" i="1"/>
  <c r="LS30" i="1"/>
  <c r="JF30" i="1"/>
  <c r="LC30" i="1"/>
  <c r="KL21" i="1"/>
  <c r="MI21" i="1"/>
  <c r="JV21" i="1"/>
  <c r="LS21" i="1"/>
  <c r="JF21" i="1"/>
  <c r="LC21" i="1"/>
  <c r="KL12" i="1"/>
  <c r="MI12" i="1"/>
  <c r="JV12" i="1"/>
  <c r="LS12" i="1"/>
  <c r="FL12" i="1"/>
  <c r="HI12" i="1"/>
  <c r="JF12" i="1"/>
  <c r="HJ12" i="1"/>
  <c r="JG12" i="1"/>
  <c r="IP21" i="1"/>
  <c r="KM21" i="1"/>
  <c r="HZ39" i="1"/>
  <c r="JW39" i="1"/>
  <c r="HZ30" i="1"/>
  <c r="JW30" i="1"/>
  <c r="IP12" i="1"/>
  <c r="KM12" i="1"/>
  <c r="HZ21" i="1"/>
  <c r="JW21" i="1"/>
  <c r="HZ12" i="1"/>
  <c r="JW12" i="1"/>
  <c r="HJ30" i="1"/>
  <c r="JG30" i="1"/>
  <c r="HJ21" i="1"/>
  <c r="JG21" i="1"/>
  <c r="HJ39" i="1"/>
  <c r="JG39" i="1"/>
  <c r="GB39" i="1"/>
  <c r="HY39" i="1"/>
  <c r="FL39" i="1"/>
  <c r="HI39" i="1"/>
  <c r="GB30" i="1"/>
  <c r="HY30" i="1"/>
  <c r="FL30" i="1"/>
  <c r="HI30" i="1"/>
  <c r="GR21" i="1"/>
  <c r="IO21" i="1"/>
  <c r="GB21" i="1"/>
  <c r="HY21" i="1"/>
  <c r="FL21" i="1"/>
  <c r="HI21" i="1"/>
  <c r="GR12" i="1"/>
  <c r="IO12" i="1"/>
  <c r="GB12" i="1"/>
  <c r="HY12" i="1"/>
  <c r="DQ12" i="1"/>
  <c r="FM12" i="1"/>
  <c r="EW21" i="1"/>
  <c r="GS21" i="1"/>
  <c r="EG39" i="1"/>
  <c r="GC39" i="1"/>
  <c r="EG30" i="1"/>
  <c r="GC30" i="1"/>
  <c r="DQ39" i="1"/>
  <c r="FM39" i="1"/>
  <c r="DQ30" i="1"/>
  <c r="FM30" i="1"/>
  <c r="DQ21" i="1"/>
  <c r="FM21" i="1"/>
  <c r="EG21" i="1"/>
  <c r="GC21" i="1"/>
  <c r="EW12" i="1"/>
  <c r="GS12" i="1"/>
  <c r="EG12" i="1"/>
  <c r="GC12" i="1"/>
  <c r="V21" i="1"/>
  <c r="DR21" i="1" s="1"/>
  <c r="AL21" i="1"/>
  <c r="EH21" i="1" s="1"/>
  <c r="BB12" i="1"/>
  <c r="EX12" i="1" s="1"/>
  <c r="AL30" i="1"/>
  <c r="EH30" i="1" s="1"/>
  <c r="AL39" i="1"/>
  <c r="EH39" i="1" s="1"/>
  <c r="BB21" i="1"/>
  <c r="EX21" i="1" s="1"/>
  <c r="V30" i="1"/>
  <c r="DR30" i="1" s="1"/>
  <c r="V12" i="1"/>
  <c r="DR12" i="1" s="1"/>
  <c r="AL12" i="1"/>
  <c r="EH12" i="1" s="1"/>
  <c r="V39" i="1"/>
  <c r="DR39" i="1" s="1"/>
  <c r="OZ39" i="1" l="1"/>
  <c r="SV39" i="1"/>
  <c r="QX39" i="1"/>
  <c r="QF12" i="1"/>
  <c r="SD12" i="1"/>
  <c r="UB12" i="1"/>
  <c r="SU30" i="1"/>
  <c r="QW30" i="1"/>
  <c r="OZ21" i="1"/>
  <c r="SV21" i="1"/>
  <c r="QX21" i="1"/>
  <c r="QW39" i="1"/>
  <c r="SU39" i="1"/>
  <c r="RM12" i="1"/>
  <c r="TK12" i="1"/>
  <c r="TK30" i="1"/>
  <c r="RM30" i="1"/>
  <c r="PP12" i="1"/>
  <c r="TL12" i="1"/>
  <c r="RN12" i="1"/>
  <c r="SC12" i="1"/>
  <c r="UA12" i="1"/>
  <c r="SV12" i="1"/>
  <c r="QX12" i="1"/>
  <c r="OZ30" i="1"/>
  <c r="SV30" i="1"/>
  <c r="QX30" i="1"/>
  <c r="TK21" i="1"/>
  <c r="RM21" i="1"/>
  <c r="UA21" i="1"/>
  <c r="SC21" i="1"/>
  <c r="QF21" i="1"/>
  <c r="SD21" i="1"/>
  <c r="UB21" i="1"/>
  <c r="SU21" i="1"/>
  <c r="QW21" i="1"/>
  <c r="SU12" i="1"/>
  <c r="QW12" i="1"/>
  <c r="PP30" i="1"/>
  <c r="RN30" i="1"/>
  <c r="TL30" i="1"/>
  <c r="PP21" i="1"/>
  <c r="RN21" i="1"/>
  <c r="TL21" i="1"/>
  <c r="PP39" i="1"/>
  <c r="TL39" i="1"/>
  <c r="RN39" i="1"/>
  <c r="TK39" i="1"/>
  <c r="RM39" i="1"/>
  <c r="LE12" i="1"/>
  <c r="NB12" i="1"/>
  <c r="OY12" i="1"/>
  <c r="LF12" i="1"/>
  <c r="NC12" i="1"/>
  <c r="OZ12" i="1"/>
  <c r="NR39" i="1"/>
  <c r="PO39" i="1"/>
  <c r="NB39" i="1"/>
  <c r="OY39" i="1"/>
  <c r="NR30" i="1"/>
  <c r="PO30" i="1"/>
  <c r="NB30" i="1"/>
  <c r="OY30" i="1"/>
  <c r="OH21" i="1"/>
  <c r="QE21" i="1"/>
  <c r="NR21" i="1"/>
  <c r="PO21" i="1"/>
  <c r="NB21" i="1"/>
  <c r="OY21" i="1"/>
  <c r="OH12" i="1"/>
  <c r="QE12" i="1"/>
  <c r="NR12" i="1"/>
  <c r="PO12" i="1"/>
  <c r="LV39" i="1"/>
  <c r="NS39" i="1"/>
  <c r="LF39" i="1"/>
  <c r="NC39" i="1"/>
  <c r="LV30" i="1"/>
  <c r="NS30" i="1"/>
  <c r="LF30" i="1"/>
  <c r="NC30" i="1"/>
  <c r="ML21" i="1"/>
  <c r="OI21" i="1"/>
  <c r="LV21" i="1"/>
  <c r="NS21" i="1"/>
  <c r="LF21" i="1"/>
  <c r="NC21" i="1"/>
  <c r="ML12" i="1"/>
  <c r="OI12" i="1"/>
  <c r="LV12" i="1"/>
  <c r="NS12" i="1"/>
  <c r="JX39" i="1"/>
  <c r="LU39" i="1"/>
  <c r="JH39" i="1"/>
  <c r="LE39" i="1"/>
  <c r="JX30" i="1"/>
  <c r="LU30" i="1"/>
  <c r="JH30" i="1"/>
  <c r="LE30" i="1"/>
  <c r="KN21" i="1"/>
  <c r="MK21" i="1"/>
  <c r="JX21" i="1"/>
  <c r="LU21" i="1"/>
  <c r="JH21" i="1"/>
  <c r="LE21" i="1"/>
  <c r="KN12" i="1"/>
  <c r="MK12" i="1"/>
  <c r="JX12" i="1"/>
  <c r="LU12" i="1"/>
  <c r="FN12" i="1"/>
  <c r="HK12" i="1"/>
  <c r="JH12" i="1"/>
  <c r="HL12" i="1"/>
  <c r="JI12" i="1"/>
  <c r="IR21" i="1"/>
  <c r="KO21" i="1"/>
  <c r="IB39" i="1"/>
  <c r="JY39" i="1"/>
  <c r="IB30" i="1"/>
  <c r="JY30" i="1"/>
  <c r="IR12" i="1"/>
  <c r="KO12" i="1"/>
  <c r="IB21" i="1"/>
  <c r="JY21" i="1"/>
  <c r="IB12" i="1"/>
  <c r="JY12" i="1"/>
  <c r="HL30" i="1"/>
  <c r="JI30" i="1"/>
  <c r="HL21" i="1"/>
  <c r="JI21" i="1"/>
  <c r="HL39" i="1"/>
  <c r="JI39" i="1"/>
  <c r="GD39" i="1"/>
  <c r="IA39" i="1"/>
  <c r="FN39" i="1"/>
  <c r="HK39" i="1"/>
  <c r="GD30" i="1"/>
  <c r="IA30" i="1"/>
  <c r="FN30" i="1"/>
  <c r="HK30" i="1"/>
  <c r="GT21" i="1"/>
  <c r="IQ21" i="1"/>
  <c r="GD21" i="1"/>
  <c r="IA21" i="1"/>
  <c r="FN21" i="1"/>
  <c r="HK21" i="1"/>
  <c r="GT12" i="1"/>
  <c r="IQ12" i="1"/>
  <c r="GD12" i="1"/>
  <c r="IA12" i="1"/>
  <c r="DS12" i="1"/>
  <c r="FO12" i="1"/>
  <c r="EY21" i="1"/>
  <c r="GU21" i="1"/>
  <c r="EI39" i="1"/>
  <c r="GE39" i="1"/>
  <c r="EI30" i="1"/>
  <c r="GE30" i="1"/>
  <c r="FO39" i="1"/>
  <c r="DS39" i="1"/>
  <c r="DS30" i="1"/>
  <c r="FO30" i="1"/>
  <c r="EI21" i="1"/>
  <c r="GE21" i="1"/>
  <c r="DS21" i="1"/>
  <c r="FO21" i="1"/>
  <c r="EY12" i="1"/>
  <c r="GU12" i="1"/>
  <c r="EI12" i="1"/>
  <c r="GE12" i="1"/>
  <c r="X21" i="1"/>
  <c r="DT21" i="1" s="1"/>
  <c r="BD12" i="1"/>
  <c r="EZ12" i="1" s="1"/>
  <c r="AN12" i="1"/>
  <c r="EJ12" i="1" s="1"/>
  <c r="X30" i="1"/>
  <c r="DT30" i="1" s="1"/>
  <c r="AN39" i="1"/>
  <c r="EJ39" i="1" s="1"/>
  <c r="X39" i="1"/>
  <c r="DT39" i="1" s="1"/>
  <c r="BD21" i="1"/>
  <c r="EZ21" i="1" s="1"/>
  <c r="X12" i="1"/>
  <c r="DT12" i="1" s="1"/>
  <c r="AN30" i="1"/>
  <c r="EJ30" i="1" s="1"/>
  <c r="AN21" i="1"/>
  <c r="EJ21" i="1" s="1"/>
  <c r="PR21" i="1" l="1"/>
  <c r="TN21" i="1"/>
  <c r="RP21" i="1"/>
  <c r="PR30" i="1"/>
  <c r="RP30" i="1"/>
  <c r="TN30" i="1"/>
  <c r="UC12" i="1"/>
  <c r="SE12" i="1"/>
  <c r="QZ12" i="1"/>
  <c r="SX12" i="1"/>
  <c r="TM12" i="1"/>
  <c r="RO12" i="1"/>
  <c r="TM30" i="1"/>
  <c r="RO30" i="1"/>
  <c r="QH21" i="1"/>
  <c r="UD21" i="1"/>
  <c r="SF21" i="1"/>
  <c r="SW21" i="1"/>
  <c r="QY21" i="1"/>
  <c r="UC21" i="1"/>
  <c r="SE21" i="1"/>
  <c r="PB39" i="1"/>
  <c r="SX39" i="1"/>
  <c r="QZ39" i="1"/>
  <c r="TM21" i="1"/>
  <c r="RO21" i="1"/>
  <c r="QY12" i="1"/>
  <c r="SW12" i="1"/>
  <c r="PB30" i="1"/>
  <c r="QZ30" i="1"/>
  <c r="SX30" i="1"/>
  <c r="PR12" i="1"/>
  <c r="RP12" i="1"/>
  <c r="TN12" i="1"/>
  <c r="SW30" i="1"/>
  <c r="QY30" i="1"/>
  <c r="QH12" i="1"/>
  <c r="UD12" i="1"/>
  <c r="SF12" i="1"/>
  <c r="SW39" i="1"/>
  <c r="QY39" i="1"/>
  <c r="PB21" i="1"/>
  <c r="QZ21" i="1"/>
  <c r="SX21" i="1"/>
  <c r="PR39" i="1"/>
  <c r="TN39" i="1"/>
  <c r="RP39" i="1"/>
  <c r="TM39" i="1"/>
  <c r="RO39" i="1"/>
  <c r="LG12" i="1"/>
  <c r="ND12" i="1"/>
  <c r="PA12" i="1"/>
  <c r="LH12" i="1"/>
  <c r="NE12" i="1"/>
  <c r="PB12" i="1"/>
  <c r="NT39" i="1"/>
  <c r="PQ39" i="1"/>
  <c r="ND39" i="1"/>
  <c r="PA39" i="1"/>
  <c r="NT30" i="1"/>
  <c r="PQ30" i="1"/>
  <c r="ND30" i="1"/>
  <c r="PA30" i="1"/>
  <c r="OJ21" i="1"/>
  <c r="QG21" i="1"/>
  <c r="NT21" i="1"/>
  <c r="PQ21" i="1"/>
  <c r="ND21" i="1"/>
  <c r="PA21" i="1"/>
  <c r="OJ12" i="1"/>
  <c r="QG12" i="1"/>
  <c r="NT12" i="1"/>
  <c r="PQ12" i="1"/>
  <c r="LX39" i="1"/>
  <c r="NU39" i="1"/>
  <c r="LH39" i="1"/>
  <c r="NE39" i="1"/>
  <c r="LX30" i="1"/>
  <c r="NU30" i="1"/>
  <c r="LH30" i="1"/>
  <c r="NE30" i="1"/>
  <c r="MN21" i="1"/>
  <c r="OK21" i="1"/>
  <c r="LX21" i="1"/>
  <c r="NU21" i="1"/>
  <c r="LH21" i="1"/>
  <c r="NE21" i="1"/>
  <c r="MN12" i="1"/>
  <c r="OK12" i="1"/>
  <c r="LX12" i="1"/>
  <c r="NU12" i="1"/>
  <c r="JZ39" i="1"/>
  <c r="LW39" i="1"/>
  <c r="JJ39" i="1"/>
  <c r="LG39" i="1"/>
  <c r="JZ30" i="1"/>
  <c r="LW30" i="1"/>
  <c r="JJ30" i="1"/>
  <c r="LG30" i="1"/>
  <c r="KP21" i="1"/>
  <c r="MM21" i="1"/>
  <c r="JZ21" i="1"/>
  <c r="LW21" i="1"/>
  <c r="JJ21" i="1"/>
  <c r="LG21" i="1"/>
  <c r="KP12" i="1"/>
  <c r="MM12" i="1"/>
  <c r="JZ12" i="1"/>
  <c r="LW12" i="1"/>
  <c r="JK12" i="1"/>
  <c r="HN12" i="1"/>
  <c r="FP12" i="1"/>
  <c r="JJ12" i="1"/>
  <c r="HM12" i="1"/>
  <c r="IT21" i="1"/>
  <c r="KQ21" i="1"/>
  <c r="ID39" i="1"/>
  <c r="KA39" i="1"/>
  <c r="ID30" i="1"/>
  <c r="KA30" i="1"/>
  <c r="IT12" i="1"/>
  <c r="KQ12" i="1"/>
  <c r="ID21" i="1"/>
  <c r="KA21" i="1"/>
  <c r="ID12" i="1"/>
  <c r="KA12" i="1"/>
  <c r="HN30" i="1"/>
  <c r="JK30" i="1"/>
  <c r="HN21" i="1"/>
  <c r="JK21" i="1"/>
  <c r="HN39" i="1"/>
  <c r="JK39" i="1"/>
  <c r="GF39" i="1"/>
  <c r="IC39" i="1"/>
  <c r="FP39" i="1"/>
  <c r="HM39" i="1"/>
  <c r="GF30" i="1"/>
  <c r="IC30" i="1"/>
  <c r="FP30" i="1"/>
  <c r="HM30" i="1"/>
  <c r="GV21" i="1"/>
  <c r="IS21" i="1"/>
  <c r="GF21" i="1"/>
  <c r="IC21" i="1"/>
  <c r="FP21" i="1"/>
  <c r="HM21" i="1"/>
  <c r="GV12" i="1"/>
  <c r="IS12" i="1"/>
  <c r="GF12" i="1"/>
  <c r="IC12" i="1"/>
  <c r="FQ12" i="1"/>
  <c r="DU12" i="1"/>
  <c r="GW21" i="1"/>
  <c r="FA21" i="1"/>
  <c r="EK39" i="1"/>
  <c r="GG39" i="1"/>
  <c r="EK30" i="1"/>
  <c r="GG30" i="1"/>
  <c r="DU39" i="1"/>
  <c r="FQ39" i="1"/>
  <c r="FQ30" i="1"/>
  <c r="DU30" i="1"/>
  <c r="EK21" i="1"/>
  <c r="GG21" i="1"/>
  <c r="FQ21" i="1"/>
  <c r="DU21" i="1"/>
  <c r="EK12" i="1"/>
  <c r="GG12" i="1"/>
  <c r="FA12" i="1"/>
  <c r="GW12" i="1"/>
  <c r="L13" i="1"/>
  <c r="DH13" i="1" s="1"/>
  <c r="AB22" i="1"/>
  <c r="DX22" i="1" s="1"/>
  <c r="L40" i="1"/>
  <c r="AB13" i="1"/>
  <c r="DX13" i="1" s="1"/>
  <c r="AB31" i="1"/>
  <c r="DX31" i="1" s="1"/>
  <c r="AR22" i="1"/>
  <c r="EN22" i="1" s="1"/>
  <c r="AR13" i="1"/>
  <c r="EN13" i="1" s="1"/>
  <c r="AB40" i="1"/>
  <c r="DX40" i="1" s="1"/>
  <c r="L22" i="1"/>
  <c r="DH22" i="1" s="1"/>
  <c r="L31" i="1"/>
  <c r="DH31" i="1" s="1"/>
  <c r="OP31" i="1" l="1"/>
  <c r="SL31" i="1"/>
  <c r="QN31" i="1"/>
  <c r="OP22" i="1"/>
  <c r="SL22" i="1"/>
  <c r="QN22" i="1"/>
  <c r="PV13" i="1"/>
  <c r="TR13" i="1"/>
  <c r="RT13" i="1"/>
  <c r="PV22" i="1"/>
  <c r="TR22" i="1"/>
  <c r="RT22" i="1"/>
  <c r="PF31" i="1"/>
  <c r="TB31" i="1"/>
  <c r="RD31" i="1"/>
  <c r="PF13" i="1"/>
  <c r="TB13" i="1"/>
  <c r="RD13" i="1"/>
  <c r="PF22" i="1"/>
  <c r="TB22" i="1"/>
  <c r="RD22" i="1"/>
  <c r="SL13" i="1"/>
  <c r="QN13" i="1"/>
  <c r="SG12" i="1"/>
  <c r="UE12" i="1"/>
  <c r="RQ12" i="1"/>
  <c r="TO12" i="1"/>
  <c r="SY21" i="1"/>
  <c r="RA21" i="1"/>
  <c r="RQ21" i="1"/>
  <c r="TO21" i="1"/>
  <c r="SY30" i="1"/>
  <c r="RA30" i="1"/>
  <c r="SY39" i="1"/>
  <c r="RA39" i="1"/>
  <c r="TO30" i="1"/>
  <c r="RQ30" i="1"/>
  <c r="UE21" i="1"/>
  <c r="SG21" i="1"/>
  <c r="RA12" i="1"/>
  <c r="SY12" i="1"/>
  <c r="PF40" i="1"/>
  <c r="TB40" i="1"/>
  <c r="RD40" i="1"/>
  <c r="TO39" i="1"/>
  <c r="RQ39" i="1"/>
  <c r="LI12" i="1"/>
  <c r="NF12" i="1"/>
  <c r="PC12" i="1"/>
  <c r="KV13" i="1"/>
  <c r="OP13" i="1"/>
  <c r="MS13" i="1"/>
  <c r="NV39" i="1"/>
  <c r="PS39" i="1"/>
  <c r="NF39" i="1"/>
  <c r="PC39" i="1"/>
  <c r="NV30" i="1"/>
  <c r="PS30" i="1"/>
  <c r="NF30" i="1"/>
  <c r="PC30" i="1"/>
  <c r="OL21" i="1"/>
  <c r="QI21" i="1"/>
  <c r="NV21" i="1"/>
  <c r="PS21" i="1"/>
  <c r="NF21" i="1"/>
  <c r="PC21" i="1"/>
  <c r="OL12" i="1"/>
  <c r="QI12" i="1"/>
  <c r="NV12" i="1"/>
  <c r="PS12" i="1"/>
  <c r="LL40" i="1"/>
  <c r="NI40" i="1"/>
  <c r="LL31" i="1"/>
  <c r="NI31" i="1"/>
  <c r="KV31" i="1"/>
  <c r="MS31" i="1"/>
  <c r="MB22" i="1"/>
  <c r="NY22" i="1"/>
  <c r="LL22" i="1"/>
  <c r="NI22" i="1"/>
  <c r="KV22" i="1"/>
  <c r="MS22" i="1"/>
  <c r="MB13" i="1"/>
  <c r="NY13" i="1"/>
  <c r="LL13" i="1"/>
  <c r="NI13" i="1"/>
  <c r="KB39" i="1"/>
  <c r="LY39" i="1"/>
  <c r="JL39" i="1"/>
  <c r="LI39" i="1"/>
  <c r="KB30" i="1"/>
  <c r="LY30" i="1"/>
  <c r="JL30" i="1"/>
  <c r="LI30" i="1"/>
  <c r="KR21" i="1"/>
  <c r="MO21" i="1"/>
  <c r="KB21" i="1"/>
  <c r="LY21" i="1"/>
  <c r="JL21" i="1"/>
  <c r="LI21" i="1"/>
  <c r="KR12" i="1"/>
  <c r="MO12" i="1"/>
  <c r="KB12" i="1"/>
  <c r="LY12" i="1"/>
  <c r="IY13" i="1"/>
  <c r="HB13" i="1"/>
  <c r="FR12" i="1"/>
  <c r="JL12" i="1"/>
  <c r="HO12" i="1"/>
  <c r="IH22" i="1"/>
  <c r="KE22" i="1"/>
  <c r="HR40" i="1"/>
  <c r="JO40" i="1"/>
  <c r="HR31" i="1"/>
  <c r="JO31" i="1"/>
  <c r="IH13" i="1"/>
  <c r="KE13" i="1"/>
  <c r="HR22" i="1"/>
  <c r="JO22" i="1"/>
  <c r="HR13" i="1"/>
  <c r="JO13" i="1"/>
  <c r="HB31" i="1"/>
  <c r="IY31" i="1"/>
  <c r="HB22" i="1"/>
  <c r="IY22" i="1"/>
  <c r="GH39" i="1"/>
  <c r="IE39" i="1"/>
  <c r="FR39" i="1"/>
  <c r="HO39" i="1"/>
  <c r="GH30" i="1"/>
  <c r="IE30" i="1"/>
  <c r="FR30" i="1"/>
  <c r="HO30" i="1"/>
  <c r="GX21" i="1"/>
  <c r="IU21" i="1"/>
  <c r="GH21" i="1"/>
  <c r="IE21" i="1"/>
  <c r="FR21" i="1"/>
  <c r="HO21" i="1"/>
  <c r="GX12" i="1"/>
  <c r="IU12" i="1"/>
  <c r="GH12" i="1"/>
  <c r="IE12" i="1"/>
  <c r="DI13" i="1"/>
  <c r="FE13" i="1"/>
  <c r="EO22" i="1"/>
  <c r="GK22" i="1"/>
  <c r="DY40" i="1"/>
  <c r="FU40" i="1"/>
  <c r="DY31" i="1"/>
  <c r="FU31" i="1"/>
  <c r="DI31" i="1"/>
  <c r="FE31" i="1"/>
  <c r="DY22" i="1"/>
  <c r="FU22" i="1"/>
  <c r="DI22" i="1"/>
  <c r="FE22" i="1"/>
  <c r="DY13" i="1"/>
  <c r="FU13" i="1"/>
  <c r="EO13" i="1"/>
  <c r="GK13" i="1"/>
  <c r="N22" i="1"/>
  <c r="DJ22" i="1" s="1"/>
  <c r="N13" i="1"/>
  <c r="DJ13" i="1" s="1"/>
  <c r="N31" i="1"/>
  <c r="DJ31" i="1" s="1"/>
  <c r="AT22" i="1"/>
  <c r="EP22" i="1" s="1"/>
  <c r="AD13" i="1"/>
  <c r="DZ13" i="1" s="1"/>
  <c r="N40" i="1"/>
  <c r="DJ40" i="1" s="1"/>
  <c r="DH40" i="1"/>
  <c r="AT13" i="1"/>
  <c r="EP13" i="1" s="1"/>
  <c r="AD22" i="1"/>
  <c r="DZ22" i="1" s="1"/>
  <c r="AD40" i="1"/>
  <c r="DZ40" i="1" s="1"/>
  <c r="AD31" i="1"/>
  <c r="DZ31" i="1" s="1"/>
  <c r="PH31" i="1" l="1"/>
  <c r="TD31" i="1"/>
  <c r="RF31" i="1"/>
  <c r="PH22" i="1"/>
  <c r="TD22" i="1"/>
  <c r="RF22" i="1"/>
  <c r="PX13" i="1"/>
  <c r="TT13" i="1"/>
  <c r="RV13" i="1"/>
  <c r="SL40" i="1"/>
  <c r="QN40" i="1"/>
  <c r="OR40" i="1"/>
  <c r="SN40" i="1"/>
  <c r="QP40" i="1"/>
  <c r="PH13" i="1"/>
  <c r="TD13" i="1"/>
  <c r="RF13" i="1"/>
  <c r="PX22" i="1"/>
  <c r="TT22" i="1"/>
  <c r="RV22" i="1"/>
  <c r="OR31" i="1"/>
  <c r="SN31" i="1"/>
  <c r="QP31" i="1"/>
  <c r="SN13" i="1"/>
  <c r="QP13" i="1"/>
  <c r="OR22" i="1"/>
  <c r="SN22" i="1"/>
  <c r="QP22" i="1"/>
  <c r="TS13" i="1"/>
  <c r="RU13" i="1"/>
  <c r="TC13" i="1"/>
  <c r="RE13" i="1"/>
  <c r="SM22" i="1"/>
  <c r="QO22" i="1"/>
  <c r="TC22" i="1"/>
  <c r="RE22" i="1"/>
  <c r="SM31" i="1"/>
  <c r="QO31" i="1"/>
  <c r="TC31" i="1"/>
  <c r="RE31" i="1"/>
  <c r="TS22" i="1"/>
  <c r="RU22" i="1"/>
  <c r="SM13" i="1"/>
  <c r="QO13" i="1"/>
  <c r="TC40" i="1"/>
  <c r="RE40" i="1"/>
  <c r="PH40" i="1"/>
  <c r="TD40" i="1"/>
  <c r="RF40" i="1"/>
  <c r="KX13" i="1"/>
  <c r="OR13" i="1"/>
  <c r="MU13" i="1"/>
  <c r="KW13" i="1"/>
  <c r="OQ13" i="1"/>
  <c r="MT13" i="1"/>
  <c r="NJ40" i="1"/>
  <c r="PG40" i="1"/>
  <c r="MS40" i="1"/>
  <c r="OP40" i="1"/>
  <c r="NJ31" i="1"/>
  <c r="PG31" i="1"/>
  <c r="MT31" i="1"/>
  <c r="OQ31" i="1"/>
  <c r="NZ22" i="1"/>
  <c r="PW22" i="1"/>
  <c r="NJ22" i="1"/>
  <c r="PG22" i="1"/>
  <c r="MT22" i="1"/>
  <c r="OQ22" i="1"/>
  <c r="NZ13" i="1"/>
  <c r="PW13" i="1"/>
  <c r="NJ13" i="1"/>
  <c r="PG13" i="1"/>
  <c r="LN40" i="1"/>
  <c r="NK40" i="1"/>
  <c r="KX40" i="1"/>
  <c r="MU40" i="1"/>
  <c r="LN31" i="1"/>
  <c r="NK31" i="1"/>
  <c r="KX31" i="1"/>
  <c r="MU31" i="1"/>
  <c r="MD22" i="1"/>
  <c r="OA22" i="1"/>
  <c r="LN22" i="1"/>
  <c r="NK22" i="1"/>
  <c r="KX22" i="1"/>
  <c r="MU22" i="1"/>
  <c r="MD13" i="1"/>
  <c r="OA13" i="1"/>
  <c r="LN13" i="1"/>
  <c r="NK13" i="1"/>
  <c r="JP40" i="1"/>
  <c r="LM40" i="1"/>
  <c r="IY40" i="1"/>
  <c r="KV40" i="1"/>
  <c r="JP31" i="1"/>
  <c r="LM31" i="1"/>
  <c r="IZ31" i="1"/>
  <c r="KW31" i="1"/>
  <c r="KF22" i="1"/>
  <c r="MC22" i="1"/>
  <c r="JP22" i="1"/>
  <c r="LM22" i="1"/>
  <c r="IZ22" i="1"/>
  <c r="KW22" i="1"/>
  <c r="KF13" i="1"/>
  <c r="MC13" i="1"/>
  <c r="JP13" i="1"/>
  <c r="LM13" i="1"/>
  <c r="FF13" i="1"/>
  <c r="IZ13" i="1"/>
  <c r="HC13" i="1"/>
  <c r="JA13" i="1"/>
  <c r="HD13" i="1"/>
  <c r="IJ22" i="1"/>
  <c r="KG22" i="1"/>
  <c r="HT40" i="1"/>
  <c r="JQ40" i="1"/>
  <c r="HT31" i="1"/>
  <c r="JQ31" i="1"/>
  <c r="IJ13" i="1"/>
  <c r="KG13" i="1"/>
  <c r="HT22" i="1"/>
  <c r="JQ22" i="1"/>
  <c r="HT13" i="1"/>
  <c r="JQ13" i="1"/>
  <c r="HD31" i="1"/>
  <c r="JA31" i="1"/>
  <c r="HD22" i="1"/>
  <c r="JA22" i="1"/>
  <c r="HD40" i="1"/>
  <c r="JA40" i="1"/>
  <c r="FV40" i="1"/>
  <c r="HS40" i="1"/>
  <c r="FE40" i="1"/>
  <c r="HB40" i="1"/>
  <c r="FV31" i="1"/>
  <c r="HS31" i="1"/>
  <c r="FF31" i="1"/>
  <c r="HC31" i="1"/>
  <c r="GL22" i="1"/>
  <c r="II22" i="1"/>
  <c r="FV22" i="1"/>
  <c r="HS22" i="1"/>
  <c r="FF22" i="1"/>
  <c r="HC22" i="1"/>
  <c r="GL13" i="1"/>
  <c r="II13" i="1"/>
  <c r="FV13" i="1"/>
  <c r="HS13" i="1"/>
  <c r="DK13" i="1"/>
  <c r="FG13" i="1"/>
  <c r="EQ22" i="1"/>
  <c r="GM22" i="1"/>
  <c r="EA40" i="1"/>
  <c r="FW40" i="1"/>
  <c r="EA31" i="1"/>
  <c r="FW31" i="1"/>
  <c r="FG40" i="1"/>
  <c r="DK40" i="1"/>
  <c r="DK31" i="1"/>
  <c r="FG31" i="1"/>
  <c r="EA22" i="1"/>
  <c r="FW22" i="1"/>
  <c r="DK22" i="1"/>
  <c r="FG22" i="1"/>
  <c r="EA13" i="1"/>
  <c r="FW13" i="1"/>
  <c r="EQ13" i="1"/>
  <c r="GM13" i="1"/>
  <c r="AV13" i="1"/>
  <c r="ER13" i="1" s="1"/>
  <c r="AV22" i="1"/>
  <c r="ER22" i="1" s="1"/>
  <c r="P31" i="1"/>
  <c r="DL31" i="1" s="1"/>
  <c r="DI40" i="1"/>
  <c r="AF40" i="1"/>
  <c r="EB40" i="1" s="1"/>
  <c r="P40" i="1"/>
  <c r="DL40" i="1" s="1"/>
  <c r="P13" i="1"/>
  <c r="DL13" i="1" s="1"/>
  <c r="AF31" i="1"/>
  <c r="EB31" i="1" s="1"/>
  <c r="AF22" i="1"/>
  <c r="EB22" i="1" s="1"/>
  <c r="AF13" i="1"/>
  <c r="EB13" i="1" s="1"/>
  <c r="P22" i="1"/>
  <c r="DL22" i="1" s="1"/>
  <c r="OT22" i="1" l="1"/>
  <c r="SP22" i="1"/>
  <c r="QR22" i="1"/>
  <c r="PJ13" i="1"/>
  <c r="RH13" i="1"/>
  <c r="TF13" i="1"/>
  <c r="PJ22" i="1"/>
  <c r="TF22" i="1"/>
  <c r="RH22" i="1"/>
  <c r="PJ31" i="1"/>
  <c r="RH31" i="1"/>
  <c r="TF31" i="1"/>
  <c r="SP13" i="1"/>
  <c r="QR13" i="1"/>
  <c r="OT40" i="1"/>
  <c r="QR40" i="1"/>
  <c r="SP40" i="1"/>
  <c r="SM40" i="1"/>
  <c r="QO40" i="1"/>
  <c r="OT31" i="1"/>
  <c r="SP31" i="1"/>
  <c r="QR31" i="1"/>
  <c r="PZ22" i="1"/>
  <c r="TV22" i="1"/>
  <c r="RX22" i="1"/>
  <c r="PZ13" i="1"/>
  <c r="TV13" i="1"/>
  <c r="RX13" i="1"/>
  <c r="TU13" i="1"/>
  <c r="RW13" i="1"/>
  <c r="TE13" i="1"/>
  <c r="RG13" i="1"/>
  <c r="SO22" i="1"/>
  <c r="QQ22" i="1"/>
  <c r="TE22" i="1"/>
  <c r="RG22" i="1"/>
  <c r="SO31" i="1"/>
  <c r="QQ31" i="1"/>
  <c r="SO40" i="1"/>
  <c r="QQ40" i="1"/>
  <c r="TE31" i="1"/>
  <c r="RG31" i="1"/>
  <c r="TU22" i="1"/>
  <c r="RW22" i="1"/>
  <c r="SO13" i="1"/>
  <c r="QQ13" i="1"/>
  <c r="PJ40" i="1"/>
  <c r="TF40" i="1"/>
  <c r="RH40" i="1"/>
  <c r="TE40" i="1"/>
  <c r="RG40" i="1"/>
  <c r="KZ13" i="1"/>
  <c r="OT13" i="1"/>
  <c r="MW13" i="1"/>
  <c r="KY13" i="1"/>
  <c r="OS13" i="1"/>
  <c r="MV13" i="1"/>
  <c r="NL40" i="1"/>
  <c r="PI40" i="1"/>
  <c r="MV40" i="1"/>
  <c r="OS40" i="1"/>
  <c r="MT40" i="1"/>
  <c r="OQ40" i="1"/>
  <c r="NL31" i="1"/>
  <c r="PI31" i="1"/>
  <c r="MV31" i="1"/>
  <c r="OS31" i="1"/>
  <c r="OB22" i="1"/>
  <c r="PY22" i="1"/>
  <c r="NL22" i="1"/>
  <c r="PI22" i="1"/>
  <c r="MV22" i="1"/>
  <c r="OS22" i="1"/>
  <c r="OB13" i="1"/>
  <c r="PY13" i="1"/>
  <c r="NL13" i="1"/>
  <c r="PI13" i="1"/>
  <c r="LP40" i="1"/>
  <c r="NM40" i="1"/>
  <c r="KZ40" i="1"/>
  <c r="MW40" i="1"/>
  <c r="LP31" i="1"/>
  <c r="NM31" i="1"/>
  <c r="KZ31" i="1"/>
  <c r="MW31" i="1"/>
  <c r="MF22" i="1"/>
  <c r="OC22" i="1"/>
  <c r="LP22" i="1"/>
  <c r="NM22" i="1"/>
  <c r="KZ22" i="1"/>
  <c r="MW22" i="1"/>
  <c r="MF13" i="1"/>
  <c r="OC13" i="1"/>
  <c r="LP13" i="1"/>
  <c r="NM13" i="1"/>
  <c r="JR40" i="1"/>
  <c r="LO40" i="1"/>
  <c r="JB40" i="1"/>
  <c r="KY40" i="1"/>
  <c r="IZ40" i="1"/>
  <c r="KW40" i="1"/>
  <c r="JR31" i="1"/>
  <c r="LO31" i="1"/>
  <c r="JB31" i="1"/>
  <c r="KY31" i="1"/>
  <c r="KH22" i="1"/>
  <c r="ME22" i="1"/>
  <c r="JR22" i="1"/>
  <c r="LO22" i="1"/>
  <c r="JB22" i="1"/>
  <c r="KY22" i="1"/>
  <c r="KH13" i="1"/>
  <c r="ME13" i="1"/>
  <c r="JR13" i="1"/>
  <c r="LO13" i="1"/>
  <c r="FH13" i="1"/>
  <c r="HE13" i="1"/>
  <c r="JB13" i="1"/>
  <c r="HF13" i="1"/>
  <c r="JC13" i="1"/>
  <c r="IL22" i="1"/>
  <c r="KI22" i="1"/>
  <c r="HV40" i="1"/>
  <c r="JS40" i="1"/>
  <c r="HV31" i="1"/>
  <c r="JS31" i="1"/>
  <c r="IL13" i="1"/>
  <c r="KI13" i="1"/>
  <c r="HV22" i="1"/>
  <c r="JS22" i="1"/>
  <c r="HV13" i="1"/>
  <c r="JS13" i="1"/>
  <c r="HF31" i="1"/>
  <c r="JC31" i="1"/>
  <c r="HF22" i="1"/>
  <c r="JC22" i="1"/>
  <c r="HF40" i="1"/>
  <c r="JC40" i="1"/>
  <c r="FX40" i="1"/>
  <c r="HU40" i="1"/>
  <c r="FH40" i="1"/>
  <c r="HE40" i="1"/>
  <c r="FF40" i="1"/>
  <c r="HC40" i="1"/>
  <c r="FX31" i="1"/>
  <c r="HU31" i="1"/>
  <c r="FH31" i="1"/>
  <c r="HE31" i="1"/>
  <c r="GN22" i="1"/>
  <c r="IK22" i="1"/>
  <c r="FX22" i="1"/>
  <c r="HU22" i="1"/>
  <c r="FH22" i="1"/>
  <c r="HE22" i="1"/>
  <c r="GN13" i="1"/>
  <c r="IK13" i="1"/>
  <c r="FX13" i="1"/>
  <c r="HU13" i="1"/>
  <c r="DM13" i="1"/>
  <c r="FI13" i="1"/>
  <c r="ES22" i="1"/>
  <c r="GO22" i="1"/>
  <c r="EC40" i="1"/>
  <c r="FY40" i="1"/>
  <c r="EC31" i="1"/>
  <c r="FY31" i="1"/>
  <c r="DM40" i="1"/>
  <c r="FI40" i="1"/>
  <c r="DM31" i="1"/>
  <c r="FI31" i="1"/>
  <c r="EC22" i="1"/>
  <c r="FY22" i="1"/>
  <c r="DM22" i="1"/>
  <c r="FI22" i="1"/>
  <c r="EC13" i="1"/>
  <c r="FY13" i="1"/>
  <c r="ES13" i="1"/>
  <c r="GO13" i="1"/>
  <c r="R22" i="1"/>
  <c r="DN22" i="1" s="1"/>
  <c r="R31" i="1"/>
  <c r="DN31" i="1" s="1"/>
  <c r="AH13" i="1"/>
  <c r="ED13" i="1" s="1"/>
  <c r="R13" i="1"/>
  <c r="DN13" i="1" s="1"/>
  <c r="AX22" i="1"/>
  <c r="ET22" i="1" s="1"/>
  <c r="AH22" i="1"/>
  <c r="ED22" i="1" s="1"/>
  <c r="R40" i="1"/>
  <c r="DN40" i="1" s="1"/>
  <c r="AX13" i="1"/>
  <c r="ET13" i="1" s="1"/>
  <c r="AH31" i="1"/>
  <c r="ED31" i="1" s="1"/>
  <c r="AH40" i="1"/>
  <c r="ED40" i="1" s="1"/>
  <c r="PL31" i="1" l="1"/>
  <c r="TH31" i="1"/>
  <c r="RJ31" i="1"/>
  <c r="QB13" i="1"/>
  <c r="TX13" i="1"/>
  <c r="RZ13" i="1"/>
  <c r="OV40" i="1"/>
  <c r="SR40" i="1"/>
  <c r="QT40" i="1"/>
  <c r="PL22" i="1"/>
  <c r="TH22" i="1"/>
  <c r="RJ22" i="1"/>
  <c r="QB22" i="1"/>
  <c r="RZ22" i="1"/>
  <c r="TX22" i="1"/>
  <c r="SR13" i="1"/>
  <c r="QT13" i="1"/>
  <c r="PL13" i="1"/>
  <c r="TH13" i="1"/>
  <c r="RJ13" i="1"/>
  <c r="OV31" i="1"/>
  <c r="QT31" i="1"/>
  <c r="SR31" i="1"/>
  <c r="OV22" i="1"/>
  <c r="QT22" i="1"/>
  <c r="SR22" i="1"/>
  <c r="TW13" i="1"/>
  <c r="RY13" i="1"/>
  <c r="TG13" i="1"/>
  <c r="RI13" i="1"/>
  <c r="SQ22" i="1"/>
  <c r="QS22" i="1"/>
  <c r="TG22" i="1"/>
  <c r="RI22" i="1"/>
  <c r="SQ31" i="1"/>
  <c r="QS31" i="1"/>
  <c r="SQ40" i="1"/>
  <c r="QS40" i="1"/>
  <c r="TG31" i="1"/>
  <c r="RI31" i="1"/>
  <c r="RY22" i="1"/>
  <c r="TW22" i="1"/>
  <c r="SQ13" i="1"/>
  <c r="QS13" i="1"/>
  <c r="PL40" i="1"/>
  <c r="TH40" i="1"/>
  <c r="RJ40" i="1"/>
  <c r="TG40" i="1"/>
  <c r="RI40" i="1"/>
  <c r="LA13" i="1"/>
  <c r="MX13" i="1"/>
  <c r="OU13" i="1"/>
  <c r="LB13" i="1"/>
  <c r="OV13" i="1"/>
  <c r="MY13" i="1"/>
  <c r="NN40" i="1"/>
  <c r="PK40" i="1"/>
  <c r="MX40" i="1"/>
  <c r="OU40" i="1"/>
  <c r="NN31" i="1"/>
  <c r="PK31" i="1"/>
  <c r="MX31" i="1"/>
  <c r="OU31" i="1"/>
  <c r="OD22" i="1"/>
  <c r="QA22" i="1"/>
  <c r="NN22" i="1"/>
  <c r="PK22" i="1"/>
  <c r="MX22" i="1"/>
  <c r="OU22" i="1"/>
  <c r="OD13" i="1"/>
  <c r="QA13" i="1"/>
  <c r="NN13" i="1"/>
  <c r="PK13" i="1"/>
  <c r="LR40" i="1"/>
  <c r="NO40" i="1"/>
  <c r="LB40" i="1"/>
  <c r="MY40" i="1"/>
  <c r="LR31" i="1"/>
  <c r="NO31" i="1"/>
  <c r="LB31" i="1"/>
  <c r="MY31" i="1"/>
  <c r="MH22" i="1"/>
  <c r="OE22" i="1"/>
  <c r="LR22" i="1"/>
  <c r="NO22" i="1"/>
  <c r="LB22" i="1"/>
  <c r="MY22" i="1"/>
  <c r="MH13" i="1"/>
  <c r="OE13" i="1"/>
  <c r="LR13" i="1"/>
  <c r="NO13" i="1"/>
  <c r="JT40" i="1"/>
  <c r="LQ40" i="1"/>
  <c r="JD40" i="1"/>
  <c r="LA40" i="1"/>
  <c r="JT31" i="1"/>
  <c r="LQ31" i="1"/>
  <c r="JD31" i="1"/>
  <c r="LA31" i="1"/>
  <c r="KJ22" i="1"/>
  <c r="MG22" i="1"/>
  <c r="JT22" i="1"/>
  <c r="LQ22" i="1"/>
  <c r="JD22" i="1"/>
  <c r="LA22" i="1"/>
  <c r="KJ13" i="1"/>
  <c r="MG13" i="1"/>
  <c r="JT13" i="1"/>
  <c r="LQ13" i="1"/>
  <c r="FJ13" i="1"/>
  <c r="HG13" i="1"/>
  <c r="JD13" i="1"/>
  <c r="HH13" i="1"/>
  <c r="JE13" i="1"/>
  <c r="IN22" i="1"/>
  <c r="KK22" i="1"/>
  <c r="HX40" i="1"/>
  <c r="JU40" i="1"/>
  <c r="HX31" i="1"/>
  <c r="JU31" i="1"/>
  <c r="IN13" i="1"/>
  <c r="KK13" i="1"/>
  <c r="HX22" i="1"/>
  <c r="JU22" i="1"/>
  <c r="HX13" i="1"/>
  <c r="JU13" i="1"/>
  <c r="HH31" i="1"/>
  <c r="JE31" i="1"/>
  <c r="HH22" i="1"/>
  <c r="JE22" i="1"/>
  <c r="HH40" i="1"/>
  <c r="JE40" i="1"/>
  <c r="FZ40" i="1"/>
  <c r="HW40" i="1"/>
  <c r="FJ40" i="1"/>
  <c r="HG40" i="1"/>
  <c r="FZ31" i="1"/>
  <c r="HW31" i="1"/>
  <c r="FJ31" i="1"/>
  <c r="HG31" i="1"/>
  <c r="GP22" i="1"/>
  <c r="IM22" i="1"/>
  <c r="FZ22" i="1"/>
  <c r="HW22" i="1"/>
  <c r="FJ22" i="1"/>
  <c r="HG22" i="1"/>
  <c r="GP13" i="1"/>
  <c r="IM13" i="1"/>
  <c r="FZ13" i="1"/>
  <c r="HW13" i="1"/>
  <c r="FK13" i="1"/>
  <c r="DO13" i="1"/>
  <c r="EU22" i="1"/>
  <c r="GQ22" i="1"/>
  <c r="EE40" i="1"/>
  <c r="GA40" i="1"/>
  <c r="GA31" i="1"/>
  <c r="EE31" i="1"/>
  <c r="DO40" i="1"/>
  <c r="FK40" i="1"/>
  <c r="DO31" i="1"/>
  <c r="FK31" i="1"/>
  <c r="DO22" i="1"/>
  <c r="FK22" i="1"/>
  <c r="EE22" i="1"/>
  <c r="GA22" i="1"/>
  <c r="EE13" i="1"/>
  <c r="GA13" i="1"/>
  <c r="GQ13" i="1"/>
  <c r="EU13" i="1"/>
  <c r="T40" i="1"/>
  <c r="DP40" i="1" s="1"/>
  <c r="AJ40" i="1"/>
  <c r="EF40" i="1" s="1"/>
  <c r="AJ22" i="1"/>
  <c r="EF22" i="1" s="1"/>
  <c r="T13" i="1"/>
  <c r="DP13" i="1" s="1"/>
  <c r="AZ13" i="1"/>
  <c r="EV13" i="1" s="1"/>
  <c r="AJ31" i="1"/>
  <c r="EF31" i="1" s="1"/>
  <c r="AJ13" i="1"/>
  <c r="EF13" i="1" s="1"/>
  <c r="T31" i="1"/>
  <c r="DP31" i="1" s="1"/>
  <c r="T22" i="1"/>
  <c r="DP22" i="1" s="1"/>
  <c r="AZ22" i="1"/>
  <c r="EV22" i="1" s="1"/>
  <c r="AR39" i="1"/>
  <c r="EN39" i="1" s="1"/>
  <c r="PV39" i="1" l="1"/>
  <c r="TR39" i="1"/>
  <c r="RT39" i="1"/>
  <c r="QD22" i="1"/>
  <c r="SB22" i="1"/>
  <c r="TZ22" i="1"/>
  <c r="OX22" i="1"/>
  <c r="ST22" i="1"/>
  <c r="QV22" i="1"/>
  <c r="OX31" i="1"/>
  <c r="QV31" i="1"/>
  <c r="ST31" i="1"/>
  <c r="PN13" i="1"/>
  <c r="TJ13" i="1"/>
  <c r="RL13" i="1"/>
  <c r="PN31" i="1"/>
  <c r="RL31" i="1"/>
  <c r="TJ31" i="1"/>
  <c r="QD13" i="1"/>
  <c r="SB13" i="1"/>
  <c r="TZ13" i="1"/>
  <c r="ST13" i="1"/>
  <c r="QV13" i="1"/>
  <c r="PN22" i="1"/>
  <c r="RL22" i="1"/>
  <c r="TJ22" i="1"/>
  <c r="OX40" i="1"/>
  <c r="ST40" i="1"/>
  <c r="QV40" i="1"/>
  <c r="SA13" i="1"/>
  <c r="TY13" i="1"/>
  <c r="TI13" i="1"/>
  <c r="RK13" i="1"/>
  <c r="TI22" i="1"/>
  <c r="RK22" i="1"/>
  <c r="SS22" i="1"/>
  <c r="QU22" i="1"/>
  <c r="SS31" i="1"/>
  <c r="QU31" i="1"/>
  <c r="QU40" i="1"/>
  <c r="SS40" i="1"/>
  <c r="RK31" i="1"/>
  <c r="TI31" i="1"/>
  <c r="TY22" i="1"/>
  <c r="SA22" i="1"/>
  <c r="SS13" i="1"/>
  <c r="QU13" i="1"/>
  <c r="PN40" i="1"/>
  <c r="RL40" i="1"/>
  <c r="TJ40" i="1"/>
  <c r="TI40" i="1"/>
  <c r="RK40" i="1"/>
  <c r="LC13" i="1"/>
  <c r="OW13" i="1"/>
  <c r="MZ13" i="1"/>
  <c r="LD13" i="1"/>
  <c r="OX13" i="1"/>
  <c r="NA13" i="1"/>
  <c r="NP40" i="1"/>
  <c r="PM40" i="1"/>
  <c r="MZ40" i="1"/>
  <c r="OW40" i="1"/>
  <c r="NP31" i="1"/>
  <c r="PM31" i="1"/>
  <c r="MZ31" i="1"/>
  <c r="OW31" i="1"/>
  <c r="OF22" i="1"/>
  <c r="QC22" i="1"/>
  <c r="NP22" i="1"/>
  <c r="PM22" i="1"/>
  <c r="MZ22" i="1"/>
  <c r="OW22" i="1"/>
  <c r="OF13" i="1"/>
  <c r="QC13" i="1"/>
  <c r="NP13" i="1"/>
  <c r="PM13" i="1"/>
  <c r="MB39" i="1"/>
  <c r="NY39" i="1"/>
  <c r="LT40" i="1"/>
  <c r="NQ40" i="1"/>
  <c r="LD40" i="1"/>
  <c r="NA40" i="1"/>
  <c r="LT31" i="1"/>
  <c r="NQ31" i="1"/>
  <c r="LD31" i="1"/>
  <c r="NA31" i="1"/>
  <c r="MJ22" i="1"/>
  <c r="OG22" i="1"/>
  <c r="LT22" i="1"/>
  <c r="NQ22" i="1"/>
  <c r="LD22" i="1"/>
  <c r="NA22" i="1"/>
  <c r="MJ13" i="1"/>
  <c r="OG13" i="1"/>
  <c r="LT13" i="1"/>
  <c r="NQ13" i="1"/>
  <c r="JV40" i="1"/>
  <c r="LS40" i="1"/>
  <c r="JF40" i="1"/>
  <c r="LC40" i="1"/>
  <c r="JV31" i="1"/>
  <c r="LS31" i="1"/>
  <c r="JF31" i="1"/>
  <c r="LC31" i="1"/>
  <c r="KL22" i="1"/>
  <c r="MI22" i="1"/>
  <c r="JV22" i="1"/>
  <c r="LS22" i="1"/>
  <c r="JF22" i="1"/>
  <c r="LC22" i="1"/>
  <c r="KL13" i="1"/>
  <c r="MI13" i="1"/>
  <c r="JV13" i="1"/>
  <c r="LS13" i="1"/>
  <c r="JG13" i="1"/>
  <c r="HJ13" i="1"/>
  <c r="FL13" i="1"/>
  <c r="JF13" i="1"/>
  <c r="HI13" i="1"/>
  <c r="IP22" i="1"/>
  <c r="KM22" i="1"/>
  <c r="IH39" i="1"/>
  <c r="KE39" i="1"/>
  <c r="HZ40" i="1"/>
  <c r="JW40" i="1"/>
  <c r="HZ31" i="1"/>
  <c r="JW31" i="1"/>
  <c r="IP13" i="1"/>
  <c r="KM13" i="1"/>
  <c r="HZ22" i="1"/>
  <c r="JW22" i="1"/>
  <c r="HZ13" i="1"/>
  <c r="JW13" i="1"/>
  <c r="HJ31" i="1"/>
  <c r="JG31" i="1"/>
  <c r="HJ22" i="1"/>
  <c r="JG22" i="1"/>
  <c r="HJ40" i="1"/>
  <c r="JG40" i="1"/>
  <c r="GB40" i="1"/>
  <c r="HY40" i="1"/>
  <c r="FL40" i="1"/>
  <c r="HI40" i="1"/>
  <c r="GB31" i="1"/>
  <c r="HY31" i="1"/>
  <c r="FL31" i="1"/>
  <c r="HI31" i="1"/>
  <c r="GR22" i="1"/>
  <c r="IO22" i="1"/>
  <c r="GB22" i="1"/>
  <c r="HY22" i="1"/>
  <c r="FL22" i="1"/>
  <c r="HI22" i="1"/>
  <c r="GR13" i="1"/>
  <c r="IO13" i="1"/>
  <c r="GB13" i="1"/>
  <c r="HY13" i="1"/>
  <c r="DQ13" i="1"/>
  <c r="FM13" i="1"/>
  <c r="EO39" i="1"/>
  <c r="GK39" i="1"/>
  <c r="EW22" i="1"/>
  <c r="GS22" i="1"/>
  <c r="EG40" i="1"/>
  <c r="GC40" i="1"/>
  <c r="EG31" i="1"/>
  <c r="GC31" i="1"/>
  <c r="DQ40" i="1"/>
  <c r="FM40" i="1"/>
  <c r="DQ31" i="1"/>
  <c r="FM31" i="1"/>
  <c r="DQ22" i="1"/>
  <c r="FM22" i="1"/>
  <c r="EG22" i="1"/>
  <c r="GC22" i="1"/>
  <c r="EG13" i="1"/>
  <c r="GC13" i="1"/>
  <c r="EW13" i="1"/>
  <c r="GS13" i="1"/>
  <c r="BB22" i="1"/>
  <c r="EX22" i="1" s="1"/>
  <c r="V31" i="1"/>
  <c r="DR31" i="1" s="1"/>
  <c r="V13" i="1"/>
  <c r="DR13" i="1" s="1"/>
  <c r="V22" i="1"/>
  <c r="DR22" i="1" s="1"/>
  <c r="AL13" i="1"/>
  <c r="EH13" i="1" s="1"/>
  <c r="BB13" i="1"/>
  <c r="EX13" i="1" s="1"/>
  <c r="AL22" i="1"/>
  <c r="EH22" i="1" s="1"/>
  <c r="V40" i="1"/>
  <c r="DR40" i="1" s="1"/>
  <c r="AL31" i="1"/>
  <c r="EH31" i="1" s="1"/>
  <c r="AL40" i="1"/>
  <c r="EH40" i="1" s="1"/>
  <c r="AT39" i="1"/>
  <c r="EP39" i="1" s="1"/>
  <c r="PX39" i="1" l="1"/>
  <c r="TT39" i="1"/>
  <c r="RV39" i="1"/>
  <c r="PP31" i="1"/>
  <c r="TL31" i="1"/>
  <c r="RN31" i="1"/>
  <c r="OZ40" i="1"/>
  <c r="SV40" i="1"/>
  <c r="QX40" i="1"/>
  <c r="PP22" i="1"/>
  <c r="RN22" i="1"/>
  <c r="TL22" i="1"/>
  <c r="QF13" i="1"/>
  <c r="UB13" i="1"/>
  <c r="SD13" i="1"/>
  <c r="PP13" i="1"/>
  <c r="RN13" i="1"/>
  <c r="TL13" i="1"/>
  <c r="OZ22" i="1"/>
  <c r="QX22" i="1"/>
  <c r="SV22" i="1"/>
  <c r="SV13" i="1"/>
  <c r="QX13" i="1"/>
  <c r="OZ31" i="1"/>
  <c r="SV31" i="1"/>
  <c r="QX31" i="1"/>
  <c r="QF22" i="1"/>
  <c r="UB22" i="1"/>
  <c r="SD22" i="1"/>
  <c r="UA13" i="1"/>
  <c r="SC13" i="1"/>
  <c r="TK13" i="1"/>
  <c r="RM13" i="1"/>
  <c r="TK22" i="1"/>
  <c r="RM22" i="1"/>
  <c r="SU22" i="1"/>
  <c r="QW22" i="1"/>
  <c r="SU31" i="1"/>
  <c r="QW31" i="1"/>
  <c r="SU40" i="1"/>
  <c r="QW40" i="1"/>
  <c r="TK31" i="1"/>
  <c r="RM31" i="1"/>
  <c r="UA22" i="1"/>
  <c r="SC22" i="1"/>
  <c r="RU39" i="1"/>
  <c r="TS39" i="1"/>
  <c r="QW13" i="1"/>
  <c r="SU13" i="1"/>
  <c r="PP40" i="1"/>
  <c r="RN40" i="1"/>
  <c r="TL40" i="1"/>
  <c r="TK40" i="1"/>
  <c r="RM40" i="1"/>
  <c r="LF13" i="1"/>
  <c r="OZ13" i="1"/>
  <c r="NC13" i="1"/>
  <c r="LE13" i="1"/>
  <c r="OY13" i="1"/>
  <c r="NB13" i="1"/>
  <c r="NZ39" i="1"/>
  <c r="PW39" i="1"/>
  <c r="NR40" i="1"/>
  <c r="PO40" i="1"/>
  <c r="NB40" i="1"/>
  <c r="OY40" i="1"/>
  <c r="NR31" i="1"/>
  <c r="PO31" i="1"/>
  <c r="NB31" i="1"/>
  <c r="OY31" i="1"/>
  <c r="OH22" i="1"/>
  <c r="QE22" i="1"/>
  <c r="NR22" i="1"/>
  <c r="PO22" i="1"/>
  <c r="NB22" i="1"/>
  <c r="OY22" i="1"/>
  <c r="OH13" i="1"/>
  <c r="QE13" i="1"/>
  <c r="NR13" i="1"/>
  <c r="PO13" i="1"/>
  <c r="MD39" i="1"/>
  <c r="OA39" i="1"/>
  <c r="LV40" i="1"/>
  <c r="NS40" i="1"/>
  <c r="LF40" i="1"/>
  <c r="NC40" i="1"/>
  <c r="LV31" i="1"/>
  <c r="NS31" i="1"/>
  <c r="LF31" i="1"/>
  <c r="NC31" i="1"/>
  <c r="ML22" i="1"/>
  <c r="OI22" i="1"/>
  <c r="LV22" i="1"/>
  <c r="NS22" i="1"/>
  <c r="LF22" i="1"/>
  <c r="NC22" i="1"/>
  <c r="ML13" i="1"/>
  <c r="OI13" i="1"/>
  <c r="LV13" i="1"/>
  <c r="NS13" i="1"/>
  <c r="KF39" i="1"/>
  <c r="MC39" i="1"/>
  <c r="JX40" i="1"/>
  <c r="LU40" i="1"/>
  <c r="JH40" i="1"/>
  <c r="LE40" i="1"/>
  <c r="JX31" i="1"/>
  <c r="LU31" i="1"/>
  <c r="JH31" i="1"/>
  <c r="LE31" i="1"/>
  <c r="KN22" i="1"/>
  <c r="MK22" i="1"/>
  <c r="JX22" i="1"/>
  <c r="LU22" i="1"/>
  <c r="JH22" i="1"/>
  <c r="LE22" i="1"/>
  <c r="KN13" i="1"/>
  <c r="MK13" i="1"/>
  <c r="JX13" i="1"/>
  <c r="LU13" i="1"/>
  <c r="JI13" i="1"/>
  <c r="HL13" i="1"/>
  <c r="FN13" i="1"/>
  <c r="JH13" i="1"/>
  <c r="HK13" i="1"/>
  <c r="IR22" i="1"/>
  <c r="KO22" i="1"/>
  <c r="IJ39" i="1"/>
  <c r="KG39" i="1"/>
  <c r="IB40" i="1"/>
  <c r="JY40" i="1"/>
  <c r="IB31" i="1"/>
  <c r="JY31" i="1"/>
  <c r="IR13" i="1"/>
  <c r="KO13" i="1"/>
  <c r="IB22" i="1"/>
  <c r="JY22" i="1"/>
  <c r="IB13" i="1"/>
  <c r="JY13" i="1"/>
  <c r="HL31" i="1"/>
  <c r="JI31" i="1"/>
  <c r="HL22" i="1"/>
  <c r="JI22" i="1"/>
  <c r="HL40" i="1"/>
  <c r="JI40" i="1"/>
  <c r="GL39" i="1"/>
  <c r="II39" i="1"/>
  <c r="GD40" i="1"/>
  <c r="IA40" i="1"/>
  <c r="FN40" i="1"/>
  <c r="HK40" i="1"/>
  <c r="GD31" i="1"/>
  <c r="IA31" i="1"/>
  <c r="FN31" i="1"/>
  <c r="HK31" i="1"/>
  <c r="GT22" i="1"/>
  <c r="IQ22" i="1"/>
  <c r="GD22" i="1"/>
  <c r="IA22" i="1"/>
  <c r="FN22" i="1"/>
  <c r="HK22" i="1"/>
  <c r="GT13" i="1"/>
  <c r="IQ13" i="1"/>
  <c r="GD13" i="1"/>
  <c r="IA13" i="1"/>
  <c r="DS13" i="1"/>
  <c r="FO13" i="1"/>
  <c r="EQ39" i="1"/>
  <c r="GM39" i="1"/>
  <c r="EY22" i="1"/>
  <c r="GU22" i="1"/>
  <c r="EI40" i="1"/>
  <c r="GE40" i="1"/>
  <c r="EI31" i="1"/>
  <c r="GE31" i="1"/>
  <c r="FO40" i="1"/>
  <c r="DS40" i="1"/>
  <c r="DS31" i="1"/>
  <c r="FO31" i="1"/>
  <c r="EI22" i="1"/>
  <c r="GE22" i="1"/>
  <c r="DS22" i="1"/>
  <c r="FO22" i="1"/>
  <c r="EY13" i="1"/>
  <c r="GU13" i="1"/>
  <c r="EI13" i="1"/>
  <c r="GE13" i="1"/>
  <c r="AN40" i="1"/>
  <c r="EJ40" i="1" s="1"/>
  <c r="X40" i="1"/>
  <c r="DT40" i="1" s="1"/>
  <c r="X22" i="1"/>
  <c r="DT22" i="1" s="1"/>
  <c r="AN31" i="1"/>
  <c r="EJ31" i="1" s="1"/>
  <c r="AN22" i="1"/>
  <c r="EJ22" i="1" s="1"/>
  <c r="X31" i="1"/>
  <c r="DT31" i="1" s="1"/>
  <c r="BD13" i="1"/>
  <c r="EZ13" i="1" s="1"/>
  <c r="BD22" i="1"/>
  <c r="EZ22" i="1" s="1"/>
  <c r="AN13" i="1"/>
  <c r="EJ13" i="1" s="1"/>
  <c r="X13" i="1"/>
  <c r="DT13" i="1" s="1"/>
  <c r="AV39" i="1"/>
  <c r="ER39" i="1" s="1"/>
  <c r="PZ39" i="1" l="1"/>
  <c r="TV39" i="1"/>
  <c r="RX39" i="1"/>
  <c r="SX13" i="1"/>
  <c r="QZ13" i="1"/>
  <c r="PR13" i="1"/>
  <c r="TN13" i="1"/>
  <c r="RP13" i="1"/>
  <c r="QH22" i="1"/>
  <c r="UD22" i="1"/>
  <c r="SF22" i="1"/>
  <c r="QH13" i="1"/>
  <c r="UD13" i="1"/>
  <c r="SF13" i="1"/>
  <c r="PB31" i="1"/>
  <c r="SX31" i="1"/>
  <c r="QZ31" i="1"/>
  <c r="PR22" i="1"/>
  <c r="TN22" i="1"/>
  <c r="RP22" i="1"/>
  <c r="PR31" i="1"/>
  <c r="TN31" i="1"/>
  <c r="RP31" i="1"/>
  <c r="PB22" i="1"/>
  <c r="SX22" i="1"/>
  <c r="QZ22" i="1"/>
  <c r="PB40" i="1"/>
  <c r="SX40" i="1"/>
  <c r="QZ40" i="1"/>
  <c r="TM13" i="1"/>
  <c r="RO13" i="1"/>
  <c r="UC13" i="1"/>
  <c r="SE13" i="1"/>
  <c r="SW22" i="1"/>
  <c r="QY22" i="1"/>
  <c r="TM22" i="1"/>
  <c r="RO22" i="1"/>
  <c r="SW31" i="1"/>
  <c r="QY31" i="1"/>
  <c r="SW40" i="1"/>
  <c r="QY40" i="1"/>
  <c r="TM31" i="1"/>
  <c r="RO31" i="1"/>
  <c r="UC22" i="1"/>
  <c r="SE22" i="1"/>
  <c r="TU39" i="1"/>
  <c r="RW39" i="1"/>
  <c r="SW13" i="1"/>
  <c r="QY13" i="1"/>
  <c r="TM40" i="1"/>
  <c r="RO40" i="1"/>
  <c r="PR40" i="1"/>
  <c r="TN40" i="1"/>
  <c r="RP40" i="1"/>
  <c r="LG13" i="1"/>
  <c r="PA13" i="1"/>
  <c r="ND13" i="1"/>
  <c r="LH13" i="1"/>
  <c r="PB13" i="1"/>
  <c r="NE13" i="1"/>
  <c r="OB39" i="1"/>
  <c r="PY39" i="1"/>
  <c r="NT40" i="1"/>
  <c r="PQ40" i="1"/>
  <c r="ND40" i="1"/>
  <c r="PA40" i="1"/>
  <c r="NT31" i="1"/>
  <c r="PQ31" i="1"/>
  <c r="ND31" i="1"/>
  <c r="PA31" i="1"/>
  <c r="OJ22" i="1"/>
  <c r="QG22" i="1"/>
  <c r="NT22" i="1"/>
  <c r="PQ22" i="1"/>
  <c r="ND22" i="1"/>
  <c r="PA22" i="1"/>
  <c r="OJ13" i="1"/>
  <c r="QG13" i="1"/>
  <c r="NT13" i="1"/>
  <c r="PQ13" i="1"/>
  <c r="MF39" i="1"/>
  <c r="OC39" i="1"/>
  <c r="LX40" i="1"/>
  <c r="NU40" i="1"/>
  <c r="LH40" i="1"/>
  <c r="NE40" i="1"/>
  <c r="LX31" i="1"/>
  <c r="NU31" i="1"/>
  <c r="LH31" i="1"/>
  <c r="NE31" i="1"/>
  <c r="MN22" i="1"/>
  <c r="OK22" i="1"/>
  <c r="LX22" i="1"/>
  <c r="NU22" i="1"/>
  <c r="LH22" i="1"/>
  <c r="NE22" i="1"/>
  <c r="MN13" i="1"/>
  <c r="OK13" i="1"/>
  <c r="LX13" i="1"/>
  <c r="NU13" i="1"/>
  <c r="KH39" i="1"/>
  <c r="ME39" i="1"/>
  <c r="JZ40" i="1"/>
  <c r="LW40" i="1"/>
  <c r="JJ40" i="1"/>
  <c r="LG40" i="1"/>
  <c r="JZ31" i="1"/>
  <c r="LW31" i="1"/>
  <c r="JJ31" i="1"/>
  <c r="LG31" i="1"/>
  <c r="KP22" i="1"/>
  <c r="MM22" i="1"/>
  <c r="JZ22" i="1"/>
  <c r="LW22" i="1"/>
  <c r="JJ22" i="1"/>
  <c r="LG22" i="1"/>
  <c r="KP13" i="1"/>
  <c r="MM13" i="1"/>
  <c r="JZ13" i="1"/>
  <c r="LW13" i="1"/>
  <c r="FP13" i="1"/>
  <c r="HM13" i="1"/>
  <c r="JJ13" i="1"/>
  <c r="HN13" i="1"/>
  <c r="JK13" i="1"/>
  <c r="IT22" i="1"/>
  <c r="KQ22" i="1"/>
  <c r="IL39" i="1"/>
  <c r="KI39" i="1"/>
  <c r="ID40" i="1"/>
  <c r="KA40" i="1"/>
  <c r="ID31" i="1"/>
  <c r="KA31" i="1"/>
  <c r="IT13" i="1"/>
  <c r="KQ13" i="1"/>
  <c r="ID22" i="1"/>
  <c r="KA22" i="1"/>
  <c r="ID13" i="1"/>
  <c r="KA13" i="1"/>
  <c r="HN31" i="1"/>
  <c r="JK31" i="1"/>
  <c r="HN22" i="1"/>
  <c r="JK22" i="1"/>
  <c r="HN40" i="1"/>
  <c r="JK40" i="1"/>
  <c r="GN39" i="1"/>
  <c r="IK39" i="1"/>
  <c r="GF40" i="1"/>
  <c r="IC40" i="1"/>
  <c r="FP40" i="1"/>
  <c r="HM40" i="1"/>
  <c r="GF31" i="1"/>
  <c r="IC31" i="1"/>
  <c r="FP31" i="1"/>
  <c r="HM31" i="1"/>
  <c r="GV22" i="1"/>
  <c r="IS22" i="1"/>
  <c r="GF22" i="1"/>
  <c r="IC22" i="1"/>
  <c r="FP22" i="1"/>
  <c r="HM22" i="1"/>
  <c r="GV13" i="1"/>
  <c r="IS13" i="1"/>
  <c r="GF13" i="1"/>
  <c r="IC13" i="1"/>
  <c r="DU13" i="1"/>
  <c r="FQ13" i="1"/>
  <c r="GO39" i="1"/>
  <c r="ES39" i="1"/>
  <c r="FA22" i="1"/>
  <c r="GW22" i="1"/>
  <c r="EK40" i="1"/>
  <c r="GG40" i="1"/>
  <c r="EK31" i="1"/>
  <c r="GG31" i="1"/>
  <c r="DU40" i="1"/>
  <c r="FQ40" i="1"/>
  <c r="DU31" i="1"/>
  <c r="FQ31" i="1"/>
  <c r="EK22" i="1"/>
  <c r="GG22" i="1"/>
  <c r="DU22" i="1"/>
  <c r="FQ22" i="1"/>
  <c r="EK13" i="1"/>
  <c r="GG13" i="1"/>
  <c r="FA13" i="1"/>
  <c r="GW13" i="1"/>
  <c r="AR23" i="1"/>
  <c r="EN23" i="1" s="1"/>
  <c r="AR14" i="1"/>
  <c r="EN14" i="1" s="1"/>
  <c r="L14" i="1"/>
  <c r="DH14" i="1" s="1"/>
  <c r="L32" i="1"/>
  <c r="DH32" i="1" s="1"/>
  <c r="AB14" i="1"/>
  <c r="DX14" i="1" s="1"/>
  <c r="AB23" i="1"/>
  <c r="DX23" i="1" s="1"/>
  <c r="L23" i="1"/>
  <c r="DH23" i="1" s="1"/>
  <c r="AB32" i="1"/>
  <c r="DX32" i="1" s="1"/>
  <c r="L41" i="1"/>
  <c r="AB41" i="1"/>
  <c r="DX41" i="1" s="1"/>
  <c r="AX39" i="1"/>
  <c r="ET39" i="1" s="1"/>
  <c r="QB39" i="1" l="1"/>
  <c r="RZ39" i="1"/>
  <c r="TX39" i="1"/>
  <c r="PF32" i="1"/>
  <c r="TB32" i="1"/>
  <c r="RD32" i="1"/>
  <c r="OP23" i="1"/>
  <c r="SL23" i="1"/>
  <c r="QN23" i="1"/>
  <c r="PF23" i="1"/>
  <c r="TB23" i="1"/>
  <c r="RD23" i="1"/>
  <c r="PF14" i="1"/>
  <c r="TB14" i="1"/>
  <c r="RD14" i="1"/>
  <c r="OP32" i="1"/>
  <c r="SL32" i="1"/>
  <c r="QN32" i="1"/>
  <c r="SL14" i="1"/>
  <c r="QN14" i="1"/>
  <c r="PV14" i="1"/>
  <c r="TR14" i="1"/>
  <c r="RT14" i="1"/>
  <c r="PV23" i="1"/>
  <c r="TR23" i="1"/>
  <c r="RT23" i="1"/>
  <c r="UE13" i="1"/>
  <c r="SG13" i="1"/>
  <c r="TO13" i="1"/>
  <c r="RQ13" i="1"/>
  <c r="SY22" i="1"/>
  <c r="RA22" i="1"/>
  <c r="TO22" i="1"/>
  <c r="RQ22" i="1"/>
  <c r="SY31" i="1"/>
  <c r="RA31" i="1"/>
  <c r="SY40" i="1"/>
  <c r="RA40" i="1"/>
  <c r="TO31" i="1"/>
  <c r="RQ31" i="1"/>
  <c r="UE22" i="1"/>
  <c r="SG22" i="1"/>
  <c r="TW39" i="1"/>
  <c r="RY39" i="1"/>
  <c r="SY13" i="1"/>
  <c r="RA13" i="1"/>
  <c r="TO40" i="1"/>
  <c r="RQ40" i="1"/>
  <c r="PF41" i="1"/>
  <c r="RD41" i="1"/>
  <c r="TB41" i="1"/>
  <c r="KV14" i="1"/>
  <c r="MS14" i="1"/>
  <c r="OP14" i="1"/>
  <c r="LI13" i="1"/>
  <c r="PC13" i="1"/>
  <c r="NF13" i="1"/>
  <c r="OD39" i="1"/>
  <c r="QA39" i="1"/>
  <c r="NV40" i="1"/>
  <c r="PS40" i="1"/>
  <c r="NF40" i="1"/>
  <c r="PC40" i="1"/>
  <c r="NV31" i="1"/>
  <c r="PS31" i="1"/>
  <c r="NF31" i="1"/>
  <c r="PC31" i="1"/>
  <c r="OL22" i="1"/>
  <c r="QI22" i="1"/>
  <c r="NV22" i="1"/>
  <c r="PS22" i="1"/>
  <c r="NF22" i="1"/>
  <c r="PC22" i="1"/>
  <c r="OL13" i="1"/>
  <c r="QI13" i="1"/>
  <c r="NV13" i="1"/>
  <c r="PS13" i="1"/>
  <c r="MH39" i="1"/>
  <c r="OE39" i="1"/>
  <c r="LL41" i="1"/>
  <c r="NI41" i="1"/>
  <c r="LL32" i="1"/>
  <c r="NI32" i="1"/>
  <c r="KV32" i="1"/>
  <c r="MS32" i="1"/>
  <c r="MB23" i="1"/>
  <c r="NY23" i="1"/>
  <c r="LL23" i="1"/>
  <c r="NI23" i="1"/>
  <c r="KV23" i="1"/>
  <c r="MS23" i="1"/>
  <c r="MB14" i="1"/>
  <c r="NY14" i="1"/>
  <c r="LL14" i="1"/>
  <c r="NI14" i="1"/>
  <c r="KJ39" i="1"/>
  <c r="MG39" i="1"/>
  <c r="KB40" i="1"/>
  <c r="LY40" i="1"/>
  <c r="JL40" i="1"/>
  <c r="LI40" i="1"/>
  <c r="KB31" i="1"/>
  <c r="LY31" i="1"/>
  <c r="JL31" i="1"/>
  <c r="LI31" i="1"/>
  <c r="KR22" i="1"/>
  <c r="MO22" i="1"/>
  <c r="KB22" i="1"/>
  <c r="LY22" i="1"/>
  <c r="JL22" i="1"/>
  <c r="LI22" i="1"/>
  <c r="KR13" i="1"/>
  <c r="MO13" i="1"/>
  <c r="KB13" i="1"/>
  <c r="LY13" i="1"/>
  <c r="IY14" i="1"/>
  <c r="HB14" i="1"/>
  <c r="FR13" i="1"/>
  <c r="HO13" i="1"/>
  <c r="JL13" i="1"/>
  <c r="IH23" i="1"/>
  <c r="KE23" i="1"/>
  <c r="IN39" i="1"/>
  <c r="KK39" i="1"/>
  <c r="HR41" i="1"/>
  <c r="JO41" i="1"/>
  <c r="HR32" i="1"/>
  <c r="JO32" i="1"/>
  <c r="IH14" i="1"/>
  <c r="KE14" i="1"/>
  <c r="HR23" i="1"/>
  <c r="JO23" i="1"/>
  <c r="HR14" i="1"/>
  <c r="JO14" i="1"/>
  <c r="HB32" i="1"/>
  <c r="IY32" i="1"/>
  <c r="HB23" i="1"/>
  <c r="IY23" i="1"/>
  <c r="GP39" i="1"/>
  <c r="IM39" i="1"/>
  <c r="GH40" i="1"/>
  <c r="IE40" i="1"/>
  <c r="FR40" i="1"/>
  <c r="HO40" i="1"/>
  <c r="GH31" i="1"/>
  <c r="IE31" i="1"/>
  <c r="FR31" i="1"/>
  <c r="HO31" i="1"/>
  <c r="GX22" i="1"/>
  <c r="IU22" i="1"/>
  <c r="GH22" i="1"/>
  <c r="IE22" i="1"/>
  <c r="FR22" i="1"/>
  <c r="HO22" i="1"/>
  <c r="GX13" i="1"/>
  <c r="IU13" i="1"/>
  <c r="GH13" i="1"/>
  <c r="IE13" i="1"/>
  <c r="DI14" i="1"/>
  <c r="FE14" i="1"/>
  <c r="EU39" i="1"/>
  <c r="GQ39" i="1"/>
  <c r="GK23" i="1"/>
  <c r="EO23" i="1"/>
  <c r="DY41" i="1"/>
  <c r="FU41" i="1"/>
  <c r="FU32" i="1"/>
  <c r="DY32" i="1"/>
  <c r="FE32" i="1"/>
  <c r="DI32" i="1"/>
  <c r="FE23" i="1"/>
  <c r="DI23" i="1"/>
  <c r="DY23" i="1"/>
  <c r="FU23" i="1"/>
  <c r="DY14" i="1"/>
  <c r="FU14" i="1"/>
  <c r="EO14" i="1"/>
  <c r="GK14" i="1"/>
  <c r="AD41" i="1"/>
  <c r="DZ41" i="1" s="1"/>
  <c r="N14" i="1"/>
  <c r="DJ14" i="1" s="1"/>
  <c r="AD14" i="1"/>
  <c r="DZ14" i="1" s="1"/>
  <c r="N41" i="1"/>
  <c r="DJ41" i="1" s="1"/>
  <c r="DH41" i="1"/>
  <c r="N23" i="1"/>
  <c r="DJ23" i="1" s="1"/>
  <c r="N32" i="1"/>
  <c r="DJ32" i="1" s="1"/>
  <c r="AT23" i="1"/>
  <c r="EP23" i="1" s="1"/>
  <c r="AD32" i="1"/>
  <c r="DZ32" i="1" s="1"/>
  <c r="AD23" i="1"/>
  <c r="DZ23" i="1" s="1"/>
  <c r="AT14" i="1"/>
  <c r="EP14" i="1" s="1"/>
  <c r="AZ39" i="1"/>
  <c r="EV39" i="1" s="1"/>
  <c r="QD39" i="1" l="1"/>
  <c r="TZ39" i="1"/>
  <c r="SB39" i="1"/>
  <c r="PX14" i="1"/>
  <c r="TT14" i="1"/>
  <c r="RV14" i="1"/>
  <c r="PH23" i="1"/>
  <c r="TD23" i="1"/>
  <c r="RF23" i="1"/>
  <c r="PH32" i="1"/>
  <c r="TD32" i="1"/>
  <c r="RF32" i="1"/>
  <c r="PX23" i="1"/>
  <c r="RV23" i="1"/>
  <c r="TT23" i="1"/>
  <c r="OR32" i="1"/>
  <c r="QP32" i="1"/>
  <c r="SN32" i="1"/>
  <c r="OR23" i="1"/>
  <c r="SN23" i="1"/>
  <c r="QP23" i="1"/>
  <c r="SL41" i="1"/>
  <c r="QN41" i="1"/>
  <c r="OR41" i="1"/>
  <c r="QP41" i="1"/>
  <c r="SN41" i="1"/>
  <c r="PH14" i="1"/>
  <c r="RF14" i="1"/>
  <c r="TD14" i="1"/>
  <c r="SN14" i="1"/>
  <c r="QP14" i="1"/>
  <c r="TS14" i="1"/>
  <c r="RU14" i="1"/>
  <c r="TC14" i="1"/>
  <c r="RE14" i="1"/>
  <c r="TC23" i="1"/>
  <c r="RE23" i="1"/>
  <c r="SM23" i="1"/>
  <c r="QO23" i="1"/>
  <c r="SM32" i="1"/>
  <c r="QO32" i="1"/>
  <c r="TC32" i="1"/>
  <c r="RE32" i="1"/>
  <c r="TS23" i="1"/>
  <c r="RU23" i="1"/>
  <c r="TY39" i="1"/>
  <c r="SA39" i="1"/>
  <c r="QO14" i="1"/>
  <c r="SM14" i="1"/>
  <c r="RE41" i="1"/>
  <c r="TC41" i="1"/>
  <c r="PH41" i="1"/>
  <c r="TD41" i="1"/>
  <c r="RF41" i="1"/>
  <c r="KW14" i="1"/>
  <c r="OQ14" i="1"/>
  <c r="MT14" i="1"/>
  <c r="KX14" i="1"/>
  <c r="OR14" i="1"/>
  <c r="MU14" i="1"/>
  <c r="OF39" i="1"/>
  <c r="QC39" i="1"/>
  <c r="NJ41" i="1"/>
  <c r="PG41" i="1"/>
  <c r="MS41" i="1"/>
  <c r="OP41" i="1"/>
  <c r="NJ32" i="1"/>
  <c r="PG32" i="1"/>
  <c r="MT32" i="1"/>
  <c r="OQ32" i="1"/>
  <c r="NZ23" i="1"/>
  <c r="PW23" i="1"/>
  <c r="NJ23" i="1"/>
  <c r="PG23" i="1"/>
  <c r="MT23" i="1"/>
  <c r="OQ23" i="1"/>
  <c r="NZ14" i="1"/>
  <c r="PW14" i="1"/>
  <c r="NJ14" i="1"/>
  <c r="PG14" i="1"/>
  <c r="MJ39" i="1"/>
  <c r="OG39" i="1"/>
  <c r="LN41" i="1"/>
  <c r="NK41" i="1"/>
  <c r="KX41" i="1"/>
  <c r="MU41" i="1"/>
  <c r="LN32" i="1"/>
  <c r="NK32" i="1"/>
  <c r="KX32" i="1"/>
  <c r="MU32" i="1"/>
  <c r="MD23" i="1"/>
  <c r="OA23" i="1"/>
  <c r="LN23" i="1"/>
  <c r="NK23" i="1"/>
  <c r="KX23" i="1"/>
  <c r="MU23" i="1"/>
  <c r="MD14" i="1"/>
  <c r="OA14" i="1"/>
  <c r="LN14" i="1"/>
  <c r="NK14" i="1"/>
  <c r="KL39" i="1"/>
  <c r="MI39" i="1"/>
  <c r="JP41" i="1"/>
  <c r="LM41" i="1"/>
  <c r="IY41" i="1"/>
  <c r="KV41" i="1"/>
  <c r="JP32" i="1"/>
  <c r="LM32" i="1"/>
  <c r="IZ32" i="1"/>
  <c r="KW32" i="1"/>
  <c r="KF23" i="1"/>
  <c r="MC23" i="1"/>
  <c r="JP23" i="1"/>
  <c r="LM23" i="1"/>
  <c r="IZ23" i="1"/>
  <c r="KW23" i="1"/>
  <c r="KF14" i="1"/>
  <c r="MC14" i="1"/>
  <c r="JP14" i="1"/>
  <c r="LM14" i="1"/>
  <c r="FF14" i="1"/>
  <c r="IZ14" i="1"/>
  <c r="HC14" i="1"/>
  <c r="HD14" i="1"/>
  <c r="JA14" i="1"/>
  <c r="IJ23" i="1"/>
  <c r="KG23" i="1"/>
  <c r="IP39" i="1"/>
  <c r="KM39" i="1"/>
  <c r="HT41" i="1"/>
  <c r="JQ41" i="1"/>
  <c r="HT32" i="1"/>
  <c r="JQ32" i="1"/>
  <c r="IJ14" i="1"/>
  <c r="KG14" i="1"/>
  <c r="HT23" i="1"/>
  <c r="JQ23" i="1"/>
  <c r="HT14" i="1"/>
  <c r="JQ14" i="1"/>
  <c r="HD32" i="1"/>
  <c r="JA32" i="1"/>
  <c r="HD23" i="1"/>
  <c r="JA23" i="1"/>
  <c r="HD41" i="1"/>
  <c r="JA41" i="1"/>
  <c r="GR39" i="1"/>
  <c r="IO39" i="1"/>
  <c r="FV41" i="1"/>
  <c r="HS41" i="1"/>
  <c r="FE41" i="1"/>
  <c r="HB41" i="1"/>
  <c r="FV32" i="1"/>
  <c r="HS32" i="1"/>
  <c r="FF32" i="1"/>
  <c r="HC32" i="1"/>
  <c r="GL23" i="1"/>
  <c r="II23" i="1"/>
  <c r="FV23" i="1"/>
  <c r="HS23" i="1"/>
  <c r="FF23" i="1"/>
  <c r="HC23" i="1"/>
  <c r="GL14" i="1"/>
  <c r="II14" i="1"/>
  <c r="FV14" i="1"/>
  <c r="HS14" i="1"/>
  <c r="DK14" i="1"/>
  <c r="FG14" i="1"/>
  <c r="EW39" i="1"/>
  <c r="GS39" i="1"/>
  <c r="EQ23" i="1"/>
  <c r="GM23" i="1"/>
  <c r="EA41" i="1"/>
  <c r="FW41" i="1"/>
  <c r="EA32" i="1"/>
  <c r="FW32" i="1"/>
  <c r="FG41" i="1"/>
  <c r="DK41" i="1"/>
  <c r="DK32" i="1"/>
  <c r="FG32" i="1"/>
  <c r="EA23" i="1"/>
  <c r="FW23" i="1"/>
  <c r="DK23" i="1"/>
  <c r="FG23" i="1"/>
  <c r="EQ14" i="1"/>
  <c r="GM14" i="1"/>
  <c r="EA14" i="1"/>
  <c r="FW14" i="1"/>
  <c r="DI41" i="1"/>
  <c r="P41" i="1"/>
  <c r="DL41" i="1" s="1"/>
  <c r="AF14" i="1"/>
  <c r="EB14" i="1" s="1"/>
  <c r="AF23" i="1"/>
  <c r="EB23" i="1" s="1"/>
  <c r="P32" i="1"/>
  <c r="DL32" i="1" s="1"/>
  <c r="P14" i="1"/>
  <c r="DL14" i="1" s="1"/>
  <c r="AV23" i="1"/>
  <c r="ER23" i="1" s="1"/>
  <c r="AV14" i="1"/>
  <c r="ER14" i="1" s="1"/>
  <c r="AF32" i="1"/>
  <c r="EB32" i="1" s="1"/>
  <c r="P23" i="1"/>
  <c r="DL23" i="1" s="1"/>
  <c r="AF41" i="1"/>
  <c r="EB41" i="1" s="1"/>
  <c r="BB39" i="1"/>
  <c r="EX39" i="1" s="1"/>
  <c r="QF39" i="1" l="1"/>
  <c r="UB39" i="1"/>
  <c r="SD39" i="1"/>
  <c r="OT23" i="1"/>
  <c r="QR23" i="1"/>
  <c r="SP23" i="1"/>
  <c r="PJ32" i="1"/>
  <c r="TF32" i="1"/>
  <c r="RH32" i="1"/>
  <c r="PZ14" i="1"/>
  <c r="TV14" i="1"/>
  <c r="RX14" i="1"/>
  <c r="PZ23" i="1"/>
  <c r="TV23" i="1"/>
  <c r="RX23" i="1"/>
  <c r="QR14" i="1"/>
  <c r="SP14" i="1"/>
  <c r="OT32" i="1"/>
  <c r="SP32" i="1"/>
  <c r="QR32" i="1"/>
  <c r="PJ23" i="1"/>
  <c r="TF23" i="1"/>
  <c r="RH23" i="1"/>
  <c r="PJ14" i="1"/>
  <c r="TF14" i="1"/>
  <c r="RH14" i="1"/>
  <c r="OT41" i="1"/>
  <c r="SP41" i="1"/>
  <c r="QR41" i="1"/>
  <c r="SM41" i="1"/>
  <c r="QO41" i="1"/>
  <c r="TE14" i="1"/>
  <c r="RG14" i="1"/>
  <c r="RW14" i="1"/>
  <c r="TU14" i="1"/>
  <c r="QQ23" i="1"/>
  <c r="SO23" i="1"/>
  <c r="TE23" i="1"/>
  <c r="RG23" i="1"/>
  <c r="QQ32" i="1"/>
  <c r="SO32" i="1"/>
  <c r="QQ41" i="1"/>
  <c r="SO41" i="1"/>
  <c r="RG32" i="1"/>
  <c r="TE32" i="1"/>
  <c r="TU23" i="1"/>
  <c r="RW23" i="1"/>
  <c r="UA39" i="1"/>
  <c r="SC39" i="1"/>
  <c r="SO14" i="1"/>
  <c r="QQ14" i="1"/>
  <c r="TE41" i="1"/>
  <c r="RG41" i="1"/>
  <c r="PJ41" i="1"/>
  <c r="TF41" i="1"/>
  <c r="RH41" i="1"/>
  <c r="KY14" i="1"/>
  <c r="OS14" i="1"/>
  <c r="MV14" i="1"/>
  <c r="KZ14" i="1"/>
  <c r="MW14" i="1"/>
  <c r="OT14" i="1"/>
  <c r="OH39" i="1"/>
  <c r="QE39" i="1"/>
  <c r="NL41" i="1"/>
  <c r="PI41" i="1"/>
  <c r="MT41" i="1"/>
  <c r="OQ41" i="1"/>
  <c r="MV41" i="1"/>
  <c r="OS41" i="1"/>
  <c r="NL32" i="1"/>
  <c r="PI32" i="1"/>
  <c r="MV32" i="1"/>
  <c r="OS32" i="1"/>
  <c r="OB23" i="1"/>
  <c r="PY23" i="1"/>
  <c r="NL23" i="1"/>
  <c r="PI23" i="1"/>
  <c r="MV23" i="1"/>
  <c r="OS23" i="1"/>
  <c r="OB14" i="1"/>
  <c r="PY14" i="1"/>
  <c r="NL14" i="1"/>
  <c r="PI14" i="1"/>
  <c r="ML39" i="1"/>
  <c r="OI39" i="1"/>
  <c r="LP41" i="1"/>
  <c r="NM41" i="1"/>
  <c r="KZ41" i="1"/>
  <c r="MW41" i="1"/>
  <c r="LP32" i="1"/>
  <c r="NM32" i="1"/>
  <c r="KZ32" i="1"/>
  <c r="MW32" i="1"/>
  <c r="MF23" i="1"/>
  <c r="OC23" i="1"/>
  <c r="LP23" i="1"/>
  <c r="NM23" i="1"/>
  <c r="KZ23" i="1"/>
  <c r="MW23" i="1"/>
  <c r="MF14" i="1"/>
  <c r="OC14" i="1"/>
  <c r="LP14" i="1"/>
  <c r="NM14" i="1"/>
  <c r="KN39" i="1"/>
  <c r="MK39" i="1"/>
  <c r="JR41" i="1"/>
  <c r="LO41" i="1"/>
  <c r="IZ41" i="1"/>
  <c r="KW41" i="1"/>
  <c r="JB41" i="1"/>
  <c r="KY41" i="1"/>
  <c r="JR32" i="1"/>
  <c r="LO32" i="1"/>
  <c r="JB32" i="1"/>
  <c r="KY32" i="1"/>
  <c r="KH23" i="1"/>
  <c r="ME23" i="1"/>
  <c r="JR23" i="1"/>
  <c r="LO23" i="1"/>
  <c r="JB23" i="1"/>
  <c r="KY23" i="1"/>
  <c r="KH14" i="1"/>
  <c r="ME14" i="1"/>
  <c r="JR14" i="1"/>
  <c r="LO14" i="1"/>
  <c r="JC14" i="1"/>
  <c r="HF14" i="1"/>
  <c r="FH14" i="1"/>
  <c r="JB14" i="1"/>
  <c r="HE14" i="1"/>
  <c r="IL23" i="1"/>
  <c r="KI23" i="1"/>
  <c r="IR39" i="1"/>
  <c r="KO39" i="1"/>
  <c r="HV41" i="1"/>
  <c r="JS41" i="1"/>
  <c r="HV32" i="1"/>
  <c r="JS32" i="1"/>
  <c r="IL14" i="1"/>
  <c r="KI14" i="1"/>
  <c r="HV23" i="1"/>
  <c r="JS23" i="1"/>
  <c r="HV14" i="1"/>
  <c r="JS14" i="1"/>
  <c r="HF32" i="1"/>
  <c r="JC32" i="1"/>
  <c r="HF23" i="1"/>
  <c r="JC23" i="1"/>
  <c r="HF41" i="1"/>
  <c r="JC41" i="1"/>
  <c r="GT39" i="1"/>
  <c r="IQ39" i="1"/>
  <c r="FX41" i="1"/>
  <c r="HU41" i="1"/>
  <c r="FF41" i="1"/>
  <c r="HC41" i="1"/>
  <c r="FH41" i="1"/>
  <c r="HE41" i="1"/>
  <c r="FX32" i="1"/>
  <c r="HU32" i="1"/>
  <c r="FH32" i="1"/>
  <c r="HE32" i="1"/>
  <c r="GN23" i="1"/>
  <c r="IK23" i="1"/>
  <c r="FX23" i="1"/>
  <c r="HU23" i="1"/>
  <c r="FH23" i="1"/>
  <c r="HE23" i="1"/>
  <c r="GN14" i="1"/>
  <c r="IK14" i="1"/>
  <c r="FX14" i="1"/>
  <c r="HU14" i="1"/>
  <c r="DM14" i="1"/>
  <c r="FI14" i="1"/>
  <c r="GU39" i="1"/>
  <c r="EY39" i="1"/>
  <c r="ES23" i="1"/>
  <c r="GO23" i="1"/>
  <c r="EC41" i="1"/>
  <c r="FY41" i="1"/>
  <c r="EC32" i="1"/>
  <c r="FY32" i="1"/>
  <c r="DM41" i="1"/>
  <c r="FI41" i="1"/>
  <c r="DM32" i="1"/>
  <c r="FI32" i="1"/>
  <c r="EC23" i="1"/>
  <c r="FY23" i="1"/>
  <c r="DM23" i="1"/>
  <c r="FI23" i="1"/>
  <c r="ES14" i="1"/>
  <c r="GO14" i="1"/>
  <c r="EC14" i="1"/>
  <c r="FY14" i="1"/>
  <c r="R23" i="1"/>
  <c r="DN23" i="1" s="1"/>
  <c r="R14" i="1"/>
  <c r="DN14" i="1" s="1"/>
  <c r="AH32" i="1"/>
  <c r="ED32" i="1" s="1"/>
  <c r="R32" i="1"/>
  <c r="DN32" i="1" s="1"/>
  <c r="R41" i="1"/>
  <c r="DN41" i="1" s="1"/>
  <c r="AH41" i="1"/>
  <c r="ED41" i="1" s="1"/>
  <c r="AX14" i="1"/>
  <c r="ET14" i="1" s="1"/>
  <c r="AX23" i="1"/>
  <c r="ET23" i="1" s="1"/>
  <c r="AH23" i="1"/>
  <c r="ED23" i="1" s="1"/>
  <c r="AH14" i="1"/>
  <c r="ED14" i="1" s="1"/>
  <c r="BD39" i="1"/>
  <c r="EZ39" i="1" s="1"/>
  <c r="QH39" i="1" l="1"/>
  <c r="UD39" i="1"/>
  <c r="SF39" i="1"/>
  <c r="PL14" i="1"/>
  <c r="TH14" i="1"/>
  <c r="RJ14" i="1"/>
  <c r="PL23" i="1"/>
  <c r="RJ23" i="1"/>
  <c r="TH23" i="1"/>
  <c r="QB23" i="1"/>
  <c r="RZ23" i="1"/>
  <c r="TX23" i="1"/>
  <c r="QB14" i="1"/>
  <c r="RZ14" i="1"/>
  <c r="TX14" i="1"/>
  <c r="OV41" i="1"/>
  <c r="SR41" i="1"/>
  <c r="QT41" i="1"/>
  <c r="OV32" i="1"/>
  <c r="SR32" i="1"/>
  <c r="QT32" i="1"/>
  <c r="PL32" i="1"/>
  <c r="RJ32" i="1"/>
  <c r="TH32" i="1"/>
  <c r="SR14" i="1"/>
  <c r="QT14" i="1"/>
  <c r="OV23" i="1"/>
  <c r="SR23" i="1"/>
  <c r="QT23" i="1"/>
  <c r="RI14" i="1"/>
  <c r="TG14" i="1"/>
  <c r="TW14" i="1"/>
  <c r="RY14" i="1"/>
  <c r="SQ23" i="1"/>
  <c r="QS23" i="1"/>
  <c r="RI23" i="1"/>
  <c r="TG23" i="1"/>
  <c r="SQ32" i="1"/>
  <c r="QS32" i="1"/>
  <c r="SQ41" i="1"/>
  <c r="QS41" i="1"/>
  <c r="TG32" i="1"/>
  <c r="RI32" i="1"/>
  <c r="RY23" i="1"/>
  <c r="TW23" i="1"/>
  <c r="UC39" i="1"/>
  <c r="SE39" i="1"/>
  <c r="SQ14" i="1"/>
  <c r="QS14" i="1"/>
  <c r="TG41" i="1"/>
  <c r="RI41" i="1"/>
  <c r="PL41" i="1"/>
  <c r="TH41" i="1"/>
  <c r="RJ41" i="1"/>
  <c r="LA14" i="1"/>
  <c r="MX14" i="1"/>
  <c r="OU14" i="1"/>
  <c r="LB14" i="1"/>
  <c r="OV14" i="1"/>
  <c r="MY14" i="1"/>
  <c r="OJ39" i="1"/>
  <c r="QG39" i="1"/>
  <c r="NN41" i="1"/>
  <c r="PK41" i="1"/>
  <c r="MX41" i="1"/>
  <c r="OU41" i="1"/>
  <c r="NN32" i="1"/>
  <c r="PK32" i="1"/>
  <c r="MX32" i="1"/>
  <c r="OU32" i="1"/>
  <c r="OD23" i="1"/>
  <c r="QA23" i="1"/>
  <c r="NN23" i="1"/>
  <c r="PK23" i="1"/>
  <c r="MX23" i="1"/>
  <c r="OU23" i="1"/>
  <c r="OD14" i="1"/>
  <c r="QA14" i="1"/>
  <c r="NN14" i="1"/>
  <c r="PK14" i="1"/>
  <c r="MN39" i="1"/>
  <c r="OK39" i="1"/>
  <c r="LR41" i="1"/>
  <c r="NO41" i="1"/>
  <c r="LB41" i="1"/>
  <c r="MY41" i="1"/>
  <c r="LR32" i="1"/>
  <c r="NO32" i="1"/>
  <c r="LB32" i="1"/>
  <c r="MY32" i="1"/>
  <c r="MH23" i="1"/>
  <c r="OE23" i="1"/>
  <c r="LR23" i="1"/>
  <c r="NO23" i="1"/>
  <c r="LB23" i="1"/>
  <c r="MY23" i="1"/>
  <c r="MH14" i="1"/>
  <c r="OE14" i="1"/>
  <c r="LR14" i="1"/>
  <c r="NO14" i="1"/>
  <c r="KP39" i="1"/>
  <c r="MM39" i="1"/>
  <c r="JT41" i="1"/>
  <c r="LQ41" i="1"/>
  <c r="JD41" i="1"/>
  <c r="LA41" i="1"/>
  <c r="JT32" i="1"/>
  <c r="LQ32" i="1"/>
  <c r="JD32" i="1"/>
  <c r="LA32" i="1"/>
  <c r="KJ23" i="1"/>
  <c r="MG23" i="1"/>
  <c r="JT23" i="1"/>
  <c r="LQ23" i="1"/>
  <c r="JD23" i="1"/>
  <c r="LA23" i="1"/>
  <c r="KJ14" i="1"/>
  <c r="MG14" i="1"/>
  <c r="JT14" i="1"/>
  <c r="LQ14" i="1"/>
  <c r="FJ14" i="1"/>
  <c r="JD14" i="1"/>
  <c r="HG14" i="1"/>
  <c r="JE14" i="1"/>
  <c r="HH14" i="1"/>
  <c r="IN23" i="1"/>
  <c r="KK23" i="1"/>
  <c r="IT39" i="1"/>
  <c r="KQ39" i="1"/>
  <c r="HX41" i="1"/>
  <c r="JU41" i="1"/>
  <c r="HX32" i="1"/>
  <c r="JU32" i="1"/>
  <c r="IN14" i="1"/>
  <c r="KK14" i="1"/>
  <c r="HX23" i="1"/>
  <c r="JU23" i="1"/>
  <c r="HX14" i="1"/>
  <c r="JU14" i="1"/>
  <c r="HH32" i="1"/>
  <c r="JE32" i="1"/>
  <c r="HH23" i="1"/>
  <c r="JE23" i="1"/>
  <c r="HH41" i="1"/>
  <c r="JE41" i="1"/>
  <c r="GV39" i="1"/>
  <c r="IS39" i="1"/>
  <c r="FZ41" i="1"/>
  <c r="HW41" i="1"/>
  <c r="FJ41" i="1"/>
  <c r="HG41" i="1"/>
  <c r="FZ32" i="1"/>
  <c r="HW32" i="1"/>
  <c r="FJ32" i="1"/>
  <c r="HG32" i="1"/>
  <c r="GP23" i="1"/>
  <c r="IM23" i="1"/>
  <c r="FZ23" i="1"/>
  <c r="HW23" i="1"/>
  <c r="FJ23" i="1"/>
  <c r="HG23" i="1"/>
  <c r="GP14" i="1"/>
  <c r="IM14" i="1"/>
  <c r="FZ14" i="1"/>
  <c r="HW14" i="1"/>
  <c r="DO14" i="1"/>
  <c r="FK14" i="1"/>
  <c r="GW39" i="1"/>
  <c r="FA39" i="1"/>
  <c r="EU23" i="1"/>
  <c r="GQ23" i="1"/>
  <c r="EE41" i="1"/>
  <c r="GA41" i="1"/>
  <c r="EE32" i="1"/>
  <c r="GA32" i="1"/>
  <c r="FK41" i="1"/>
  <c r="DO41" i="1"/>
  <c r="DO32" i="1"/>
  <c r="FK32" i="1"/>
  <c r="EE23" i="1"/>
  <c r="GA23" i="1"/>
  <c r="DO23" i="1"/>
  <c r="FK23" i="1"/>
  <c r="EU14" i="1"/>
  <c r="GQ14" i="1"/>
  <c r="EE14" i="1"/>
  <c r="GA14" i="1"/>
  <c r="AJ23" i="1"/>
  <c r="EF23" i="1" s="1"/>
  <c r="T32" i="1"/>
  <c r="DP32" i="1" s="1"/>
  <c r="AJ32" i="1"/>
  <c r="EF32" i="1" s="1"/>
  <c r="AZ23" i="1"/>
  <c r="EV23" i="1" s="1"/>
  <c r="AR40" i="1"/>
  <c r="EN40" i="1" s="1"/>
  <c r="AZ14" i="1"/>
  <c r="EV14" i="1" s="1"/>
  <c r="T14" i="1"/>
  <c r="DP14" i="1" s="1"/>
  <c r="AJ14" i="1"/>
  <c r="EF14" i="1" s="1"/>
  <c r="AJ41" i="1"/>
  <c r="EF41" i="1" s="1"/>
  <c r="T41" i="1"/>
  <c r="DP41" i="1" s="1"/>
  <c r="T23" i="1"/>
  <c r="DP23" i="1" s="1"/>
  <c r="OX23" i="1" l="1"/>
  <c r="ST23" i="1"/>
  <c r="QV23" i="1"/>
  <c r="OX41" i="1"/>
  <c r="QV41" i="1"/>
  <c r="ST41" i="1"/>
  <c r="PN14" i="1"/>
  <c r="RL14" i="1"/>
  <c r="TJ14" i="1"/>
  <c r="ST14" i="1"/>
  <c r="QV14" i="1"/>
  <c r="QD14" i="1"/>
  <c r="TZ14" i="1"/>
  <c r="SB14" i="1"/>
  <c r="PV40" i="1"/>
  <c r="TR40" i="1"/>
  <c r="RT40" i="1"/>
  <c r="QD23" i="1"/>
  <c r="TZ23" i="1"/>
  <c r="SB23" i="1"/>
  <c r="PN32" i="1"/>
  <c r="TJ32" i="1"/>
  <c r="RL32" i="1"/>
  <c r="OX32" i="1"/>
  <c r="QV32" i="1"/>
  <c r="ST32" i="1"/>
  <c r="PN23" i="1"/>
  <c r="TJ23" i="1"/>
  <c r="RL23" i="1"/>
  <c r="TI14" i="1"/>
  <c r="RK14" i="1"/>
  <c r="TY14" i="1"/>
  <c r="SA14" i="1"/>
  <c r="SS23" i="1"/>
  <c r="QU23" i="1"/>
  <c r="TI23" i="1"/>
  <c r="RK23" i="1"/>
  <c r="SS32" i="1"/>
  <c r="QU32" i="1"/>
  <c r="SS41" i="1"/>
  <c r="QU41" i="1"/>
  <c r="TI32" i="1"/>
  <c r="RK32" i="1"/>
  <c r="TY23" i="1"/>
  <c r="SA23" i="1"/>
  <c r="SG39" i="1"/>
  <c r="UE39" i="1"/>
  <c r="SS14" i="1"/>
  <c r="QU14" i="1"/>
  <c r="PN41" i="1"/>
  <c r="TJ41" i="1"/>
  <c r="RL41" i="1"/>
  <c r="RK41" i="1"/>
  <c r="TI41" i="1"/>
  <c r="LD14" i="1"/>
  <c r="NA14" i="1"/>
  <c r="OX14" i="1"/>
  <c r="LC14" i="1"/>
  <c r="OW14" i="1"/>
  <c r="MZ14" i="1"/>
  <c r="OL39" i="1"/>
  <c r="QI39" i="1"/>
  <c r="NP41" i="1"/>
  <c r="PM41" i="1"/>
  <c r="MZ41" i="1"/>
  <c r="OW41" i="1"/>
  <c r="NP32" i="1"/>
  <c r="PM32" i="1"/>
  <c r="MZ32" i="1"/>
  <c r="OW32" i="1"/>
  <c r="OF23" i="1"/>
  <c r="QC23" i="1"/>
  <c r="NP23" i="1"/>
  <c r="PM23" i="1"/>
  <c r="MZ23" i="1"/>
  <c r="OW23" i="1"/>
  <c r="OF14" i="1"/>
  <c r="QC14" i="1"/>
  <c r="NP14" i="1"/>
  <c r="PM14" i="1"/>
  <c r="MB40" i="1"/>
  <c r="NY40" i="1"/>
  <c r="LT41" i="1"/>
  <c r="NQ41" i="1"/>
  <c r="LD41" i="1"/>
  <c r="NA41" i="1"/>
  <c r="LT32" i="1"/>
  <c r="NQ32" i="1"/>
  <c r="LD32" i="1"/>
  <c r="NA32" i="1"/>
  <c r="MJ23" i="1"/>
  <c r="OG23" i="1"/>
  <c r="LT23" i="1"/>
  <c r="NQ23" i="1"/>
  <c r="LD23" i="1"/>
  <c r="NA23" i="1"/>
  <c r="MJ14" i="1"/>
  <c r="OG14" i="1"/>
  <c r="LT14" i="1"/>
  <c r="NQ14" i="1"/>
  <c r="KR39" i="1"/>
  <c r="MO39" i="1"/>
  <c r="JV41" i="1"/>
  <c r="LS41" i="1"/>
  <c r="JF41" i="1"/>
  <c r="LC41" i="1"/>
  <c r="JV32" i="1"/>
  <c r="LS32" i="1"/>
  <c r="JF32" i="1"/>
  <c r="LC32" i="1"/>
  <c r="KL23" i="1"/>
  <c r="MI23" i="1"/>
  <c r="JV23" i="1"/>
  <c r="LS23" i="1"/>
  <c r="JF23" i="1"/>
  <c r="LC23" i="1"/>
  <c r="KL14" i="1"/>
  <c r="MI14" i="1"/>
  <c r="JV14" i="1"/>
  <c r="LS14" i="1"/>
  <c r="FL14" i="1"/>
  <c r="HI14" i="1"/>
  <c r="JF14" i="1"/>
  <c r="HJ14" i="1"/>
  <c r="JG14" i="1"/>
  <c r="IP23" i="1"/>
  <c r="KM23" i="1"/>
  <c r="IH40" i="1"/>
  <c r="KE40" i="1"/>
  <c r="HZ41" i="1"/>
  <c r="JW41" i="1"/>
  <c r="HZ32" i="1"/>
  <c r="JW32" i="1"/>
  <c r="IP14" i="1"/>
  <c r="KM14" i="1"/>
  <c r="HZ23" i="1"/>
  <c r="JW23" i="1"/>
  <c r="HZ14" i="1"/>
  <c r="JW14" i="1"/>
  <c r="HJ32" i="1"/>
  <c r="JG32" i="1"/>
  <c r="HJ23" i="1"/>
  <c r="JG23" i="1"/>
  <c r="HJ41" i="1"/>
  <c r="JG41" i="1"/>
  <c r="GX39" i="1"/>
  <c r="IU39" i="1"/>
  <c r="GB41" i="1"/>
  <c r="HY41" i="1"/>
  <c r="FL41" i="1"/>
  <c r="HI41" i="1"/>
  <c r="GB32" i="1"/>
  <c r="HY32" i="1"/>
  <c r="FL32" i="1"/>
  <c r="HI32" i="1"/>
  <c r="GR23" i="1"/>
  <c r="IO23" i="1"/>
  <c r="GB23" i="1"/>
  <c r="HY23" i="1"/>
  <c r="FL23" i="1"/>
  <c r="HI23" i="1"/>
  <c r="GR14" i="1"/>
  <c r="IO14" i="1"/>
  <c r="GB14" i="1"/>
  <c r="HY14" i="1"/>
  <c r="FM14" i="1"/>
  <c r="DQ14" i="1"/>
  <c r="EO40" i="1"/>
  <c r="GK40" i="1"/>
  <c r="EW23" i="1"/>
  <c r="GS23" i="1"/>
  <c r="EG41" i="1"/>
  <c r="GC41" i="1"/>
  <c r="EG32" i="1"/>
  <c r="GC32" i="1"/>
  <c r="DQ41" i="1"/>
  <c r="FM41" i="1"/>
  <c r="FM32" i="1"/>
  <c r="DQ32" i="1"/>
  <c r="EG23" i="1"/>
  <c r="GC23" i="1"/>
  <c r="FM23" i="1"/>
  <c r="DQ23" i="1"/>
  <c r="EW14" i="1"/>
  <c r="GS14" i="1"/>
  <c r="EG14" i="1"/>
  <c r="GC14" i="1"/>
  <c r="V23" i="1"/>
  <c r="DR23" i="1" s="1"/>
  <c r="V14" i="1"/>
  <c r="DR14" i="1" s="1"/>
  <c r="BB23" i="1"/>
  <c r="EX23" i="1" s="1"/>
  <c r="V41" i="1"/>
  <c r="DR41" i="1" s="1"/>
  <c r="V32" i="1"/>
  <c r="DR32" i="1" s="1"/>
  <c r="AL14" i="1"/>
  <c r="EH14" i="1" s="1"/>
  <c r="BB14" i="1"/>
  <c r="EX14" i="1" s="1"/>
  <c r="AL41" i="1"/>
  <c r="EH41" i="1" s="1"/>
  <c r="AT40" i="1"/>
  <c r="EP40" i="1" s="1"/>
  <c r="AL32" i="1"/>
  <c r="EH32" i="1" s="1"/>
  <c r="AL23" i="1"/>
  <c r="EH23" i="1" s="1"/>
  <c r="PP23" i="1" l="1"/>
  <c r="TL23" i="1"/>
  <c r="RN23" i="1"/>
  <c r="PP32" i="1"/>
  <c r="TL32" i="1"/>
  <c r="RN32" i="1"/>
  <c r="PX40" i="1"/>
  <c r="TT40" i="1"/>
  <c r="RV40" i="1"/>
  <c r="QF14" i="1"/>
  <c r="UB14" i="1"/>
  <c r="SD14" i="1"/>
  <c r="PP14" i="1"/>
  <c r="TL14" i="1"/>
  <c r="RN14" i="1"/>
  <c r="OZ32" i="1"/>
  <c r="SV32" i="1"/>
  <c r="QX32" i="1"/>
  <c r="OZ41" i="1"/>
  <c r="SV41" i="1"/>
  <c r="QX41" i="1"/>
  <c r="QF23" i="1"/>
  <c r="UB23" i="1"/>
  <c r="SD23" i="1"/>
  <c r="SV14" i="1"/>
  <c r="QX14" i="1"/>
  <c r="OZ23" i="1"/>
  <c r="SV23" i="1"/>
  <c r="QX23" i="1"/>
  <c r="TK14" i="1"/>
  <c r="RM14" i="1"/>
  <c r="UA14" i="1"/>
  <c r="SC14" i="1"/>
  <c r="SU23" i="1"/>
  <c r="QW23" i="1"/>
  <c r="RM23" i="1"/>
  <c r="TK23" i="1"/>
  <c r="SU32" i="1"/>
  <c r="QW32" i="1"/>
  <c r="SU41" i="1"/>
  <c r="QW41" i="1"/>
  <c r="TK32" i="1"/>
  <c r="RM32" i="1"/>
  <c r="SC23" i="1"/>
  <c r="UA23" i="1"/>
  <c r="TS40" i="1"/>
  <c r="RU40" i="1"/>
  <c r="QW14" i="1"/>
  <c r="SU14" i="1"/>
  <c r="TK41" i="1"/>
  <c r="RM41" i="1"/>
  <c r="PP41" i="1"/>
  <c r="RN41" i="1"/>
  <c r="TL41" i="1"/>
  <c r="LF14" i="1"/>
  <c r="OZ14" i="1"/>
  <c r="NC14" i="1"/>
  <c r="LE14" i="1"/>
  <c r="OY14" i="1"/>
  <c r="NB14" i="1"/>
  <c r="NZ40" i="1"/>
  <c r="PW40" i="1"/>
  <c r="NR41" i="1"/>
  <c r="PO41" i="1"/>
  <c r="NB41" i="1"/>
  <c r="OY41" i="1"/>
  <c r="NR32" i="1"/>
  <c r="PO32" i="1"/>
  <c r="NB32" i="1"/>
  <c r="OY32" i="1"/>
  <c r="OH23" i="1"/>
  <c r="QE23" i="1"/>
  <c r="NR23" i="1"/>
  <c r="PO23" i="1"/>
  <c r="NB23" i="1"/>
  <c r="OY23" i="1"/>
  <c r="OH14" i="1"/>
  <c r="QE14" i="1"/>
  <c r="NR14" i="1"/>
  <c r="PO14" i="1"/>
  <c r="MD40" i="1"/>
  <c r="OA40" i="1"/>
  <c r="LV41" i="1"/>
  <c r="NS41" i="1"/>
  <c r="LF41" i="1"/>
  <c r="NC41" i="1"/>
  <c r="LV32" i="1"/>
  <c r="NS32" i="1"/>
  <c r="LF32" i="1"/>
  <c r="NC32" i="1"/>
  <c r="ML23" i="1"/>
  <c r="OI23" i="1"/>
  <c r="LV23" i="1"/>
  <c r="NS23" i="1"/>
  <c r="LF23" i="1"/>
  <c r="NC23" i="1"/>
  <c r="ML14" i="1"/>
  <c r="OI14" i="1"/>
  <c r="LV14" i="1"/>
  <c r="NS14" i="1"/>
  <c r="KF40" i="1"/>
  <c r="MC40" i="1"/>
  <c r="JX41" i="1"/>
  <c r="LU41" i="1"/>
  <c r="JH41" i="1"/>
  <c r="LE41" i="1"/>
  <c r="JX32" i="1"/>
  <c r="LU32" i="1"/>
  <c r="JH32" i="1"/>
  <c r="LE32" i="1"/>
  <c r="KN23" i="1"/>
  <c r="MK23" i="1"/>
  <c r="JX23" i="1"/>
  <c r="LU23" i="1"/>
  <c r="JH23" i="1"/>
  <c r="LE23" i="1"/>
  <c r="KN14" i="1"/>
  <c r="MK14" i="1"/>
  <c r="JX14" i="1"/>
  <c r="LU14" i="1"/>
  <c r="FN14" i="1"/>
  <c r="HK14" i="1"/>
  <c r="JH14" i="1"/>
  <c r="HL14" i="1"/>
  <c r="JI14" i="1"/>
  <c r="IR23" i="1"/>
  <c r="KO23" i="1"/>
  <c r="IJ40" i="1"/>
  <c r="KG40" i="1"/>
  <c r="IB41" i="1"/>
  <c r="JY41" i="1"/>
  <c r="IB32" i="1"/>
  <c r="JY32" i="1"/>
  <c r="IR14" i="1"/>
  <c r="KO14" i="1"/>
  <c r="IB23" i="1"/>
  <c r="JY23" i="1"/>
  <c r="IB14" i="1"/>
  <c r="JY14" i="1"/>
  <c r="HL32" i="1"/>
  <c r="JI32" i="1"/>
  <c r="HL23" i="1"/>
  <c r="JI23" i="1"/>
  <c r="HL41" i="1"/>
  <c r="JI41" i="1"/>
  <c r="GL40" i="1"/>
  <c r="II40" i="1"/>
  <c r="GD41" i="1"/>
  <c r="IA41" i="1"/>
  <c r="FN41" i="1"/>
  <c r="HK41" i="1"/>
  <c r="GD32" i="1"/>
  <c r="IA32" i="1"/>
  <c r="FN32" i="1"/>
  <c r="HK32" i="1"/>
  <c r="GT23" i="1"/>
  <c r="IQ23" i="1"/>
  <c r="GD23" i="1"/>
  <c r="IA23" i="1"/>
  <c r="FN23" i="1"/>
  <c r="HK23" i="1"/>
  <c r="GT14" i="1"/>
  <c r="IQ14" i="1"/>
  <c r="GD14" i="1"/>
  <c r="IA14" i="1"/>
  <c r="DS14" i="1"/>
  <c r="FO14" i="1"/>
  <c r="EQ40" i="1"/>
  <c r="GM40" i="1"/>
  <c r="EY23" i="1"/>
  <c r="GU23" i="1"/>
  <c r="EI41" i="1"/>
  <c r="GE41" i="1"/>
  <c r="EI32" i="1"/>
  <c r="GE32" i="1"/>
  <c r="DS41" i="1"/>
  <c r="FO41" i="1"/>
  <c r="DS32" i="1"/>
  <c r="FO32" i="1"/>
  <c r="EI23" i="1"/>
  <c r="GE23" i="1"/>
  <c r="DS23" i="1"/>
  <c r="FO23" i="1"/>
  <c r="GE14" i="1"/>
  <c r="EI14" i="1"/>
  <c r="EY14" i="1"/>
  <c r="GU14" i="1"/>
  <c r="AN41" i="1"/>
  <c r="EJ41" i="1" s="1"/>
  <c r="AN23" i="1"/>
  <c r="EJ23" i="1" s="1"/>
  <c r="BD14" i="1"/>
  <c r="EZ14" i="1" s="1"/>
  <c r="X41" i="1"/>
  <c r="DT41" i="1" s="1"/>
  <c r="AN32" i="1"/>
  <c r="EJ32" i="1" s="1"/>
  <c r="AN14" i="1"/>
  <c r="EJ14" i="1" s="1"/>
  <c r="BD23" i="1"/>
  <c r="EZ23" i="1" s="1"/>
  <c r="X23" i="1"/>
  <c r="DT23" i="1" s="1"/>
  <c r="AV40" i="1"/>
  <c r="ER40" i="1" s="1"/>
  <c r="X32" i="1"/>
  <c r="DT32" i="1" s="1"/>
  <c r="X14" i="1"/>
  <c r="DT14" i="1" s="1"/>
  <c r="SX14" i="1" l="1"/>
  <c r="QZ14" i="1"/>
  <c r="PB32" i="1"/>
  <c r="SX32" i="1"/>
  <c r="QZ32" i="1"/>
  <c r="PZ40" i="1"/>
  <c r="TV40" i="1"/>
  <c r="RX40" i="1"/>
  <c r="PB23" i="1"/>
  <c r="SX23" i="1"/>
  <c r="QZ23" i="1"/>
  <c r="QH23" i="1"/>
  <c r="UD23" i="1"/>
  <c r="SF23" i="1"/>
  <c r="PR14" i="1"/>
  <c r="TN14" i="1"/>
  <c r="RP14" i="1"/>
  <c r="PR32" i="1"/>
  <c r="TN32" i="1"/>
  <c r="RP32" i="1"/>
  <c r="PB41" i="1"/>
  <c r="SX41" i="1"/>
  <c r="QZ41" i="1"/>
  <c r="QH14" i="1"/>
  <c r="UD14" i="1"/>
  <c r="SF14" i="1"/>
  <c r="PR23" i="1"/>
  <c r="TN23" i="1"/>
  <c r="RP23" i="1"/>
  <c r="UC14" i="1"/>
  <c r="SE14" i="1"/>
  <c r="TM14" i="1"/>
  <c r="RO14" i="1"/>
  <c r="SW23" i="1"/>
  <c r="QY23" i="1"/>
  <c r="TM23" i="1"/>
  <c r="RO23" i="1"/>
  <c r="SW32" i="1"/>
  <c r="QY32" i="1"/>
  <c r="SW41" i="1"/>
  <c r="QY41" i="1"/>
  <c r="TM32" i="1"/>
  <c r="RO32" i="1"/>
  <c r="UC23" i="1"/>
  <c r="SE23" i="1"/>
  <c r="TU40" i="1"/>
  <c r="RW40" i="1"/>
  <c r="QY14" i="1"/>
  <c r="SW14" i="1"/>
  <c r="TM41" i="1"/>
  <c r="RO41" i="1"/>
  <c r="PR41" i="1"/>
  <c r="TN41" i="1"/>
  <c r="RP41" i="1"/>
  <c r="LH14" i="1"/>
  <c r="NE14" i="1"/>
  <c r="PB14" i="1"/>
  <c r="LG14" i="1"/>
  <c r="PA14" i="1"/>
  <c r="ND14" i="1"/>
  <c r="OB40" i="1"/>
  <c r="PY40" i="1"/>
  <c r="NT41" i="1"/>
  <c r="PQ41" i="1"/>
  <c r="ND41" i="1"/>
  <c r="PA41" i="1"/>
  <c r="NT32" i="1"/>
  <c r="PQ32" i="1"/>
  <c r="ND32" i="1"/>
  <c r="PA32" i="1"/>
  <c r="OJ23" i="1"/>
  <c r="QG23" i="1"/>
  <c r="NT23" i="1"/>
  <c r="PQ23" i="1"/>
  <c r="ND23" i="1"/>
  <c r="PA23" i="1"/>
  <c r="OJ14" i="1"/>
  <c r="QG14" i="1"/>
  <c r="NT14" i="1"/>
  <c r="PQ14" i="1"/>
  <c r="MF40" i="1"/>
  <c r="OC40" i="1"/>
  <c r="LX41" i="1"/>
  <c r="NU41" i="1"/>
  <c r="LH41" i="1"/>
  <c r="NE41" i="1"/>
  <c r="LX32" i="1"/>
  <c r="NU32" i="1"/>
  <c r="LH32" i="1"/>
  <c r="NE32" i="1"/>
  <c r="MN23" i="1"/>
  <c r="OK23" i="1"/>
  <c r="LX23" i="1"/>
  <c r="NU23" i="1"/>
  <c r="LH23" i="1"/>
  <c r="NE23" i="1"/>
  <c r="MN14" i="1"/>
  <c r="OK14" i="1"/>
  <c r="LX14" i="1"/>
  <c r="NU14" i="1"/>
  <c r="KH40" i="1"/>
  <c r="ME40" i="1"/>
  <c r="JZ41" i="1"/>
  <c r="LW41" i="1"/>
  <c r="JJ41" i="1"/>
  <c r="LG41" i="1"/>
  <c r="JZ32" i="1"/>
  <c r="LW32" i="1"/>
  <c r="JJ32" i="1"/>
  <c r="LG32" i="1"/>
  <c r="KP23" i="1"/>
  <c r="MM23" i="1"/>
  <c r="JZ23" i="1"/>
  <c r="LW23" i="1"/>
  <c r="JJ23" i="1"/>
  <c r="LG23" i="1"/>
  <c r="KP14" i="1"/>
  <c r="MM14" i="1"/>
  <c r="JZ14" i="1"/>
  <c r="LW14" i="1"/>
  <c r="JK14" i="1"/>
  <c r="HN14" i="1"/>
  <c r="FP14" i="1"/>
  <c r="JJ14" i="1"/>
  <c r="HM14" i="1"/>
  <c r="IT23" i="1"/>
  <c r="KQ23" i="1"/>
  <c r="IL40" i="1"/>
  <c r="KI40" i="1"/>
  <c r="ID41" i="1"/>
  <c r="KA41" i="1"/>
  <c r="ID32" i="1"/>
  <c r="KA32" i="1"/>
  <c r="IT14" i="1"/>
  <c r="KQ14" i="1"/>
  <c r="ID23" i="1"/>
  <c r="KA23" i="1"/>
  <c r="ID14" i="1"/>
  <c r="KA14" i="1"/>
  <c r="HN32" i="1"/>
  <c r="JK32" i="1"/>
  <c r="HN23" i="1"/>
  <c r="JK23" i="1"/>
  <c r="HN41" i="1"/>
  <c r="JK41" i="1"/>
  <c r="GN40" i="1"/>
  <c r="IK40" i="1"/>
  <c r="GF41" i="1"/>
  <c r="IC41" i="1"/>
  <c r="FP41" i="1"/>
  <c r="HM41" i="1"/>
  <c r="GF32" i="1"/>
  <c r="IC32" i="1"/>
  <c r="FP32" i="1"/>
  <c r="HM32" i="1"/>
  <c r="GV23" i="1"/>
  <c r="IS23" i="1"/>
  <c r="GF23" i="1"/>
  <c r="IC23" i="1"/>
  <c r="FP23" i="1"/>
  <c r="HM23" i="1"/>
  <c r="GV14" i="1"/>
  <c r="IS14" i="1"/>
  <c r="GF14" i="1"/>
  <c r="IC14" i="1"/>
  <c r="DU14" i="1"/>
  <c r="FQ14" i="1"/>
  <c r="GO40" i="1"/>
  <c r="ES40" i="1"/>
  <c r="FA23" i="1"/>
  <c r="GW23" i="1"/>
  <c r="EK41" i="1"/>
  <c r="GG41" i="1"/>
  <c r="EK32" i="1"/>
  <c r="GG32" i="1"/>
  <c r="DU41" i="1"/>
  <c r="FQ41" i="1"/>
  <c r="DU32" i="1"/>
  <c r="FQ32" i="1"/>
  <c r="EK23" i="1"/>
  <c r="GG23" i="1"/>
  <c r="DU23" i="1"/>
  <c r="FQ23" i="1"/>
  <c r="FA14" i="1"/>
  <c r="GW14" i="1"/>
  <c r="EK14" i="1"/>
  <c r="GG14" i="1"/>
  <c r="L15" i="1"/>
  <c r="DH15" i="1" s="1"/>
  <c r="L33" i="1"/>
  <c r="DH33" i="1" s="1"/>
  <c r="L24" i="1"/>
  <c r="DH24" i="1" s="1"/>
  <c r="AR24" i="1"/>
  <c r="EN24" i="1" s="1"/>
  <c r="AX40" i="1"/>
  <c r="ET40" i="1" s="1"/>
  <c r="AB15" i="1"/>
  <c r="DX15" i="1" s="1"/>
  <c r="L42" i="1"/>
  <c r="AR15" i="1"/>
  <c r="EN15" i="1" s="1"/>
  <c r="AB33" i="1"/>
  <c r="DX33" i="1" s="1"/>
  <c r="AB24" i="1"/>
  <c r="DX24" i="1" s="1"/>
  <c r="AB42" i="1"/>
  <c r="DX42" i="1" s="1"/>
  <c r="PF24" i="1" l="1"/>
  <c r="TB24" i="1"/>
  <c r="RD24" i="1"/>
  <c r="PF33" i="1"/>
  <c r="TB33" i="1"/>
  <c r="RD33" i="1"/>
  <c r="PV15" i="1"/>
  <c r="RT15" i="1"/>
  <c r="TR15" i="1"/>
  <c r="PF15" i="1"/>
  <c r="RD15" i="1"/>
  <c r="TB15" i="1"/>
  <c r="QB40" i="1"/>
  <c r="TX40" i="1"/>
  <c r="RZ40" i="1"/>
  <c r="PV24" i="1"/>
  <c r="TR24" i="1"/>
  <c r="RT24" i="1"/>
  <c r="OP24" i="1"/>
  <c r="SL24" i="1"/>
  <c r="QN24" i="1"/>
  <c r="OP33" i="1"/>
  <c r="SL33" i="1"/>
  <c r="QN33" i="1"/>
  <c r="SL15" i="1"/>
  <c r="QN15" i="1"/>
  <c r="TO14" i="1"/>
  <c r="RQ14" i="1"/>
  <c r="UE14" i="1"/>
  <c r="SG14" i="1"/>
  <c r="SY23" i="1"/>
  <c r="RA23" i="1"/>
  <c r="TO23" i="1"/>
  <c r="RQ23" i="1"/>
  <c r="SY32" i="1"/>
  <c r="RA32" i="1"/>
  <c r="SY41" i="1"/>
  <c r="RA41" i="1"/>
  <c r="TO32" i="1"/>
  <c r="RQ32" i="1"/>
  <c r="UE23" i="1"/>
  <c r="SG23" i="1"/>
  <c r="RY40" i="1"/>
  <c r="TW40" i="1"/>
  <c r="SY14" i="1"/>
  <c r="RA14" i="1"/>
  <c r="PF42" i="1"/>
  <c r="TB42" i="1"/>
  <c r="RD42" i="1"/>
  <c r="TO41" i="1"/>
  <c r="RQ41" i="1"/>
  <c r="LI14" i="1"/>
  <c r="NF14" i="1"/>
  <c r="PC14" i="1"/>
  <c r="KV15" i="1"/>
  <c r="OP15" i="1"/>
  <c r="MS15" i="1"/>
  <c r="OD40" i="1"/>
  <c r="QA40" i="1"/>
  <c r="NV41" i="1"/>
  <c r="PS41" i="1"/>
  <c r="NF41" i="1"/>
  <c r="PC41" i="1"/>
  <c r="NV32" i="1"/>
  <c r="PS32" i="1"/>
  <c r="NF32" i="1"/>
  <c r="PC32" i="1"/>
  <c r="OL23" i="1"/>
  <c r="QI23" i="1"/>
  <c r="NV23" i="1"/>
  <c r="PS23" i="1"/>
  <c r="NF23" i="1"/>
  <c r="PC23" i="1"/>
  <c r="OL14" i="1"/>
  <c r="QI14" i="1"/>
  <c r="NV14" i="1"/>
  <c r="PS14" i="1"/>
  <c r="MH40" i="1"/>
  <c r="OE40" i="1"/>
  <c r="LL42" i="1"/>
  <c r="NI42" i="1"/>
  <c r="LL33" i="1"/>
  <c r="NI33" i="1"/>
  <c r="KV33" i="1"/>
  <c r="MS33" i="1"/>
  <c r="MB24" i="1"/>
  <c r="NY24" i="1"/>
  <c r="LL24" i="1"/>
  <c r="NI24" i="1"/>
  <c r="KV24" i="1"/>
  <c r="MS24" i="1"/>
  <c r="MB15" i="1"/>
  <c r="NY15" i="1"/>
  <c r="LL15" i="1"/>
  <c r="NI15" i="1"/>
  <c r="KJ40" i="1"/>
  <c r="MG40" i="1"/>
  <c r="KB41" i="1"/>
  <c r="LY41" i="1"/>
  <c r="JL41" i="1"/>
  <c r="LI41" i="1"/>
  <c r="KB32" i="1"/>
  <c r="LY32" i="1"/>
  <c r="JL32" i="1"/>
  <c r="LI32" i="1"/>
  <c r="KR23" i="1"/>
  <c r="MO23" i="1"/>
  <c r="KB23" i="1"/>
  <c r="LY23" i="1"/>
  <c r="JL23" i="1"/>
  <c r="LI23" i="1"/>
  <c r="KR14" i="1"/>
  <c r="MO14" i="1"/>
  <c r="KB14" i="1"/>
  <c r="LY14" i="1"/>
  <c r="HB15" i="1"/>
  <c r="IY15" i="1"/>
  <c r="FR14" i="1"/>
  <c r="JL14" i="1"/>
  <c r="HO14" i="1"/>
  <c r="IH24" i="1"/>
  <c r="KE24" i="1"/>
  <c r="IN40" i="1"/>
  <c r="KK40" i="1"/>
  <c r="HR42" i="1"/>
  <c r="JO42" i="1"/>
  <c r="HR33" i="1"/>
  <c r="JO33" i="1"/>
  <c r="IH15" i="1"/>
  <c r="KE15" i="1"/>
  <c r="HR24" i="1"/>
  <c r="JO24" i="1"/>
  <c r="HR15" i="1"/>
  <c r="JO15" i="1"/>
  <c r="HB33" i="1"/>
  <c r="IY33" i="1"/>
  <c r="HB24" i="1"/>
  <c r="IY24" i="1"/>
  <c r="GP40" i="1"/>
  <c r="IM40" i="1"/>
  <c r="GH41" i="1"/>
  <c r="IE41" i="1"/>
  <c r="FR41" i="1"/>
  <c r="HO41" i="1"/>
  <c r="GH32" i="1"/>
  <c r="IE32" i="1"/>
  <c r="FR32" i="1"/>
  <c r="HO32" i="1"/>
  <c r="GX23" i="1"/>
  <c r="IU23" i="1"/>
  <c r="GH23" i="1"/>
  <c r="IE23" i="1"/>
  <c r="FR23" i="1"/>
  <c r="HO23" i="1"/>
  <c r="GX14" i="1"/>
  <c r="IU14" i="1"/>
  <c r="GH14" i="1"/>
  <c r="IE14" i="1"/>
  <c r="DI15" i="1"/>
  <c r="FE15" i="1"/>
  <c r="GQ40" i="1"/>
  <c r="EU40" i="1"/>
  <c r="EO24" i="1"/>
  <c r="GK24" i="1"/>
  <c r="DY42" i="1"/>
  <c r="FU42" i="1"/>
  <c r="DY33" i="1"/>
  <c r="FU33" i="1"/>
  <c r="DI33" i="1"/>
  <c r="FE33" i="1"/>
  <c r="DY24" i="1"/>
  <c r="FU24" i="1"/>
  <c r="DI24" i="1"/>
  <c r="FE24" i="1"/>
  <c r="DY15" i="1"/>
  <c r="FU15" i="1"/>
  <c r="EO15" i="1"/>
  <c r="GK15" i="1"/>
  <c r="AD42" i="1"/>
  <c r="DZ42" i="1" s="1"/>
  <c r="AD24" i="1"/>
  <c r="DZ24" i="1" s="1"/>
  <c r="AT15" i="1"/>
  <c r="EP15" i="1" s="1"/>
  <c r="N42" i="1"/>
  <c r="DJ42" i="1" s="1"/>
  <c r="DH42" i="1"/>
  <c r="AD33" i="1"/>
  <c r="DZ33" i="1" s="1"/>
  <c r="AT24" i="1"/>
  <c r="EP24" i="1" s="1"/>
  <c r="AD15" i="1"/>
  <c r="DZ15" i="1" s="1"/>
  <c r="N24" i="1"/>
  <c r="DJ24" i="1" s="1"/>
  <c r="N33" i="1"/>
  <c r="DJ33" i="1" s="1"/>
  <c r="AZ40" i="1"/>
  <c r="EV40" i="1" s="1"/>
  <c r="N15" i="1"/>
  <c r="DJ15" i="1" s="1"/>
  <c r="SN15" i="1" l="1"/>
  <c r="QP15" i="1"/>
  <c r="QD40" i="1"/>
  <c r="SB40" i="1"/>
  <c r="TZ40" i="1"/>
  <c r="OR33" i="1"/>
  <c r="SN33" i="1"/>
  <c r="QP33" i="1"/>
  <c r="OR24" i="1"/>
  <c r="SN24" i="1"/>
  <c r="QP24" i="1"/>
  <c r="PH15" i="1"/>
  <c r="TD15" i="1"/>
  <c r="RF15" i="1"/>
  <c r="PX24" i="1"/>
  <c r="RV24" i="1"/>
  <c r="TT24" i="1"/>
  <c r="PH33" i="1"/>
  <c r="TD33" i="1"/>
  <c r="RF33" i="1"/>
  <c r="SL42" i="1"/>
  <c r="QN42" i="1"/>
  <c r="OR42" i="1"/>
  <c r="SN42" i="1"/>
  <c r="QP42" i="1"/>
  <c r="PX15" i="1"/>
  <c r="RV15" i="1"/>
  <c r="TT15" i="1"/>
  <c r="PH24" i="1"/>
  <c r="RF24" i="1"/>
  <c r="TD24" i="1"/>
  <c r="TS15" i="1"/>
  <c r="RU15" i="1"/>
  <c r="TC15" i="1"/>
  <c r="RE15" i="1"/>
  <c r="SM24" i="1"/>
  <c r="QO24" i="1"/>
  <c r="TC24" i="1"/>
  <c r="RE24" i="1"/>
  <c r="SM33" i="1"/>
  <c r="QO33" i="1"/>
  <c r="RE33" i="1"/>
  <c r="TC33" i="1"/>
  <c r="TS24" i="1"/>
  <c r="RU24" i="1"/>
  <c r="TY40" i="1"/>
  <c r="SA40" i="1"/>
  <c r="SM15" i="1"/>
  <c r="QO15" i="1"/>
  <c r="TC42" i="1"/>
  <c r="RE42" i="1"/>
  <c r="PH42" i="1"/>
  <c r="TD42" i="1"/>
  <c r="RF42" i="1"/>
  <c r="KX15" i="1"/>
  <c r="OR15" i="1"/>
  <c r="MU15" i="1"/>
  <c r="KW15" i="1"/>
  <c r="MT15" i="1"/>
  <c r="OQ15" i="1"/>
  <c r="OF40" i="1"/>
  <c r="QC40" i="1"/>
  <c r="NJ42" i="1"/>
  <c r="PG42" i="1"/>
  <c r="MS42" i="1"/>
  <c r="OP42" i="1"/>
  <c r="NJ33" i="1"/>
  <c r="PG33" i="1"/>
  <c r="MT33" i="1"/>
  <c r="OQ33" i="1"/>
  <c r="NZ24" i="1"/>
  <c r="PW24" i="1"/>
  <c r="NJ24" i="1"/>
  <c r="PG24" i="1"/>
  <c r="MT24" i="1"/>
  <c r="OQ24" i="1"/>
  <c r="NZ15" i="1"/>
  <c r="PW15" i="1"/>
  <c r="NJ15" i="1"/>
  <c r="PG15" i="1"/>
  <c r="MJ40" i="1"/>
  <c r="OG40" i="1"/>
  <c r="LN42" i="1"/>
  <c r="NK42" i="1"/>
  <c r="KX42" i="1"/>
  <c r="MU42" i="1"/>
  <c r="LN33" i="1"/>
  <c r="NK33" i="1"/>
  <c r="KX33" i="1"/>
  <c r="MU33" i="1"/>
  <c r="MD24" i="1"/>
  <c r="OA24" i="1"/>
  <c r="LN24" i="1"/>
  <c r="NK24" i="1"/>
  <c r="KX24" i="1"/>
  <c r="MU24" i="1"/>
  <c r="MD15" i="1"/>
  <c r="OA15" i="1"/>
  <c r="LN15" i="1"/>
  <c r="NK15" i="1"/>
  <c r="KL40" i="1"/>
  <c r="MI40" i="1"/>
  <c r="JP42" i="1"/>
  <c r="LM42" i="1"/>
  <c r="IY42" i="1"/>
  <c r="KV42" i="1"/>
  <c r="JP33" i="1"/>
  <c r="LM33" i="1"/>
  <c r="IZ33" i="1"/>
  <c r="KW33" i="1"/>
  <c r="KF24" i="1"/>
  <c r="MC24" i="1"/>
  <c r="JP24" i="1"/>
  <c r="LM24" i="1"/>
  <c r="IZ24" i="1"/>
  <c r="KW24" i="1"/>
  <c r="KF15" i="1"/>
  <c r="MC15" i="1"/>
  <c r="JP15" i="1"/>
  <c r="LM15" i="1"/>
  <c r="JA15" i="1"/>
  <c r="HD15" i="1"/>
  <c r="FF15" i="1"/>
  <c r="HC15" i="1"/>
  <c r="IZ15" i="1"/>
  <c r="IJ24" i="1"/>
  <c r="KG24" i="1"/>
  <c r="IP40" i="1"/>
  <c r="KM40" i="1"/>
  <c r="HT42" i="1"/>
  <c r="JQ42" i="1"/>
  <c r="HT33" i="1"/>
  <c r="JQ33" i="1"/>
  <c r="IJ15" i="1"/>
  <c r="KG15" i="1"/>
  <c r="HT24" i="1"/>
  <c r="JQ24" i="1"/>
  <c r="HT15" i="1"/>
  <c r="JQ15" i="1"/>
  <c r="HD33" i="1"/>
  <c r="JA33" i="1"/>
  <c r="HD24" i="1"/>
  <c r="JA24" i="1"/>
  <c r="HD42" i="1"/>
  <c r="JA42" i="1"/>
  <c r="GR40" i="1"/>
  <c r="IO40" i="1"/>
  <c r="FV42" i="1"/>
  <c r="HS42" i="1"/>
  <c r="FE42" i="1"/>
  <c r="HB42" i="1"/>
  <c r="FV33" i="1"/>
  <c r="HS33" i="1"/>
  <c r="FF33" i="1"/>
  <c r="HC33" i="1"/>
  <c r="GL24" i="1"/>
  <c r="II24" i="1"/>
  <c r="FV24" i="1"/>
  <c r="HS24" i="1"/>
  <c r="FF24" i="1"/>
  <c r="HC24" i="1"/>
  <c r="GL15" i="1"/>
  <c r="II15" i="1"/>
  <c r="FV15" i="1"/>
  <c r="HS15" i="1"/>
  <c r="FG15" i="1"/>
  <c r="DK15" i="1"/>
  <c r="EW40" i="1"/>
  <c r="GS40" i="1"/>
  <c r="GM24" i="1"/>
  <c r="EQ24" i="1"/>
  <c r="EA42" i="1"/>
  <c r="FW42" i="1"/>
  <c r="FW33" i="1"/>
  <c r="EA33" i="1"/>
  <c r="DK42" i="1"/>
  <c r="FG42" i="1"/>
  <c r="DK33" i="1"/>
  <c r="FG33" i="1"/>
  <c r="EA24" i="1"/>
  <c r="FW24" i="1"/>
  <c r="DK24" i="1"/>
  <c r="FG24" i="1"/>
  <c r="EA15" i="1"/>
  <c r="FW15" i="1"/>
  <c r="EQ15" i="1"/>
  <c r="GM15" i="1"/>
  <c r="AF15" i="1"/>
  <c r="EB15" i="1" s="1"/>
  <c r="AV15" i="1"/>
  <c r="ER15" i="1" s="1"/>
  <c r="AF24" i="1"/>
  <c r="EB24" i="1" s="1"/>
  <c r="AV24" i="1"/>
  <c r="ER24" i="1" s="1"/>
  <c r="BB40" i="1"/>
  <c r="EX40" i="1" s="1"/>
  <c r="AF33" i="1"/>
  <c r="EB33" i="1" s="1"/>
  <c r="P33" i="1"/>
  <c r="DL33" i="1" s="1"/>
  <c r="AF42" i="1"/>
  <c r="EB42" i="1" s="1"/>
  <c r="DI42" i="1"/>
  <c r="P15" i="1"/>
  <c r="DL15" i="1" s="1"/>
  <c r="P24" i="1"/>
  <c r="DL24" i="1" s="1"/>
  <c r="P42" i="1"/>
  <c r="DL42" i="1" s="1"/>
  <c r="OT42" i="1" l="1"/>
  <c r="SP42" i="1"/>
  <c r="QR42" i="1"/>
  <c r="OT24" i="1"/>
  <c r="SP24" i="1"/>
  <c r="QR24" i="1"/>
  <c r="SP15" i="1"/>
  <c r="QR15" i="1"/>
  <c r="QO42" i="1"/>
  <c r="SM42" i="1"/>
  <c r="OT33" i="1"/>
  <c r="SP33" i="1"/>
  <c r="QR33" i="1"/>
  <c r="PJ33" i="1"/>
  <c r="RH33" i="1"/>
  <c r="TF33" i="1"/>
  <c r="QF40" i="1"/>
  <c r="UB40" i="1"/>
  <c r="SD40" i="1"/>
  <c r="PZ24" i="1"/>
  <c r="RX24" i="1"/>
  <c r="TV24" i="1"/>
  <c r="PJ24" i="1"/>
  <c r="RH24" i="1"/>
  <c r="TF24" i="1"/>
  <c r="PZ15" i="1"/>
  <c r="TV15" i="1"/>
  <c r="RX15" i="1"/>
  <c r="PJ15" i="1"/>
  <c r="TF15" i="1"/>
  <c r="RH15" i="1"/>
  <c r="RW15" i="1"/>
  <c r="TU15" i="1"/>
  <c r="RG15" i="1"/>
  <c r="TE15" i="1"/>
  <c r="QQ24" i="1"/>
  <c r="SO24" i="1"/>
  <c r="TE24" i="1"/>
  <c r="RG24" i="1"/>
  <c r="SO33" i="1"/>
  <c r="QQ33" i="1"/>
  <c r="SO42" i="1"/>
  <c r="QQ42" i="1"/>
  <c r="RG33" i="1"/>
  <c r="TE33" i="1"/>
  <c r="TU24" i="1"/>
  <c r="RW24" i="1"/>
  <c r="UA40" i="1"/>
  <c r="SC40" i="1"/>
  <c r="SO15" i="1"/>
  <c r="QQ15" i="1"/>
  <c r="TE42" i="1"/>
  <c r="RG42" i="1"/>
  <c r="PJ42" i="1"/>
  <c r="TF42" i="1"/>
  <c r="RH42" i="1"/>
  <c r="KZ15" i="1"/>
  <c r="OT15" i="1"/>
  <c r="MW15" i="1"/>
  <c r="KY15" i="1"/>
  <c r="OS15" i="1"/>
  <c r="MV15" i="1"/>
  <c r="OH40" i="1"/>
  <c r="QE40" i="1"/>
  <c r="NL42" i="1"/>
  <c r="PI42" i="1"/>
  <c r="MT42" i="1"/>
  <c r="OQ42" i="1"/>
  <c r="MV42" i="1"/>
  <c r="OS42" i="1"/>
  <c r="NL33" i="1"/>
  <c r="PI33" i="1"/>
  <c r="MV33" i="1"/>
  <c r="OS33" i="1"/>
  <c r="OB24" i="1"/>
  <c r="PY24" i="1"/>
  <c r="NL24" i="1"/>
  <c r="PI24" i="1"/>
  <c r="MV24" i="1"/>
  <c r="OS24" i="1"/>
  <c r="OB15" i="1"/>
  <c r="PY15" i="1"/>
  <c r="NL15" i="1"/>
  <c r="PI15" i="1"/>
  <c r="ML40" i="1"/>
  <c r="OI40" i="1"/>
  <c r="LP42" i="1"/>
  <c r="NM42" i="1"/>
  <c r="KZ42" i="1"/>
  <c r="MW42" i="1"/>
  <c r="LP33" i="1"/>
  <c r="NM33" i="1"/>
  <c r="KZ33" i="1"/>
  <c r="MW33" i="1"/>
  <c r="MF24" i="1"/>
  <c r="OC24" i="1"/>
  <c r="LP24" i="1"/>
  <c r="NM24" i="1"/>
  <c r="KZ24" i="1"/>
  <c r="MW24" i="1"/>
  <c r="MF15" i="1"/>
  <c r="OC15" i="1"/>
  <c r="LP15" i="1"/>
  <c r="NM15" i="1"/>
  <c r="KN40" i="1"/>
  <c r="MK40" i="1"/>
  <c r="JR42" i="1"/>
  <c r="LO42" i="1"/>
  <c r="JB42" i="1"/>
  <c r="KY42" i="1"/>
  <c r="IZ42" i="1"/>
  <c r="KW42" i="1"/>
  <c r="JR33" i="1"/>
  <c r="LO33" i="1"/>
  <c r="JB33" i="1"/>
  <c r="KY33" i="1"/>
  <c r="KH24" i="1"/>
  <c r="ME24" i="1"/>
  <c r="JR24" i="1"/>
  <c r="LO24" i="1"/>
  <c r="JB24" i="1"/>
  <c r="KY24" i="1"/>
  <c r="KH15" i="1"/>
  <c r="ME15" i="1"/>
  <c r="JR15" i="1"/>
  <c r="LO15" i="1"/>
  <c r="FH15" i="1"/>
  <c r="HE15" i="1"/>
  <c r="JB15" i="1"/>
  <c r="HF15" i="1"/>
  <c r="JC15" i="1"/>
  <c r="IL24" i="1"/>
  <c r="KI24" i="1"/>
  <c r="IR40" i="1"/>
  <c r="KO40" i="1"/>
  <c r="HV42" i="1"/>
  <c r="JS42" i="1"/>
  <c r="HV33" i="1"/>
  <c r="JS33" i="1"/>
  <c r="IL15" i="1"/>
  <c r="KI15" i="1"/>
  <c r="HV24" i="1"/>
  <c r="JS24" i="1"/>
  <c r="HV15" i="1"/>
  <c r="JS15" i="1"/>
  <c r="HF33" i="1"/>
  <c r="JC33" i="1"/>
  <c r="HF24" i="1"/>
  <c r="JC24" i="1"/>
  <c r="HF42" i="1"/>
  <c r="JC42" i="1"/>
  <c r="GT40" i="1"/>
  <c r="IQ40" i="1"/>
  <c r="FX42" i="1"/>
  <c r="HU42" i="1"/>
  <c r="FF42" i="1"/>
  <c r="HC42" i="1"/>
  <c r="FH42" i="1"/>
  <c r="HE42" i="1"/>
  <c r="FX33" i="1"/>
  <c r="HU33" i="1"/>
  <c r="FH33" i="1"/>
  <c r="HE33" i="1"/>
  <c r="GN24" i="1"/>
  <c r="IK24" i="1"/>
  <c r="FX24" i="1"/>
  <c r="HU24" i="1"/>
  <c r="FH24" i="1"/>
  <c r="HE24" i="1"/>
  <c r="GN15" i="1"/>
  <c r="IK15" i="1"/>
  <c r="FX15" i="1"/>
  <c r="HU15" i="1"/>
  <c r="DM15" i="1"/>
  <c r="FI15" i="1"/>
  <c r="EY40" i="1"/>
  <c r="GU40" i="1"/>
  <c r="ES24" i="1"/>
  <c r="GO24" i="1"/>
  <c r="EC42" i="1"/>
  <c r="FY42" i="1"/>
  <c r="EC33" i="1"/>
  <c r="FY33" i="1"/>
  <c r="FI42" i="1"/>
  <c r="DM42" i="1"/>
  <c r="DM33" i="1"/>
  <c r="FI33" i="1"/>
  <c r="DM24" i="1"/>
  <c r="FI24" i="1"/>
  <c r="EC24" i="1"/>
  <c r="FY24" i="1"/>
  <c r="ES15" i="1"/>
  <c r="GO15" i="1"/>
  <c r="EC15" i="1"/>
  <c r="FY15" i="1"/>
  <c r="AH33" i="1"/>
  <c r="ED33" i="1" s="1"/>
  <c r="R15" i="1"/>
  <c r="DN15" i="1" s="1"/>
  <c r="R33" i="1"/>
  <c r="DN33" i="1" s="1"/>
  <c r="AX24" i="1"/>
  <c r="ET24" i="1" s="1"/>
  <c r="AH24" i="1"/>
  <c r="ED24" i="1" s="1"/>
  <c r="AH15" i="1"/>
  <c r="ED15" i="1" s="1"/>
  <c r="R42" i="1"/>
  <c r="DN42" i="1" s="1"/>
  <c r="AH42" i="1"/>
  <c r="ED42" i="1" s="1"/>
  <c r="BD40" i="1"/>
  <c r="EZ40" i="1" s="1"/>
  <c r="R24" i="1"/>
  <c r="DN24" i="1" s="1"/>
  <c r="AX15" i="1"/>
  <c r="ET15" i="1" s="1"/>
  <c r="QB15" i="1" l="1"/>
  <c r="RZ15" i="1"/>
  <c r="TX15" i="1"/>
  <c r="OV24" i="1"/>
  <c r="SR24" i="1"/>
  <c r="QT24" i="1"/>
  <c r="QH40" i="1"/>
  <c r="UD40" i="1"/>
  <c r="SF40" i="1"/>
  <c r="OV42" i="1"/>
  <c r="SR42" i="1"/>
  <c r="QT42" i="1"/>
  <c r="PL15" i="1"/>
  <c r="RJ15" i="1"/>
  <c r="TH15" i="1"/>
  <c r="PL24" i="1"/>
  <c r="TH24" i="1"/>
  <c r="RJ24" i="1"/>
  <c r="QB24" i="1"/>
  <c r="TX24" i="1"/>
  <c r="RZ24" i="1"/>
  <c r="OV33" i="1"/>
  <c r="QT33" i="1"/>
  <c r="SR33" i="1"/>
  <c r="SR15" i="1"/>
  <c r="QT15" i="1"/>
  <c r="PL33" i="1"/>
  <c r="TH33" i="1"/>
  <c r="RJ33" i="1"/>
  <c r="TG15" i="1"/>
  <c r="RI15" i="1"/>
  <c r="TW15" i="1"/>
  <c r="RY15" i="1"/>
  <c r="TG24" i="1"/>
  <c r="RI24" i="1"/>
  <c r="SQ24" i="1"/>
  <c r="QS24" i="1"/>
  <c r="SQ33" i="1"/>
  <c r="QS33" i="1"/>
  <c r="SQ42" i="1"/>
  <c r="QS42" i="1"/>
  <c r="TG33" i="1"/>
  <c r="RI33" i="1"/>
  <c r="TW24" i="1"/>
  <c r="RY24" i="1"/>
  <c r="UC40" i="1"/>
  <c r="SE40" i="1"/>
  <c r="SQ15" i="1"/>
  <c r="QS15" i="1"/>
  <c r="TG42" i="1"/>
  <c r="RI42" i="1"/>
  <c r="PL42" i="1"/>
  <c r="TH42" i="1"/>
  <c r="RJ42" i="1"/>
  <c r="LA15" i="1"/>
  <c r="OU15" i="1"/>
  <c r="MX15" i="1"/>
  <c r="LB15" i="1"/>
  <c r="MY15" i="1"/>
  <c r="OV15" i="1"/>
  <c r="OJ40" i="1"/>
  <c r="QG40" i="1"/>
  <c r="NN42" i="1"/>
  <c r="PK42" i="1"/>
  <c r="MX42" i="1"/>
  <c r="OU42" i="1"/>
  <c r="NN33" i="1"/>
  <c r="PK33" i="1"/>
  <c r="MX33" i="1"/>
  <c r="OU33" i="1"/>
  <c r="OD24" i="1"/>
  <c r="QA24" i="1"/>
  <c r="NN24" i="1"/>
  <c r="PK24" i="1"/>
  <c r="MX24" i="1"/>
  <c r="OU24" i="1"/>
  <c r="OD15" i="1"/>
  <c r="QA15" i="1"/>
  <c r="NN15" i="1"/>
  <c r="PK15" i="1"/>
  <c r="MN40" i="1"/>
  <c r="OK40" i="1"/>
  <c r="LR42" i="1"/>
  <c r="NO42" i="1"/>
  <c r="LB42" i="1"/>
  <c r="MY42" i="1"/>
  <c r="LR33" i="1"/>
  <c r="NO33" i="1"/>
  <c r="LB33" i="1"/>
  <c r="MY33" i="1"/>
  <c r="MH24" i="1"/>
  <c r="OE24" i="1"/>
  <c r="LR24" i="1"/>
  <c r="NO24" i="1"/>
  <c r="LB24" i="1"/>
  <c r="MY24" i="1"/>
  <c r="MH15" i="1"/>
  <c r="OE15" i="1"/>
  <c r="LR15" i="1"/>
  <c r="NO15" i="1"/>
  <c r="KP40" i="1"/>
  <c r="MM40" i="1"/>
  <c r="JT42" i="1"/>
  <c r="LQ42" i="1"/>
  <c r="JD42" i="1"/>
  <c r="LA42" i="1"/>
  <c r="JT33" i="1"/>
  <c r="LQ33" i="1"/>
  <c r="JD33" i="1"/>
  <c r="LA33" i="1"/>
  <c r="KJ24" i="1"/>
  <c r="MG24" i="1"/>
  <c r="JT24" i="1"/>
  <c r="LQ24" i="1"/>
  <c r="JD24" i="1"/>
  <c r="LA24" i="1"/>
  <c r="KJ15" i="1"/>
  <c r="MG15" i="1"/>
  <c r="JT15" i="1"/>
  <c r="LQ15" i="1"/>
  <c r="FJ15" i="1"/>
  <c r="HG15" i="1"/>
  <c r="JD15" i="1"/>
  <c r="HH15" i="1"/>
  <c r="JE15" i="1"/>
  <c r="IN24" i="1"/>
  <c r="KK24" i="1"/>
  <c r="IT40" i="1"/>
  <c r="KQ40" i="1"/>
  <c r="HX42" i="1"/>
  <c r="JU42" i="1"/>
  <c r="HX33" i="1"/>
  <c r="JU33" i="1"/>
  <c r="IN15" i="1"/>
  <c r="KK15" i="1"/>
  <c r="HX24" i="1"/>
  <c r="JU24" i="1"/>
  <c r="HX15" i="1"/>
  <c r="JU15" i="1"/>
  <c r="HH33" i="1"/>
  <c r="JE33" i="1"/>
  <c r="HH24" i="1"/>
  <c r="JE24" i="1"/>
  <c r="HH42" i="1"/>
  <c r="JE42" i="1"/>
  <c r="GV40" i="1"/>
  <c r="IS40" i="1"/>
  <c r="FZ42" i="1"/>
  <c r="HW42" i="1"/>
  <c r="FJ42" i="1"/>
  <c r="HG42" i="1"/>
  <c r="FZ33" i="1"/>
  <c r="HW33" i="1"/>
  <c r="FJ33" i="1"/>
  <c r="HG33" i="1"/>
  <c r="GP24" i="1"/>
  <c r="IM24" i="1"/>
  <c r="FZ24" i="1"/>
  <c r="HW24" i="1"/>
  <c r="FJ24" i="1"/>
  <c r="HG24" i="1"/>
  <c r="GP15" i="1"/>
  <c r="IM15" i="1"/>
  <c r="FZ15" i="1"/>
  <c r="HW15" i="1"/>
  <c r="DO15" i="1"/>
  <c r="FK15" i="1"/>
  <c r="GW40" i="1"/>
  <c r="FA40" i="1"/>
  <c r="EU24" i="1"/>
  <c r="GQ24" i="1"/>
  <c r="EE42" i="1"/>
  <c r="GA42" i="1"/>
  <c r="EE33" i="1"/>
  <c r="GA33" i="1"/>
  <c r="FK42" i="1"/>
  <c r="DO42" i="1"/>
  <c r="DO33" i="1"/>
  <c r="FK33" i="1"/>
  <c r="DO24" i="1"/>
  <c r="FK24" i="1"/>
  <c r="EE24" i="1"/>
  <c r="GA24" i="1"/>
  <c r="EE15" i="1"/>
  <c r="GA15" i="1"/>
  <c r="EU15" i="1"/>
  <c r="GQ15" i="1"/>
  <c r="AJ33" i="1"/>
  <c r="EF33" i="1" s="1"/>
  <c r="T42" i="1"/>
  <c r="DP42" i="1" s="1"/>
  <c r="T33" i="1"/>
  <c r="DP33" i="1" s="1"/>
  <c r="AJ24" i="1"/>
  <c r="EF24" i="1" s="1"/>
  <c r="T24" i="1"/>
  <c r="DP24" i="1" s="1"/>
  <c r="AJ42" i="1"/>
  <c r="EF42" i="1" s="1"/>
  <c r="AZ24" i="1"/>
  <c r="EV24" i="1" s="1"/>
  <c r="T15" i="1"/>
  <c r="DP15" i="1" s="1"/>
  <c r="AR41" i="1"/>
  <c r="EN41" i="1" s="1"/>
  <c r="AZ15" i="1"/>
  <c r="EV15" i="1" s="1"/>
  <c r="AJ15" i="1"/>
  <c r="EF15" i="1" s="1"/>
  <c r="PN15" i="1" l="1"/>
  <c r="TJ15" i="1"/>
  <c r="RL15" i="1"/>
  <c r="QD15" i="1"/>
  <c r="TZ15" i="1"/>
  <c r="SB15" i="1"/>
  <c r="PV41" i="1"/>
  <c r="TR41" i="1"/>
  <c r="RT41" i="1"/>
  <c r="ST15" i="1"/>
  <c r="QV15" i="1"/>
  <c r="QD24" i="1"/>
  <c r="TZ24" i="1"/>
  <c r="SB24" i="1"/>
  <c r="OX24" i="1"/>
  <c r="ST24" i="1"/>
  <c r="QV24" i="1"/>
  <c r="PN24" i="1"/>
  <c r="TJ24" i="1"/>
  <c r="RL24" i="1"/>
  <c r="OX33" i="1"/>
  <c r="ST33" i="1"/>
  <c r="QV33" i="1"/>
  <c r="OX42" i="1"/>
  <c r="ST42" i="1"/>
  <c r="QV42" i="1"/>
  <c r="PN33" i="1"/>
  <c r="TJ33" i="1"/>
  <c r="RL33" i="1"/>
  <c r="SA15" i="1"/>
  <c r="TY15" i="1"/>
  <c r="RK15" i="1"/>
  <c r="TI15" i="1"/>
  <c r="TI24" i="1"/>
  <c r="RK24" i="1"/>
  <c r="SS24" i="1"/>
  <c r="QU24" i="1"/>
  <c r="SS33" i="1"/>
  <c r="QU33" i="1"/>
  <c r="QU42" i="1"/>
  <c r="SS42" i="1"/>
  <c r="TI33" i="1"/>
  <c r="RK33" i="1"/>
  <c r="SA24" i="1"/>
  <c r="TY24" i="1"/>
  <c r="UE40" i="1"/>
  <c r="SG40" i="1"/>
  <c r="SS15" i="1"/>
  <c r="QU15" i="1"/>
  <c r="PN42" i="1"/>
  <c r="TJ42" i="1"/>
  <c r="RL42" i="1"/>
  <c r="TI42" i="1"/>
  <c r="RK42" i="1"/>
  <c r="LC15" i="1"/>
  <c r="MZ15" i="1"/>
  <c r="OW15" i="1"/>
  <c r="LD15" i="1"/>
  <c r="OX15" i="1"/>
  <c r="NA15" i="1"/>
  <c r="OL40" i="1"/>
  <c r="QI40" i="1"/>
  <c r="NP42" i="1"/>
  <c r="PM42" i="1"/>
  <c r="MZ42" i="1"/>
  <c r="OW42" i="1"/>
  <c r="NP33" i="1"/>
  <c r="PM33" i="1"/>
  <c r="MZ33" i="1"/>
  <c r="OW33" i="1"/>
  <c r="OF24" i="1"/>
  <c r="QC24" i="1"/>
  <c r="NP24" i="1"/>
  <c r="PM24" i="1"/>
  <c r="MZ24" i="1"/>
  <c r="OW24" i="1"/>
  <c r="OF15" i="1"/>
  <c r="QC15" i="1"/>
  <c r="NP15" i="1"/>
  <c r="PM15" i="1"/>
  <c r="MB41" i="1"/>
  <c r="NY41" i="1"/>
  <c r="LT42" i="1"/>
  <c r="NQ42" i="1"/>
  <c r="LD42" i="1"/>
  <c r="NA42" i="1"/>
  <c r="LT33" i="1"/>
  <c r="NQ33" i="1"/>
  <c r="LD33" i="1"/>
  <c r="NA33" i="1"/>
  <c r="MJ24" i="1"/>
  <c r="OG24" i="1"/>
  <c r="LT24" i="1"/>
  <c r="NQ24" i="1"/>
  <c r="LD24" i="1"/>
  <c r="NA24" i="1"/>
  <c r="MJ15" i="1"/>
  <c r="OG15" i="1"/>
  <c r="LT15" i="1"/>
  <c r="NQ15" i="1"/>
  <c r="KR40" i="1"/>
  <c r="MO40" i="1"/>
  <c r="JV42" i="1"/>
  <c r="LS42" i="1"/>
  <c r="JF42" i="1"/>
  <c r="LC42" i="1"/>
  <c r="JV33" i="1"/>
  <c r="LS33" i="1"/>
  <c r="JF33" i="1"/>
  <c r="LC33" i="1"/>
  <c r="KL24" i="1"/>
  <c r="MI24" i="1"/>
  <c r="JV24" i="1"/>
  <c r="LS24" i="1"/>
  <c r="JF24" i="1"/>
  <c r="LC24" i="1"/>
  <c r="KL15" i="1"/>
  <c r="MI15" i="1"/>
  <c r="JV15" i="1"/>
  <c r="LS15" i="1"/>
  <c r="FL15" i="1"/>
  <c r="JF15" i="1"/>
  <c r="HI15" i="1"/>
  <c r="JG15" i="1"/>
  <c r="HJ15" i="1"/>
  <c r="IP24" i="1"/>
  <c r="KM24" i="1"/>
  <c r="IH41" i="1"/>
  <c r="KE41" i="1"/>
  <c r="HZ42" i="1"/>
  <c r="JW42" i="1"/>
  <c r="HZ33" i="1"/>
  <c r="JW33" i="1"/>
  <c r="IP15" i="1"/>
  <c r="KM15" i="1"/>
  <c r="HZ24" i="1"/>
  <c r="JW24" i="1"/>
  <c r="HZ15" i="1"/>
  <c r="JW15" i="1"/>
  <c r="HJ33" i="1"/>
  <c r="JG33" i="1"/>
  <c r="HJ24" i="1"/>
  <c r="JG24" i="1"/>
  <c r="HJ42" i="1"/>
  <c r="JG42" i="1"/>
  <c r="GX40" i="1"/>
  <c r="IU40" i="1"/>
  <c r="GB42" i="1"/>
  <c r="HY42" i="1"/>
  <c r="FL42" i="1"/>
  <c r="HI42" i="1"/>
  <c r="GB33" i="1"/>
  <c r="HY33" i="1"/>
  <c r="FL33" i="1"/>
  <c r="HI33" i="1"/>
  <c r="GR24" i="1"/>
  <c r="IO24" i="1"/>
  <c r="GB24" i="1"/>
  <c r="HY24" i="1"/>
  <c r="FL24" i="1"/>
  <c r="HI24" i="1"/>
  <c r="GR15" i="1"/>
  <c r="IO15" i="1"/>
  <c r="GB15" i="1"/>
  <c r="HY15" i="1"/>
  <c r="DQ15" i="1"/>
  <c r="FM15" i="1"/>
  <c r="GK41" i="1"/>
  <c r="EO41" i="1"/>
  <c r="EW24" i="1"/>
  <c r="GS24" i="1"/>
  <c r="EG42" i="1"/>
  <c r="GC42" i="1"/>
  <c r="EG33" i="1"/>
  <c r="GC33" i="1"/>
  <c r="DQ42" i="1"/>
  <c r="FM42" i="1"/>
  <c r="DQ33" i="1"/>
  <c r="FM33" i="1"/>
  <c r="EG24" i="1"/>
  <c r="GC24" i="1"/>
  <c r="DQ24" i="1"/>
  <c r="FM24" i="1"/>
  <c r="EG15" i="1"/>
  <c r="GC15" i="1"/>
  <c r="EW15" i="1"/>
  <c r="GS15" i="1"/>
  <c r="AL24" i="1"/>
  <c r="EH24" i="1" s="1"/>
  <c r="AT41" i="1"/>
  <c r="EP41" i="1" s="1"/>
  <c r="BB24" i="1"/>
  <c r="EX24" i="1" s="1"/>
  <c r="V42" i="1"/>
  <c r="DR42" i="1" s="1"/>
  <c r="BB15" i="1"/>
  <c r="EX15" i="1" s="1"/>
  <c r="AL33" i="1"/>
  <c r="EH33" i="1" s="1"/>
  <c r="V15" i="1"/>
  <c r="DR15" i="1" s="1"/>
  <c r="AL42" i="1"/>
  <c r="EH42" i="1" s="1"/>
  <c r="V33" i="1"/>
  <c r="DR33" i="1" s="1"/>
  <c r="AL15" i="1"/>
  <c r="EH15" i="1" s="1"/>
  <c r="V24" i="1"/>
  <c r="DR24" i="1" s="1"/>
  <c r="OZ24" i="1" l="1"/>
  <c r="SV24" i="1"/>
  <c r="QX24" i="1"/>
  <c r="PP15" i="1"/>
  <c r="TL15" i="1"/>
  <c r="RN15" i="1"/>
  <c r="OZ33" i="1"/>
  <c r="SV33" i="1"/>
  <c r="QX33" i="1"/>
  <c r="SV15" i="1"/>
  <c r="QX15" i="1"/>
  <c r="PP33" i="1"/>
  <c r="TL33" i="1"/>
  <c r="RN33" i="1"/>
  <c r="QF15" i="1"/>
  <c r="UB15" i="1"/>
  <c r="SD15" i="1"/>
  <c r="OZ42" i="1"/>
  <c r="SV42" i="1"/>
  <c r="QX42" i="1"/>
  <c r="QF24" i="1"/>
  <c r="UB24" i="1"/>
  <c r="SD24" i="1"/>
  <c r="PX41" i="1"/>
  <c r="RV41" i="1"/>
  <c r="TT41" i="1"/>
  <c r="PP24" i="1"/>
  <c r="TL24" i="1"/>
  <c r="RN24" i="1"/>
  <c r="UA15" i="1"/>
  <c r="SC15" i="1"/>
  <c r="TK15" i="1"/>
  <c r="RM15" i="1"/>
  <c r="SU24" i="1"/>
  <c r="QW24" i="1"/>
  <c r="TK24" i="1"/>
  <c r="RM24" i="1"/>
  <c r="SU33" i="1"/>
  <c r="QW33" i="1"/>
  <c r="SU42" i="1"/>
  <c r="QW42" i="1"/>
  <c r="TK33" i="1"/>
  <c r="RM33" i="1"/>
  <c r="UA24" i="1"/>
  <c r="SC24" i="1"/>
  <c r="TS41" i="1"/>
  <c r="RU41" i="1"/>
  <c r="SU15" i="1"/>
  <c r="QW15" i="1"/>
  <c r="TK42" i="1"/>
  <c r="RM42" i="1"/>
  <c r="PP42" i="1"/>
  <c r="RN42" i="1"/>
  <c r="TL42" i="1"/>
  <c r="LF15" i="1"/>
  <c r="OZ15" i="1"/>
  <c r="NC15" i="1"/>
  <c r="LE15" i="1"/>
  <c r="NB15" i="1"/>
  <c r="OY15" i="1"/>
  <c r="NZ41" i="1"/>
  <c r="PW41" i="1"/>
  <c r="NR42" i="1"/>
  <c r="PO42" i="1"/>
  <c r="NB42" i="1"/>
  <c r="OY42" i="1"/>
  <c r="NR33" i="1"/>
  <c r="PO33" i="1"/>
  <c r="NB33" i="1"/>
  <c r="OY33" i="1"/>
  <c r="OH24" i="1"/>
  <c r="QE24" i="1"/>
  <c r="NR24" i="1"/>
  <c r="PO24" i="1"/>
  <c r="NB24" i="1"/>
  <c r="OY24" i="1"/>
  <c r="OH15" i="1"/>
  <c r="QE15" i="1"/>
  <c r="NR15" i="1"/>
  <c r="PO15" i="1"/>
  <c r="MD41" i="1"/>
  <c r="OA41" i="1"/>
  <c r="LV42" i="1"/>
  <c r="NS42" i="1"/>
  <c r="LF42" i="1"/>
  <c r="NC42" i="1"/>
  <c r="LV33" i="1"/>
  <c r="NS33" i="1"/>
  <c r="LF33" i="1"/>
  <c r="NC33" i="1"/>
  <c r="ML24" i="1"/>
  <c r="OI24" i="1"/>
  <c r="LV24" i="1"/>
  <c r="NS24" i="1"/>
  <c r="LF24" i="1"/>
  <c r="NC24" i="1"/>
  <c r="ML15" i="1"/>
  <c r="OI15" i="1"/>
  <c r="LV15" i="1"/>
  <c r="NS15" i="1"/>
  <c r="KF41" i="1"/>
  <c r="MC41" i="1"/>
  <c r="JX42" i="1"/>
  <c r="LU42" i="1"/>
  <c r="JH42" i="1"/>
  <c r="LE42" i="1"/>
  <c r="JX33" i="1"/>
  <c r="LU33" i="1"/>
  <c r="JH33" i="1"/>
  <c r="LE33" i="1"/>
  <c r="KN24" i="1"/>
  <c r="MK24" i="1"/>
  <c r="JX24" i="1"/>
  <c r="LU24" i="1"/>
  <c r="JH24" i="1"/>
  <c r="LE24" i="1"/>
  <c r="KN15" i="1"/>
  <c r="MK15" i="1"/>
  <c r="JX15" i="1"/>
  <c r="LU15" i="1"/>
  <c r="JI15" i="1"/>
  <c r="HL15" i="1"/>
  <c r="FN15" i="1"/>
  <c r="JH15" i="1"/>
  <c r="HK15" i="1"/>
  <c r="IR24" i="1"/>
  <c r="KO24" i="1"/>
  <c r="IJ41" i="1"/>
  <c r="KG41" i="1"/>
  <c r="IB42" i="1"/>
  <c r="JY42" i="1"/>
  <c r="IB33" i="1"/>
  <c r="JY33" i="1"/>
  <c r="IR15" i="1"/>
  <c r="KO15" i="1"/>
  <c r="IB24" i="1"/>
  <c r="JY24" i="1"/>
  <c r="IB15" i="1"/>
  <c r="JY15" i="1"/>
  <c r="HL33" i="1"/>
  <c r="JI33" i="1"/>
  <c r="HL24" i="1"/>
  <c r="JI24" i="1"/>
  <c r="HL42" i="1"/>
  <c r="JI42" i="1"/>
  <c r="GL41" i="1"/>
  <c r="II41" i="1"/>
  <c r="GD42" i="1"/>
  <c r="IA42" i="1"/>
  <c r="FN42" i="1"/>
  <c r="HK42" i="1"/>
  <c r="GD33" i="1"/>
  <c r="IA33" i="1"/>
  <c r="FN33" i="1"/>
  <c r="HK33" i="1"/>
  <c r="GT24" i="1"/>
  <c r="IQ24" i="1"/>
  <c r="GD24" i="1"/>
  <c r="IA24" i="1"/>
  <c r="FN24" i="1"/>
  <c r="HK24" i="1"/>
  <c r="GT15" i="1"/>
  <c r="IQ15" i="1"/>
  <c r="GD15" i="1"/>
  <c r="IA15" i="1"/>
  <c r="DS15" i="1"/>
  <c r="FO15" i="1"/>
  <c r="EQ41" i="1"/>
  <c r="GM41" i="1"/>
  <c r="GU24" i="1"/>
  <c r="EY24" i="1"/>
  <c r="GE42" i="1"/>
  <c r="EI42" i="1"/>
  <c r="EI33" i="1"/>
  <c r="GE33" i="1"/>
  <c r="DS42" i="1"/>
  <c r="FO42" i="1"/>
  <c r="FO33" i="1"/>
  <c r="DS33" i="1"/>
  <c r="FO24" i="1"/>
  <c r="DS24" i="1"/>
  <c r="EI24" i="1"/>
  <c r="GE24" i="1"/>
  <c r="EY15" i="1"/>
  <c r="GU15" i="1"/>
  <c r="EI15" i="1"/>
  <c r="GE15" i="1"/>
  <c r="AV41" i="1"/>
  <c r="ER41" i="1" s="1"/>
  <c r="AN42" i="1"/>
  <c r="EJ42" i="1" s="1"/>
  <c r="AN15" i="1"/>
  <c r="EJ15" i="1" s="1"/>
  <c r="X15" i="1"/>
  <c r="DT15" i="1" s="1"/>
  <c r="X42" i="1"/>
  <c r="DT42" i="1" s="1"/>
  <c r="AN33" i="1"/>
  <c r="EJ33" i="1" s="1"/>
  <c r="BD15" i="1"/>
  <c r="EZ15" i="1" s="1"/>
  <c r="AN24" i="1"/>
  <c r="EJ24" i="1" s="1"/>
  <c r="X24" i="1"/>
  <c r="DT24" i="1" s="1"/>
  <c r="X33" i="1"/>
  <c r="DT33" i="1" s="1"/>
  <c r="BD24" i="1"/>
  <c r="EZ24" i="1" s="1"/>
  <c r="QH24" i="1" l="1"/>
  <c r="UD24" i="1"/>
  <c r="SF24" i="1"/>
  <c r="PB33" i="1"/>
  <c r="SX33" i="1"/>
  <c r="QZ33" i="1"/>
  <c r="PB24" i="1"/>
  <c r="SX24" i="1"/>
  <c r="QZ24" i="1"/>
  <c r="PR24" i="1"/>
  <c r="RP24" i="1"/>
  <c r="TN24" i="1"/>
  <c r="QH15" i="1"/>
  <c r="UD15" i="1"/>
  <c r="SF15" i="1"/>
  <c r="PR33" i="1"/>
  <c r="RP33" i="1"/>
  <c r="TN33" i="1"/>
  <c r="PB42" i="1"/>
  <c r="QZ42" i="1"/>
  <c r="SX42" i="1"/>
  <c r="SX15" i="1"/>
  <c r="QZ15" i="1"/>
  <c r="PR15" i="1"/>
  <c r="TN15" i="1"/>
  <c r="RP15" i="1"/>
  <c r="PZ41" i="1"/>
  <c r="TV41" i="1"/>
  <c r="RX41" i="1"/>
  <c r="TM15" i="1"/>
  <c r="RO15" i="1"/>
  <c r="UC15" i="1"/>
  <c r="SE15" i="1"/>
  <c r="TM24" i="1"/>
  <c r="RO24" i="1"/>
  <c r="SW24" i="1"/>
  <c r="QY24" i="1"/>
  <c r="SW33" i="1"/>
  <c r="QY33" i="1"/>
  <c r="SW42" i="1"/>
  <c r="QY42" i="1"/>
  <c r="TM33" i="1"/>
  <c r="RO33" i="1"/>
  <c r="UC24" i="1"/>
  <c r="SE24" i="1"/>
  <c r="RW41" i="1"/>
  <c r="TU41" i="1"/>
  <c r="SW15" i="1"/>
  <c r="QY15" i="1"/>
  <c r="PR42" i="1"/>
  <c r="TN42" i="1"/>
  <c r="RP42" i="1"/>
  <c r="RO42" i="1"/>
  <c r="TM42" i="1"/>
  <c r="LG15" i="1"/>
  <c r="PA15" i="1"/>
  <c r="ND15" i="1"/>
  <c r="LH15" i="1"/>
  <c r="PB15" i="1"/>
  <c r="NE15" i="1"/>
  <c r="OB41" i="1"/>
  <c r="PY41" i="1"/>
  <c r="NT42" i="1"/>
  <c r="PQ42" i="1"/>
  <c r="ND42" i="1"/>
  <c r="PA42" i="1"/>
  <c r="NT33" i="1"/>
  <c r="PQ33" i="1"/>
  <c r="ND33" i="1"/>
  <c r="PA33" i="1"/>
  <c r="OJ24" i="1"/>
  <c r="QG24" i="1"/>
  <c r="NT24" i="1"/>
  <c r="PQ24" i="1"/>
  <c r="ND24" i="1"/>
  <c r="PA24" i="1"/>
  <c r="OJ15" i="1"/>
  <c r="QG15" i="1"/>
  <c r="NT15" i="1"/>
  <c r="PQ15" i="1"/>
  <c r="MF41" i="1"/>
  <c r="OC41" i="1"/>
  <c r="LX42" i="1"/>
  <c r="NU42" i="1"/>
  <c r="LH42" i="1"/>
  <c r="NE42" i="1"/>
  <c r="LX33" i="1"/>
  <c r="NU33" i="1"/>
  <c r="LH33" i="1"/>
  <c r="NE33" i="1"/>
  <c r="MN24" i="1"/>
  <c r="OK24" i="1"/>
  <c r="LX24" i="1"/>
  <c r="NU24" i="1"/>
  <c r="LH24" i="1"/>
  <c r="NE24" i="1"/>
  <c r="MN15" i="1"/>
  <c r="OK15" i="1"/>
  <c r="LX15" i="1"/>
  <c r="NU15" i="1"/>
  <c r="KH41" i="1"/>
  <c r="ME41" i="1"/>
  <c r="JZ42" i="1"/>
  <c r="LW42" i="1"/>
  <c r="JJ42" i="1"/>
  <c r="LG42" i="1"/>
  <c r="JZ33" i="1"/>
  <c r="LW33" i="1"/>
  <c r="JJ33" i="1"/>
  <c r="LG33" i="1"/>
  <c r="KP24" i="1"/>
  <c r="MM24" i="1"/>
  <c r="JZ24" i="1"/>
  <c r="LW24" i="1"/>
  <c r="JJ24" i="1"/>
  <c r="LG24" i="1"/>
  <c r="KP15" i="1"/>
  <c r="MM15" i="1"/>
  <c r="JZ15" i="1"/>
  <c r="LW15" i="1"/>
  <c r="HN15" i="1"/>
  <c r="JK15" i="1"/>
  <c r="FP15" i="1"/>
  <c r="HM15" i="1"/>
  <c r="JJ15" i="1"/>
  <c r="IT24" i="1"/>
  <c r="KQ24" i="1"/>
  <c r="IL41" i="1"/>
  <c r="KI41" i="1"/>
  <c r="ID42" i="1"/>
  <c r="KA42" i="1"/>
  <c r="ID33" i="1"/>
  <c r="KA33" i="1"/>
  <c r="IT15" i="1"/>
  <c r="KQ15" i="1"/>
  <c r="ID24" i="1"/>
  <c r="KA24" i="1"/>
  <c r="ID15" i="1"/>
  <c r="KA15" i="1"/>
  <c r="HN33" i="1"/>
  <c r="JK33" i="1"/>
  <c r="HN24" i="1"/>
  <c r="JK24" i="1"/>
  <c r="HN42" i="1"/>
  <c r="JK42" i="1"/>
  <c r="GN41" i="1"/>
  <c r="IK41" i="1"/>
  <c r="GF42" i="1"/>
  <c r="IC42" i="1"/>
  <c r="FP42" i="1"/>
  <c r="HM42" i="1"/>
  <c r="GF33" i="1"/>
  <c r="IC33" i="1"/>
  <c r="FP33" i="1"/>
  <c r="HM33" i="1"/>
  <c r="GV24" i="1"/>
  <c r="IS24" i="1"/>
  <c r="GF24" i="1"/>
  <c r="IC24" i="1"/>
  <c r="FP24" i="1"/>
  <c r="HM24" i="1"/>
  <c r="GV15" i="1"/>
  <c r="IS15" i="1"/>
  <c r="GF15" i="1"/>
  <c r="IC15" i="1"/>
  <c r="DU15" i="1"/>
  <c r="FQ15" i="1"/>
  <c r="ES41" i="1"/>
  <c r="GO41" i="1"/>
  <c r="FA24" i="1"/>
  <c r="GW24" i="1"/>
  <c r="EK42" i="1"/>
  <c r="GG42" i="1"/>
  <c r="EK33" i="1"/>
  <c r="GG33" i="1"/>
  <c r="DU42" i="1"/>
  <c r="FQ42" i="1"/>
  <c r="DU33" i="1"/>
  <c r="FQ33" i="1"/>
  <c r="DU24" i="1"/>
  <c r="FQ24" i="1"/>
  <c r="EK24" i="1"/>
  <c r="GG24" i="1"/>
  <c r="EK15" i="1"/>
  <c r="GG15" i="1"/>
  <c r="FA15" i="1"/>
  <c r="GW15" i="1"/>
  <c r="AR30" i="1"/>
  <c r="EN30" i="1" s="1"/>
  <c r="AX41" i="1"/>
  <c r="ET41" i="1" s="1"/>
  <c r="QB41" i="1" l="1"/>
  <c r="RZ41" i="1"/>
  <c r="TX41" i="1"/>
  <c r="PV30" i="1"/>
  <c r="TR30" i="1"/>
  <c r="RT30" i="1"/>
  <c r="SG15" i="1"/>
  <c r="UE15" i="1"/>
  <c r="RQ15" i="1"/>
  <c r="TO15" i="1"/>
  <c r="RQ24" i="1"/>
  <c r="TO24" i="1"/>
  <c r="SY24" i="1"/>
  <c r="RA24" i="1"/>
  <c r="SY33" i="1"/>
  <c r="RA33" i="1"/>
  <c r="SY42" i="1"/>
  <c r="RA42" i="1"/>
  <c r="TO33" i="1"/>
  <c r="RQ33" i="1"/>
  <c r="UE24" i="1"/>
  <c r="SG24" i="1"/>
  <c r="TW41" i="1"/>
  <c r="RY41" i="1"/>
  <c r="RA15" i="1"/>
  <c r="SY15" i="1"/>
  <c r="TO42" i="1"/>
  <c r="RQ42" i="1"/>
  <c r="LI15" i="1"/>
  <c r="PC15" i="1"/>
  <c r="NF15" i="1"/>
  <c r="OD41" i="1"/>
  <c r="QA41" i="1"/>
  <c r="NV42" i="1"/>
  <c r="PS42" i="1"/>
  <c r="NF42" i="1"/>
  <c r="PC42" i="1"/>
  <c r="NV33" i="1"/>
  <c r="PS33" i="1"/>
  <c r="NF33" i="1"/>
  <c r="PC33" i="1"/>
  <c r="OL24" i="1"/>
  <c r="QI24" i="1"/>
  <c r="NV24" i="1"/>
  <c r="PS24" i="1"/>
  <c r="NF24" i="1"/>
  <c r="PC24" i="1"/>
  <c r="OL15" i="1"/>
  <c r="QI15" i="1"/>
  <c r="NV15" i="1"/>
  <c r="PS15" i="1"/>
  <c r="MH41" i="1"/>
  <c r="OE41" i="1"/>
  <c r="MB30" i="1"/>
  <c r="NY30" i="1"/>
  <c r="KJ41" i="1"/>
  <c r="MG41" i="1"/>
  <c r="KB42" i="1"/>
  <c r="LY42" i="1"/>
  <c r="JL42" i="1"/>
  <c r="LI42" i="1"/>
  <c r="KB33" i="1"/>
  <c r="LY33" i="1"/>
  <c r="JL33" i="1"/>
  <c r="LI33" i="1"/>
  <c r="KR24" i="1"/>
  <c r="MO24" i="1"/>
  <c r="KB24" i="1"/>
  <c r="LY24" i="1"/>
  <c r="JL24" i="1"/>
  <c r="LI24" i="1"/>
  <c r="KR15" i="1"/>
  <c r="MO15" i="1"/>
  <c r="KB15" i="1"/>
  <c r="LY15" i="1"/>
  <c r="FR15" i="1"/>
  <c r="HO15" i="1"/>
  <c r="JL15" i="1"/>
  <c r="IH30" i="1"/>
  <c r="KE30" i="1"/>
  <c r="IN41" i="1"/>
  <c r="KK41" i="1"/>
  <c r="GP41" i="1"/>
  <c r="IM41" i="1"/>
  <c r="GH42" i="1"/>
  <c r="IE42" i="1"/>
  <c r="FR42" i="1"/>
  <c r="HO42" i="1"/>
  <c r="GH33" i="1"/>
  <c r="IE33" i="1"/>
  <c r="FR33" i="1"/>
  <c r="HO33" i="1"/>
  <c r="GX24" i="1"/>
  <c r="IU24" i="1"/>
  <c r="GH24" i="1"/>
  <c r="IE24" i="1"/>
  <c r="FR24" i="1"/>
  <c r="HO24" i="1"/>
  <c r="GX15" i="1"/>
  <c r="IU15" i="1"/>
  <c r="GH15" i="1"/>
  <c r="IE15" i="1"/>
  <c r="EU41" i="1"/>
  <c r="GQ41" i="1"/>
  <c r="EO30" i="1"/>
  <c r="GK30" i="1"/>
  <c r="AT30" i="1"/>
  <c r="EP30" i="1" s="1"/>
  <c r="AZ41" i="1"/>
  <c r="EV41" i="1" s="1"/>
  <c r="QD41" i="1" l="1"/>
  <c r="SB41" i="1"/>
  <c r="TZ41" i="1"/>
  <c r="PX30" i="1"/>
  <c r="TT30" i="1"/>
  <c r="RV30" i="1"/>
  <c r="TS30" i="1"/>
  <c r="RU30" i="1"/>
  <c r="TY41" i="1"/>
  <c r="SA41" i="1"/>
  <c r="OF41" i="1"/>
  <c r="QC41" i="1"/>
  <c r="NZ30" i="1"/>
  <c r="PW30" i="1"/>
  <c r="MJ41" i="1"/>
  <c r="OG41" i="1"/>
  <c r="MD30" i="1"/>
  <c r="OA30" i="1"/>
  <c r="KF30" i="1"/>
  <c r="MC30" i="1"/>
  <c r="KL41" i="1"/>
  <c r="MI41" i="1"/>
  <c r="IJ30" i="1"/>
  <c r="KG30" i="1"/>
  <c r="IP41" i="1"/>
  <c r="KM41" i="1"/>
  <c r="GR41" i="1"/>
  <c r="IO41" i="1"/>
  <c r="GL30" i="1"/>
  <c r="II30" i="1"/>
  <c r="EW41" i="1"/>
  <c r="GS41" i="1"/>
  <c r="EQ30" i="1"/>
  <c r="GM30" i="1"/>
  <c r="BB41" i="1"/>
  <c r="EX41" i="1" s="1"/>
  <c r="AV30" i="1"/>
  <c r="ER30" i="1" s="1"/>
  <c r="PZ30" i="1" l="1"/>
  <c r="TV30" i="1"/>
  <c r="RX30" i="1"/>
  <c r="QF41" i="1"/>
  <c r="UB41" i="1"/>
  <c r="SD41" i="1"/>
  <c r="TU30" i="1"/>
  <c r="RW30" i="1"/>
  <c r="SC41" i="1"/>
  <c r="UA41" i="1"/>
  <c r="OH41" i="1"/>
  <c r="QE41" i="1"/>
  <c r="OB30" i="1"/>
  <c r="PY30" i="1"/>
  <c r="ML41" i="1"/>
  <c r="OI41" i="1"/>
  <c r="MF30" i="1"/>
  <c r="OC30" i="1"/>
  <c r="KH30" i="1"/>
  <c r="ME30" i="1"/>
  <c r="KN41" i="1"/>
  <c r="MK41" i="1"/>
  <c r="IL30" i="1"/>
  <c r="KI30" i="1"/>
  <c r="IR41" i="1"/>
  <c r="KO41" i="1"/>
  <c r="GT41" i="1"/>
  <c r="IQ41" i="1"/>
  <c r="GN30" i="1"/>
  <c r="IK30" i="1"/>
  <c r="EY41" i="1"/>
  <c r="GU41" i="1"/>
  <c r="ES30" i="1"/>
  <c r="GO30" i="1"/>
  <c r="AX30" i="1"/>
  <c r="ET30" i="1" s="1"/>
  <c r="BD41" i="1"/>
  <c r="EZ41" i="1" s="1"/>
  <c r="QH41" i="1" l="1"/>
  <c r="UD41" i="1"/>
  <c r="SF41" i="1"/>
  <c r="QB30" i="1"/>
  <c r="TX30" i="1"/>
  <c r="RZ30" i="1"/>
  <c r="TW30" i="1"/>
  <c r="RY30" i="1"/>
  <c r="UC41" i="1"/>
  <c r="SE41" i="1"/>
  <c r="OJ41" i="1"/>
  <c r="QG41" i="1"/>
  <c r="OD30" i="1"/>
  <c r="QA30" i="1"/>
  <c r="MN41" i="1"/>
  <c r="OK41" i="1"/>
  <c r="MH30" i="1"/>
  <c r="OE30" i="1"/>
  <c r="KJ30" i="1"/>
  <c r="MG30" i="1"/>
  <c r="KP41" i="1"/>
  <c r="MM41" i="1"/>
  <c r="IN30" i="1"/>
  <c r="KK30" i="1"/>
  <c r="IT41" i="1"/>
  <c r="KQ41" i="1"/>
  <c r="GV41" i="1"/>
  <c r="IS41" i="1"/>
  <c r="GP30" i="1"/>
  <c r="IM30" i="1"/>
  <c r="FA41" i="1"/>
  <c r="GW41" i="1"/>
  <c r="EU30" i="1"/>
  <c r="GQ30" i="1"/>
  <c r="AZ30" i="1"/>
  <c r="EV30" i="1" s="1"/>
  <c r="AR42" i="1"/>
  <c r="EN42" i="1" s="1"/>
  <c r="PV42" i="1" l="1"/>
  <c r="TR42" i="1"/>
  <c r="RT42" i="1"/>
  <c r="QD30" i="1"/>
  <c r="TZ30" i="1"/>
  <c r="SB30" i="1"/>
  <c r="TY30" i="1"/>
  <c r="SA30" i="1"/>
  <c r="UE41" i="1"/>
  <c r="SG41" i="1"/>
  <c r="OL41" i="1"/>
  <c r="QI41" i="1"/>
  <c r="OF30" i="1"/>
  <c r="QC30" i="1"/>
  <c r="MB42" i="1"/>
  <c r="NY42" i="1"/>
  <c r="MJ30" i="1"/>
  <c r="OG30" i="1"/>
  <c r="KL30" i="1"/>
  <c r="MI30" i="1"/>
  <c r="KR41" i="1"/>
  <c r="MO41" i="1"/>
  <c r="IP30" i="1"/>
  <c r="KM30" i="1"/>
  <c r="IH42" i="1"/>
  <c r="KE42" i="1"/>
  <c r="GX41" i="1"/>
  <c r="IU41" i="1"/>
  <c r="GR30" i="1"/>
  <c r="IO30" i="1"/>
  <c r="GK42" i="1"/>
  <c r="EO42" i="1"/>
  <c r="EW30" i="1"/>
  <c r="GS30" i="1"/>
  <c r="AT42" i="1"/>
  <c r="EP42" i="1" s="1"/>
  <c r="BB30" i="1"/>
  <c r="EX30" i="1" s="1"/>
  <c r="QF30" i="1" l="1"/>
  <c r="SD30" i="1"/>
  <c r="UB30" i="1"/>
  <c r="PX42" i="1"/>
  <c r="TT42" i="1"/>
  <c r="RV42" i="1"/>
  <c r="UA30" i="1"/>
  <c r="SC30" i="1"/>
  <c r="TS42" i="1"/>
  <c r="RU42" i="1"/>
  <c r="NZ42" i="1"/>
  <c r="PW42" i="1"/>
  <c r="OH30" i="1"/>
  <c r="QE30" i="1"/>
  <c r="MD42" i="1"/>
  <c r="OA42" i="1"/>
  <c r="ML30" i="1"/>
  <c r="OI30" i="1"/>
  <c r="KN30" i="1"/>
  <c r="MK30" i="1"/>
  <c r="KF42" i="1"/>
  <c r="MC42" i="1"/>
  <c r="IR30" i="1"/>
  <c r="KO30" i="1"/>
  <c r="IJ42" i="1"/>
  <c r="KG42" i="1"/>
  <c r="GL42" i="1"/>
  <c r="II42" i="1"/>
  <c r="GT30" i="1"/>
  <c r="IQ30" i="1"/>
  <c r="GM42" i="1"/>
  <c r="EQ42" i="1"/>
  <c r="EY30" i="1"/>
  <c r="GU30" i="1"/>
  <c r="AV42" i="1"/>
  <c r="ER42" i="1" s="1"/>
  <c r="BD30" i="1"/>
  <c r="EZ30" i="1" s="1"/>
  <c r="QH30" i="1" l="1"/>
  <c r="UD30" i="1"/>
  <c r="SF30" i="1"/>
  <c r="PZ42" i="1"/>
  <c r="TV42" i="1"/>
  <c r="RX42" i="1"/>
  <c r="UC30" i="1"/>
  <c r="SE30" i="1"/>
  <c r="TU42" i="1"/>
  <c r="RW42" i="1"/>
  <c r="OB42" i="1"/>
  <c r="PY42" i="1"/>
  <c r="OJ30" i="1"/>
  <c r="QG30" i="1"/>
  <c r="MF42" i="1"/>
  <c r="OC42" i="1"/>
  <c r="MN30" i="1"/>
  <c r="OK30" i="1"/>
  <c r="KP30" i="1"/>
  <c r="MM30" i="1"/>
  <c r="KH42" i="1"/>
  <c r="ME42" i="1"/>
  <c r="IT30" i="1"/>
  <c r="KQ30" i="1"/>
  <c r="IL42" i="1"/>
  <c r="KI42" i="1"/>
  <c r="GN42" i="1"/>
  <c r="IK42" i="1"/>
  <c r="GV30" i="1"/>
  <c r="IS30" i="1"/>
  <c r="ES42" i="1"/>
  <c r="GO42" i="1"/>
  <c r="FA30" i="1"/>
  <c r="GW30" i="1"/>
  <c r="AX42" i="1"/>
  <c r="ET42" i="1" s="1"/>
  <c r="AR31" i="1"/>
  <c r="EN31" i="1" s="1"/>
  <c r="PV31" i="1" l="1"/>
  <c r="TR31" i="1"/>
  <c r="RT31" i="1"/>
  <c r="QB42" i="1"/>
  <c r="TX42" i="1"/>
  <c r="RZ42" i="1"/>
  <c r="UE30" i="1"/>
  <c r="SG30" i="1"/>
  <c r="TW42" i="1"/>
  <c r="RY42" i="1"/>
  <c r="OD42" i="1"/>
  <c r="QA42" i="1"/>
  <c r="OL30" i="1"/>
  <c r="QI30" i="1"/>
  <c r="MH42" i="1"/>
  <c r="OE42" i="1"/>
  <c r="MB31" i="1"/>
  <c r="NY31" i="1"/>
  <c r="KR30" i="1"/>
  <c r="MO30" i="1"/>
  <c r="KJ42" i="1"/>
  <c r="MG42" i="1"/>
  <c r="IH31" i="1"/>
  <c r="KE31" i="1"/>
  <c r="IN42" i="1"/>
  <c r="KK42" i="1"/>
  <c r="GP42" i="1"/>
  <c r="IM42" i="1"/>
  <c r="GX30" i="1"/>
  <c r="IU30" i="1"/>
  <c r="EU42" i="1"/>
  <c r="GQ42" i="1"/>
  <c r="EO31" i="1"/>
  <c r="GK31" i="1"/>
  <c r="AZ42" i="1"/>
  <c r="EV42" i="1" s="1"/>
  <c r="AT31" i="1"/>
  <c r="EP31" i="1" s="1"/>
  <c r="PX31" i="1" l="1"/>
  <c r="TT31" i="1"/>
  <c r="RV31" i="1"/>
  <c r="QD42" i="1"/>
  <c r="TZ42" i="1"/>
  <c r="SB42" i="1"/>
  <c r="TS31" i="1"/>
  <c r="RU31" i="1"/>
  <c r="SA42" i="1"/>
  <c r="TY42" i="1"/>
  <c r="OF42" i="1"/>
  <c r="QC42" i="1"/>
  <c r="NZ31" i="1"/>
  <c r="PW31" i="1"/>
  <c r="MJ42" i="1"/>
  <c r="OG42" i="1"/>
  <c r="MD31" i="1"/>
  <c r="OA31" i="1"/>
  <c r="KF31" i="1"/>
  <c r="MC31" i="1"/>
  <c r="KL42" i="1"/>
  <c r="MI42" i="1"/>
  <c r="IJ31" i="1"/>
  <c r="KG31" i="1"/>
  <c r="IP42" i="1"/>
  <c r="KM42" i="1"/>
  <c r="GR42" i="1"/>
  <c r="IO42" i="1"/>
  <c r="GL31" i="1"/>
  <c r="II31" i="1"/>
  <c r="GS42" i="1"/>
  <c r="EW42" i="1"/>
  <c r="EQ31" i="1"/>
  <c r="GM31" i="1"/>
  <c r="AV31" i="1"/>
  <c r="ER31" i="1" s="1"/>
  <c r="BB42" i="1"/>
  <c r="EX42" i="1" s="1"/>
  <c r="QF42" i="1" l="1"/>
  <c r="UB42" i="1"/>
  <c r="SD42" i="1"/>
  <c r="PZ31" i="1"/>
  <c r="RX31" i="1"/>
  <c r="TV31" i="1"/>
  <c r="TU31" i="1"/>
  <c r="RW31" i="1"/>
  <c r="UA42" i="1"/>
  <c r="SC42" i="1"/>
  <c r="OH42" i="1"/>
  <c r="QE42" i="1"/>
  <c r="OB31" i="1"/>
  <c r="PY31" i="1"/>
  <c r="ML42" i="1"/>
  <c r="OI42" i="1"/>
  <c r="MF31" i="1"/>
  <c r="OC31" i="1"/>
  <c r="KH31" i="1"/>
  <c r="ME31" i="1"/>
  <c r="KN42" i="1"/>
  <c r="MK42" i="1"/>
  <c r="IL31" i="1"/>
  <c r="KI31" i="1"/>
  <c r="IR42" i="1"/>
  <c r="KO42" i="1"/>
  <c r="GT42" i="1"/>
  <c r="IQ42" i="1"/>
  <c r="GN31" i="1"/>
  <c r="IK31" i="1"/>
  <c r="GU42" i="1"/>
  <c r="EY42" i="1"/>
  <c r="ES31" i="1"/>
  <c r="GO31" i="1"/>
  <c r="AX31" i="1"/>
  <c r="ET31" i="1" s="1"/>
  <c r="BD42" i="1"/>
  <c r="EZ42" i="1" s="1"/>
  <c r="QH42" i="1" l="1"/>
  <c r="UD42" i="1"/>
  <c r="SF42" i="1"/>
  <c r="QB31" i="1"/>
  <c r="TX31" i="1"/>
  <c r="RZ31" i="1"/>
  <c r="TW31" i="1"/>
  <c r="RY31" i="1"/>
  <c r="UC42" i="1"/>
  <c r="SE42" i="1"/>
  <c r="OJ42" i="1"/>
  <c r="QG42" i="1"/>
  <c r="OD31" i="1"/>
  <c r="QA31" i="1"/>
  <c r="MN42" i="1"/>
  <c r="OK42" i="1"/>
  <c r="MH31" i="1"/>
  <c r="OE31" i="1"/>
  <c r="KJ31" i="1"/>
  <c r="MG31" i="1"/>
  <c r="KP42" i="1"/>
  <c r="MM42" i="1"/>
  <c r="IN31" i="1"/>
  <c r="KK31" i="1"/>
  <c r="IT42" i="1"/>
  <c r="KQ42" i="1"/>
  <c r="GV42" i="1"/>
  <c r="IS42" i="1"/>
  <c r="GP31" i="1"/>
  <c r="IM31" i="1"/>
  <c r="FA42" i="1"/>
  <c r="GW42" i="1"/>
  <c r="EU31" i="1"/>
  <c r="GQ31" i="1"/>
  <c r="AZ31" i="1"/>
  <c r="EV31" i="1" s="1"/>
  <c r="QD31" i="1" l="1"/>
  <c r="TZ31" i="1"/>
  <c r="SB31" i="1"/>
  <c r="SA31" i="1"/>
  <c r="TY31" i="1"/>
  <c r="SG42" i="1"/>
  <c r="UE42" i="1"/>
  <c r="OL42" i="1"/>
  <c r="QI42" i="1"/>
  <c r="OF31" i="1"/>
  <c r="QC31" i="1"/>
  <c r="MJ31" i="1"/>
  <c r="OG31" i="1"/>
  <c r="KL31" i="1"/>
  <c r="MI31" i="1"/>
  <c r="KR42" i="1"/>
  <c r="MO42" i="1"/>
  <c r="IP31" i="1"/>
  <c r="KM31" i="1"/>
  <c r="GX42" i="1"/>
  <c r="IU42" i="1"/>
  <c r="GR31" i="1"/>
  <c r="IO31" i="1"/>
  <c r="EW31" i="1"/>
  <c r="GS31" i="1"/>
  <c r="BB31" i="1"/>
  <c r="EX31" i="1" s="1"/>
  <c r="QF31" i="1" l="1"/>
  <c r="SD31" i="1"/>
  <c r="UB31" i="1"/>
  <c r="UA31" i="1"/>
  <c r="SC31" i="1"/>
  <c r="OH31" i="1"/>
  <c r="QE31" i="1"/>
  <c r="ML31" i="1"/>
  <c r="OI31" i="1"/>
  <c r="KN31" i="1"/>
  <c r="MK31" i="1"/>
  <c r="IR31" i="1"/>
  <c r="KO31" i="1"/>
  <c r="GT31" i="1"/>
  <c r="IQ31" i="1"/>
  <c r="EY31" i="1"/>
  <c r="GU31" i="1"/>
  <c r="BD31" i="1"/>
  <c r="EZ31" i="1" s="1"/>
  <c r="QH31" i="1" l="1"/>
  <c r="UD31" i="1"/>
  <c r="SF31" i="1"/>
  <c r="SE31" i="1"/>
  <c r="UC31" i="1"/>
  <c r="OJ31" i="1"/>
  <c r="QG31" i="1"/>
  <c r="MN31" i="1"/>
  <c r="OK31" i="1"/>
  <c r="KP31" i="1"/>
  <c r="MM31" i="1"/>
  <c r="IT31" i="1"/>
  <c r="KQ31" i="1"/>
  <c r="GV31" i="1"/>
  <c r="IS31" i="1"/>
  <c r="FA31" i="1"/>
  <c r="GW31" i="1"/>
  <c r="AR32" i="1"/>
  <c r="EN32" i="1" s="1"/>
  <c r="PV32" i="1" l="1"/>
  <c r="TR32" i="1"/>
  <c r="RT32" i="1"/>
  <c r="UE31" i="1"/>
  <c r="SG31" i="1"/>
  <c r="OL31" i="1"/>
  <c r="QI31" i="1"/>
  <c r="MB32" i="1"/>
  <c r="NY32" i="1"/>
  <c r="KR31" i="1"/>
  <c r="MO31" i="1"/>
  <c r="IH32" i="1"/>
  <c r="KE32" i="1"/>
  <c r="GX31" i="1"/>
  <c r="IU31" i="1"/>
  <c r="EO32" i="1"/>
  <c r="GK32" i="1"/>
  <c r="AT32" i="1"/>
  <c r="EP32" i="1" s="1"/>
  <c r="PX32" i="1" l="1"/>
  <c r="RV32" i="1"/>
  <c r="TT32" i="1"/>
  <c r="TS32" i="1"/>
  <c r="RU32" i="1"/>
  <c r="NZ32" i="1"/>
  <c r="PW32" i="1"/>
  <c r="MD32" i="1"/>
  <c r="OA32" i="1"/>
  <c r="KF32" i="1"/>
  <c r="MC32" i="1"/>
  <c r="IJ32" i="1"/>
  <c r="KG32" i="1"/>
  <c r="GL32" i="1"/>
  <c r="II32" i="1"/>
  <c r="EQ32" i="1"/>
  <c r="GM32" i="1"/>
  <c r="AV32" i="1"/>
  <c r="ER32" i="1" s="1"/>
  <c r="PZ32" i="1" l="1"/>
  <c r="TV32" i="1"/>
  <c r="RX32" i="1"/>
  <c r="RW32" i="1"/>
  <c r="TU32" i="1"/>
  <c r="OB32" i="1"/>
  <c r="PY32" i="1"/>
  <c r="MF32" i="1"/>
  <c r="OC32" i="1"/>
  <c r="KH32" i="1"/>
  <c r="ME32" i="1"/>
  <c r="IL32" i="1"/>
  <c r="KI32" i="1"/>
  <c r="GN32" i="1"/>
  <c r="IK32" i="1"/>
  <c r="ES32" i="1"/>
  <c r="GO32" i="1"/>
  <c r="AX32" i="1"/>
  <c r="ET32" i="1" s="1"/>
  <c r="QB32" i="1" l="1"/>
  <c r="RZ32" i="1"/>
  <c r="TX32" i="1"/>
  <c r="TW32" i="1"/>
  <c r="RY32" i="1"/>
  <c r="OD32" i="1"/>
  <c r="QA32" i="1"/>
  <c r="MH32" i="1"/>
  <c r="OE32" i="1"/>
  <c r="KJ32" i="1"/>
  <c r="MG32" i="1"/>
  <c r="IN32" i="1"/>
  <c r="KK32" i="1"/>
  <c r="GP32" i="1"/>
  <c r="IM32" i="1"/>
  <c r="EU32" i="1"/>
  <c r="GQ32" i="1"/>
  <c r="AZ32" i="1"/>
  <c r="EV32" i="1" s="1"/>
  <c r="QD32" i="1" l="1"/>
  <c r="TZ32" i="1"/>
  <c r="SB32" i="1"/>
  <c r="TY32" i="1"/>
  <c r="SA32" i="1"/>
  <c r="OF32" i="1"/>
  <c r="QC32" i="1"/>
  <c r="MJ32" i="1"/>
  <c r="OG32" i="1"/>
  <c r="KL32" i="1"/>
  <c r="MI32" i="1"/>
  <c r="IP32" i="1"/>
  <c r="KM32" i="1"/>
  <c r="GR32" i="1"/>
  <c r="IO32" i="1"/>
  <c r="GS32" i="1"/>
  <c r="EW32" i="1"/>
  <c r="BB32" i="1"/>
  <c r="EX32" i="1" s="1"/>
  <c r="QF32" i="1" l="1"/>
  <c r="UB32" i="1"/>
  <c r="SD32" i="1"/>
  <c r="UA32" i="1"/>
  <c r="SC32" i="1"/>
  <c r="OH32" i="1"/>
  <c r="QE32" i="1"/>
  <c r="ML32" i="1"/>
  <c r="OI32" i="1"/>
  <c r="KN32" i="1"/>
  <c r="MK32" i="1"/>
  <c r="IR32" i="1"/>
  <c r="KO32" i="1"/>
  <c r="GT32" i="1"/>
  <c r="IQ32" i="1"/>
  <c r="EY32" i="1"/>
  <c r="GU32" i="1"/>
  <c r="BD32" i="1"/>
  <c r="EZ32" i="1" s="1"/>
  <c r="QH32" i="1" l="1"/>
  <c r="UD32" i="1"/>
  <c r="SF32" i="1"/>
  <c r="UC32" i="1"/>
  <c r="SE32" i="1"/>
  <c r="OJ32" i="1"/>
  <c r="QG32" i="1"/>
  <c r="MN32" i="1"/>
  <c r="OK32" i="1"/>
  <c r="KP32" i="1"/>
  <c r="MM32" i="1"/>
  <c r="IT32" i="1"/>
  <c r="KQ32" i="1"/>
  <c r="GV32" i="1"/>
  <c r="IS32" i="1"/>
  <c r="FA32" i="1"/>
  <c r="GW32" i="1"/>
  <c r="AR33" i="1"/>
  <c r="EN33" i="1" s="1"/>
  <c r="PV33" i="1" l="1"/>
  <c r="TR33" i="1"/>
  <c r="RT33" i="1"/>
  <c r="UE32" i="1"/>
  <c r="SG32" i="1"/>
  <c r="OL32" i="1"/>
  <c r="QI32" i="1"/>
  <c r="MB33" i="1"/>
  <c r="NY33" i="1"/>
  <c r="KR32" i="1"/>
  <c r="MO32" i="1"/>
  <c r="IH33" i="1"/>
  <c r="KE33" i="1"/>
  <c r="GX32" i="1"/>
  <c r="IU32" i="1"/>
  <c r="EO33" i="1"/>
  <c r="GK33" i="1"/>
  <c r="AT33" i="1"/>
  <c r="EP33" i="1" s="1"/>
  <c r="PX33" i="1" l="1"/>
  <c r="TT33" i="1"/>
  <c r="RV33" i="1"/>
  <c r="TS33" i="1"/>
  <c r="RU33" i="1"/>
  <c r="NZ33" i="1"/>
  <c r="PW33" i="1"/>
  <c r="MD33" i="1"/>
  <c r="OA33" i="1"/>
  <c r="KF33" i="1"/>
  <c r="MC33" i="1"/>
  <c r="IJ33" i="1"/>
  <c r="KG33" i="1"/>
  <c r="GL33" i="1"/>
  <c r="II33" i="1"/>
  <c r="EQ33" i="1"/>
  <c r="GM33" i="1"/>
  <c r="AV33" i="1"/>
  <c r="ER33" i="1" s="1"/>
  <c r="PZ33" i="1" l="1"/>
  <c r="RX33" i="1"/>
  <c r="TV33" i="1"/>
  <c r="TU33" i="1"/>
  <c r="RW33" i="1"/>
  <c r="OB33" i="1"/>
  <c r="PY33" i="1"/>
  <c r="MF33" i="1"/>
  <c r="OC33" i="1"/>
  <c r="KH33" i="1"/>
  <c r="ME33" i="1"/>
  <c r="IL33" i="1"/>
  <c r="KI33" i="1"/>
  <c r="GN33" i="1"/>
  <c r="IK33" i="1"/>
  <c r="ES33" i="1"/>
  <c r="GO33" i="1"/>
  <c r="AX33" i="1"/>
  <c r="ET33" i="1" s="1"/>
  <c r="QB33" i="1" l="1"/>
  <c r="TX33" i="1"/>
  <c r="RZ33" i="1"/>
  <c r="TW33" i="1"/>
  <c r="RY33" i="1"/>
  <c r="OD33" i="1"/>
  <c r="QA33" i="1"/>
  <c r="MH33" i="1"/>
  <c r="OE33" i="1"/>
  <c r="KJ33" i="1"/>
  <c r="MG33" i="1"/>
  <c r="IN33" i="1"/>
  <c r="KK33" i="1"/>
  <c r="GP33" i="1"/>
  <c r="IM33" i="1"/>
  <c r="EU33" i="1"/>
  <c r="GQ33" i="1"/>
  <c r="AZ33" i="1"/>
  <c r="EV33" i="1" s="1"/>
  <c r="QD33" i="1" l="1"/>
  <c r="TZ33" i="1"/>
  <c r="SB33" i="1"/>
  <c r="SA33" i="1"/>
  <c r="TY33" i="1"/>
  <c r="OF33" i="1"/>
  <c r="QC33" i="1"/>
  <c r="MJ33" i="1"/>
  <c r="OG33" i="1"/>
  <c r="KL33" i="1"/>
  <c r="MI33" i="1"/>
  <c r="IP33" i="1"/>
  <c r="KM33" i="1"/>
  <c r="GR33" i="1"/>
  <c r="IO33" i="1"/>
  <c r="EW33" i="1"/>
  <c r="GS33" i="1"/>
  <c r="BB33" i="1"/>
  <c r="EX33" i="1" s="1"/>
  <c r="QF33" i="1" l="1"/>
  <c r="UB33" i="1"/>
  <c r="SD33" i="1"/>
  <c r="UA33" i="1"/>
  <c r="SC33" i="1"/>
  <c r="OH33" i="1"/>
  <c r="QE33" i="1"/>
  <c r="ML33" i="1"/>
  <c r="OI33" i="1"/>
  <c r="KN33" i="1"/>
  <c r="MK33" i="1"/>
  <c r="IR33" i="1"/>
  <c r="KO33" i="1"/>
  <c r="GT33" i="1"/>
  <c r="IQ33" i="1"/>
  <c r="EY33" i="1"/>
  <c r="GU33" i="1"/>
  <c r="BD33" i="1"/>
  <c r="EZ33" i="1" s="1"/>
  <c r="QH33" i="1" l="1"/>
  <c r="SF33" i="1"/>
  <c r="UD33" i="1"/>
  <c r="UC33" i="1"/>
  <c r="SE33" i="1"/>
  <c r="OJ33" i="1"/>
  <c r="QG33" i="1"/>
  <c r="MN33" i="1"/>
  <c r="OK33" i="1"/>
  <c r="KP33" i="1"/>
  <c r="MM33" i="1"/>
  <c r="IT33" i="1"/>
  <c r="KQ33" i="1"/>
  <c r="GV33" i="1"/>
  <c r="IS33" i="1"/>
  <c r="FA33" i="1"/>
  <c r="GW33" i="1"/>
  <c r="UE33" i="1" l="1"/>
  <c r="SG33" i="1"/>
  <c r="OL33" i="1"/>
  <c r="QI33" i="1"/>
  <c r="KR33" i="1"/>
  <c r="MO33" i="1"/>
  <c r="GX33" i="1"/>
  <c r="IU33" i="1"/>
</calcChain>
</file>

<file path=xl/sharedStrings.xml><?xml version="1.0" encoding="utf-8"?>
<sst xmlns="http://schemas.openxmlformats.org/spreadsheetml/2006/main" count="2247" uniqueCount="95">
  <si>
    <t>Lieu</t>
  </si>
  <si>
    <t>Semaine Type</t>
  </si>
  <si>
    <t>Lundi</t>
  </si>
  <si>
    <t>Mardi</t>
  </si>
  <si>
    <t>Mercredi</t>
  </si>
  <si>
    <t>Jeudi</t>
  </si>
  <si>
    <t>Vendredi</t>
  </si>
  <si>
    <t>Samedi</t>
  </si>
  <si>
    <t>Dimanche</t>
  </si>
  <si>
    <t>AM</t>
  </si>
  <si>
    <t>PM</t>
  </si>
  <si>
    <t>VD</t>
  </si>
  <si>
    <t>GE</t>
  </si>
  <si>
    <t>Entreprise</t>
  </si>
  <si>
    <t>CHUV</t>
  </si>
  <si>
    <t>HUG</t>
  </si>
  <si>
    <t>Présent</t>
  </si>
  <si>
    <t>Télétravail</t>
  </si>
  <si>
    <t>Absent</t>
  </si>
  <si>
    <t>Canton</t>
  </si>
  <si>
    <t>Taux d'activité [%]</t>
  </si>
  <si>
    <t>Semaine Type:</t>
  </si>
  <si>
    <t>Entreprise:</t>
  </si>
  <si>
    <t>Canton:</t>
  </si>
  <si>
    <t>Nom:</t>
  </si>
  <si>
    <t>Prenom:</t>
  </si>
  <si>
    <t>Jour ferié</t>
  </si>
  <si>
    <t>Periode</t>
  </si>
  <si>
    <t>WeekDayStart</t>
  </si>
  <si>
    <t>Period</t>
  </si>
  <si>
    <t>J</t>
  </si>
  <si>
    <t>Date congé</t>
  </si>
  <si>
    <t>JF_Canton</t>
  </si>
  <si>
    <t>Value</t>
  </si>
  <si>
    <t>Raison</t>
  </si>
  <si>
    <t>Formation</t>
  </si>
  <si>
    <t>Congé</t>
  </si>
  <si>
    <t>Autres</t>
  </si>
  <si>
    <t>Année</t>
  </si>
  <si>
    <t>nombre de jours congé:</t>
  </si>
  <si>
    <t>nombre de jours formation:</t>
  </si>
  <si>
    <t>Métier</t>
  </si>
  <si>
    <t>métier</t>
  </si>
  <si>
    <t>Admin</t>
  </si>
  <si>
    <t>Soin</t>
  </si>
  <si>
    <t>Médecin</t>
  </si>
  <si>
    <t>Jour congé</t>
  </si>
  <si>
    <t>Nom</t>
  </si>
  <si>
    <t>Jour semaine</t>
  </si>
  <si>
    <t>janvier</t>
  </si>
  <si>
    <t>février</t>
  </si>
  <si>
    <t>mars</t>
  </si>
  <si>
    <t>lun</t>
  </si>
  <si>
    <t>mar</t>
  </si>
  <si>
    <t>mer</t>
  </si>
  <si>
    <t>jeu</t>
  </si>
  <si>
    <t>ven</t>
  </si>
  <si>
    <t>sam</t>
  </si>
  <si>
    <t>dim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</si>
  <si>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</si>
  <si>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</si>
  <si>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</si>
  <si>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</si>
  <si>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</si>
  <si>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</si>
  <si>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</si>
  <si>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</si>
  <si>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</si>
  <si>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Date par case</t>
  </si>
  <si>
    <t>conditions est-ce un jour ferié</t>
  </si>
  <si>
    <t>Récupération</t>
  </si>
  <si>
    <t>Congé scolaire</t>
  </si>
  <si>
    <t xml:space="preserve">Vacances </t>
  </si>
  <si>
    <t>Scolaire:</t>
  </si>
  <si>
    <t>Information du collaborateur</t>
  </si>
  <si>
    <t>Tableau des congés/absences à remplir :</t>
  </si>
  <si>
    <t>vacances scolaires</t>
  </si>
  <si>
    <t>Vide</t>
  </si>
  <si>
    <t>A jour jusqu'à 2025</t>
  </si>
  <si>
    <t>pour les jours feriés ( à placer dans la même zone que le choix les vacances scolaires)</t>
  </si>
  <si>
    <t>Ajouter la partie stat ici ? Pour imprimer avec le calendrier ?</t>
  </si>
  <si>
    <t>nombre de jour ouvré</t>
  </si>
  <si>
    <t>nombre de jour non ouvré</t>
  </si>
  <si>
    <t>le % de base</t>
  </si>
  <si>
    <t>le % réel avec congé, maladie, formation et autres</t>
  </si>
  <si>
    <t>le nombre de jour travaillé réellement en prenant en compte les vacances, maladies etc</t>
  </si>
  <si>
    <t>ajouter le jour de la semaine dans le tableau à gauche ca aide pour mettre les dates</t>
  </si>
  <si>
    <t>et trouver comment faire pour avoir toujours la ligne en haut de disponible</t>
  </si>
  <si>
    <t>ie mise en forme condtionnelle si cellule vide puis après trier par cette mise en forme conditionnelle ?</t>
  </si>
  <si>
    <t>Malade (me ou proche)</t>
  </si>
  <si>
    <t>Travaillé</t>
  </si>
  <si>
    <t>Malade</t>
  </si>
  <si>
    <t>Jour Travaillé</t>
  </si>
  <si>
    <t>Mike</t>
  </si>
  <si>
    <t>Marek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</si>
</sst>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9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 applyAlignment="1">
      <alignment horizontal="right"/>
    </xf>
    <xf numFmtId="0" fontId="0" fillId="0" borderId="2" xfId="0" applyBorder="1"/>
    <xf numFmtId="0" fontId="0" fillId="2" borderId="4" xfId="0" applyFill="1" applyBorder="1"/>
    <xf numFmtId="0" fontId="0" fillId="2" borderId="5" xfId="0" applyFill="1" applyBorder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2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right"/>
    </xf>
    <xf numFmtId="0" fontId="0" fillId="3" borderId="12" xfId="0" applyFill="1" applyBorder="1"/>
    <xf numFmtId="0" fontId="0" fillId="3" borderId="13" xfId="0" applyFill="1" applyBorder="1"/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6" xfId="0" applyFill="1" applyBorder="1"/>
    <xf numFmtId="0" fontId="0" fillId="4" borderId="17" xfId="0" applyFill="1" applyBorder="1"/>
    <xf numFmtId="0" fontId="0" fillId="5" borderId="0" xfId="0" applyFill="1"/>
    <xf numFmtId="0" fontId="0" fillId="3" borderId="15" xfId="0" applyFill="1" applyBorder="1"/>
    <xf numFmtId="0" fontId="0" fillId="3" borderId="17" xfId="0" applyFill="1" applyBorder="1"/>
    <xf numFmtId="0" fontId="0" fillId="4" borderId="17" xfId="0" applyFill="1" applyBorder="1" applyAlignment="1">
      <alignment horizontal="center"/>
    </xf>
    <xf numFmtId="14" fontId="0" fillId="0" borderId="0" xfId="0" applyNumberFormat="1"/>
    <xf numFmtId="0" fontId="0" fillId="0" borderId="18" xfId="0" applyBorder="1"/>
    <xf numFmtId="14" fontId="0" fillId="3" borderId="1" xfId="0" applyNumberFormat="1" applyFill="1" applyBorder="1" applyAlignment="1">
      <alignment horizontal="right"/>
    </xf>
    <xf numFmtId="0" fontId="0" fillId="3" borderId="1" xfId="0" applyFill="1" applyBorder="1"/>
    <xf numFmtId="14" fontId="0" fillId="3" borderId="19" xfId="0" applyNumberFormat="1" applyFill="1" applyBorder="1" applyAlignment="1">
      <alignment horizontal="right"/>
    </xf>
    <xf numFmtId="0" fontId="0" fillId="3" borderId="19" xfId="0" applyFill="1" applyBorder="1"/>
    <xf numFmtId="0" fontId="3" fillId="3" borderId="0" xfId="0" applyFont="1" applyFill="1"/>
    <xf numFmtId="0" fontId="5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6" borderId="1" xfId="0" applyFill="1" applyBorder="1"/>
    <xf numFmtId="14" fontId="0" fillId="3" borderId="0" xfId="0" applyNumberFormat="1" applyFill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0" fillId="5" borderId="0" xfId="0" applyFill="1" applyAlignment="1">
      <alignment horizontal="right"/>
    </xf>
    <xf numFmtId="0" fontId="0" fillId="6" borderId="6" xfId="0" applyFill="1" applyBorder="1"/>
    <xf numFmtId="0" fontId="0" fillId="6" borderId="1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4" fillId="3" borderId="0" xfId="0" applyFont="1" applyFill="1"/>
    <xf numFmtId="164" fontId="0" fillId="3" borderId="9" xfId="0" applyNumberFormat="1" applyFill="1" applyBorder="1"/>
    <xf numFmtId="164" fontId="0" fillId="3" borderId="0" xfId="0" applyNumberFormat="1" applyFill="1"/>
    <xf numFmtId="164" fontId="0" fillId="3" borderId="10" xfId="0" applyNumberFormat="1" applyFill="1" applyBorder="1"/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3" borderId="13" xfId="0" applyNumberFormat="1" applyFill="1" applyBorder="1"/>
    <xf numFmtId="0" fontId="0" fillId="3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164" fontId="0" fillId="3" borderId="2" xfId="0" applyNumberFormat="1" applyFill="1" applyBorder="1"/>
    <xf numFmtId="164" fontId="0" fillId="3" borderId="7" xfId="0" applyNumberFormat="1" applyFill="1" applyBorder="1"/>
    <xf numFmtId="164" fontId="0" fillId="3" borderId="8" xfId="0" applyNumberFormat="1" applyFill="1" applyBorder="1"/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2" borderId="0" xfId="0" applyFill="1"/>
    <xf numFmtId="0" fontId="0" fillId="2" borderId="2" xfId="0" applyFill="1" applyBorder="1"/>
    <xf numFmtId="0" fontId="0" fillId="2" borderId="7" xfId="0" applyFill="1" applyBorder="1" applyAlignment="1">
      <alignment horizontal="right"/>
    </xf>
    <xf numFmtId="0" fontId="0" fillId="2" borderId="7" xfId="0" applyFill="1" applyBorder="1"/>
    <xf numFmtId="0" fontId="0" fillId="2" borderId="12" xfId="0" applyFill="1" applyBorder="1"/>
    <xf numFmtId="0" fontId="0" fillId="2" borderId="23" xfId="0" applyFill="1" applyBorder="1" applyAlignment="1">
      <alignment horizontal="right"/>
    </xf>
    <xf numFmtId="0" fontId="0" fillId="2" borderId="9" xfId="0" applyFill="1" applyBorder="1"/>
    <xf numFmtId="0" fontId="0" fillId="2" borderId="0" xfId="0" applyFill="1" applyAlignment="1">
      <alignment horizontal="right"/>
    </xf>
    <xf numFmtId="0" fontId="0" fillId="2" borderId="24" xfId="0" applyFill="1" applyBorder="1" applyAlignment="1">
      <alignment horizontal="right"/>
    </xf>
    <xf numFmtId="0" fontId="4" fillId="6" borderId="0" xfId="0" applyFont="1" applyFill="1" applyAlignment="1">
      <alignment horizontal="left"/>
    </xf>
    <xf numFmtId="14" fontId="0" fillId="3" borderId="6" xfId="0" applyNumberFormat="1" applyFill="1" applyBorder="1" applyAlignment="1">
      <alignment horizontal="right"/>
    </xf>
    <xf numFmtId="0" fontId="0" fillId="3" borderId="6" xfId="0" applyFill="1" applyBorder="1"/>
    <xf numFmtId="0" fontId="3" fillId="2" borderId="9" xfId="0" applyFont="1" applyFill="1" applyBorder="1"/>
    <xf numFmtId="0" fontId="3" fillId="2" borderId="11" xfId="0" applyFont="1" applyFill="1" applyBorder="1"/>
    <xf numFmtId="0" fontId="7" fillId="2" borderId="0" xfId="0" applyFont="1" applyFill="1"/>
    <xf numFmtId="0" fontId="7" fillId="2" borderId="10" xfId="0" applyFont="1" applyFill="1" applyBorder="1"/>
    <xf numFmtId="0" fontId="0" fillId="2" borderId="10" xfId="0" applyFill="1" applyBorder="1"/>
    <xf numFmtId="0" fontId="0" fillId="2" borderId="13" xfId="0" applyFill="1" applyBorder="1"/>
    <xf numFmtId="0" fontId="0" fillId="3" borderId="25" xfId="0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0" fontId="0" fillId="3" borderId="27" xfId="0" applyFill="1" applyBorder="1"/>
    <xf numFmtId="0" fontId="6" fillId="2" borderId="20" xfId="0" applyFont="1" applyFill="1" applyBorder="1"/>
    <xf numFmtId="0" fontId="6" fillId="2" borderId="22" xfId="0" applyFont="1" applyFill="1" applyBorder="1"/>
    <xf numFmtId="0" fontId="6" fillId="6" borderId="21" xfId="0" applyFont="1" applyFill="1" applyBorder="1"/>
    <xf numFmtId="14" fontId="0" fillId="0" borderId="19" xfId="0" applyNumberFormat="1" applyBorder="1"/>
    <xf numFmtId="0" fontId="0" fillId="0" borderId="19" xfId="0" applyBorder="1"/>
    <xf numFmtId="14" fontId="2" fillId="3" borderId="14" xfId="0" applyNumberFormat="1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0" fontId="7" fillId="3" borderId="7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14" fontId="8" fillId="3" borderId="14" xfId="0" applyNumberFormat="1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lightUp"/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rgb="FFF8D9FF"/>
        </patternFill>
      </fill>
    </dxf>
    <dxf>
      <font>
        <b/>
        <i val="0"/>
        <strike val="0"/>
        <u val="none"/>
      </font>
    </dxf>
    <dxf>
      <fill>
        <patternFill>
          <bgColor rgb="FFFFB7B7"/>
        </patternFill>
      </fill>
    </dxf>
    <dxf>
      <fill>
        <patternFill patternType="gray0625">
          <bgColor theme="0"/>
        </patternFill>
      </fill>
    </dxf>
    <dxf>
      <fill>
        <patternFill>
          <bgColor theme="4" tint="0.79998168889431442"/>
        </patternFill>
      </fill>
    </dxf>
    <dxf>
      <numFmt numFmtId="19" formatCode="dd/mm/yyyy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B7B7"/>
      <color rgb="FFF8D9FF"/>
      <color rgb="FFF0AFFF"/>
      <color rgb="FF99FFCC"/>
      <color rgb="FFD5FFFC"/>
      <color rgb="FFF9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FB7D38-0D5C-4645-926B-76BB035E6841}" name="fConge" displayName="fConge" ref="C24:E267" totalsRowShown="0" headerRowDxfId="19">
  <autoFilter ref="C24:E267" xr:uid="{CFDA0E18-79CE-457B-A3CC-2CA23D4003DC}"/>
  <sortState xmlns:xlrd2="http://schemas.microsoft.com/office/spreadsheetml/2017/richdata2" ref="C25:E267">
    <sortCondition ref="C24:C267"/>
  </sortState>
  <tableColumns count="3">
    <tableColumn id="1" xr3:uid="{261F4D6B-E8C9-480B-BF2A-6837F8A0A3C7}" name="Date congé" dataDxfId="18"/>
    <tableColumn id="2" xr3:uid="{1DCF1594-D0EC-4EF6-A188-D6B79B22E546}" name="Periode" dataDxfId="17"/>
    <tableColumn id="3" xr3:uid="{A6E9042E-9106-4585-9BA7-034CA48A15A9}" name="Raison" dataDxfId="1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85316-33E8-4C57-950B-2820F6900CE2}" name="dPublicHoliday" displayName="dPublicHoliday" ref="Q1:U109" totalsRowShown="0">
  <autoFilter ref="Q1:U109" xr:uid="{DA996E28-63B4-40ED-8C41-ED71F3893C5D}"/>
  <sortState xmlns:xlrd2="http://schemas.microsoft.com/office/spreadsheetml/2017/richdata2" ref="Q2:U91">
    <sortCondition descending="1" ref="Q1:Q91"/>
  </sortState>
  <tableColumns count="5">
    <tableColumn id="1" xr3:uid="{8E3ABDF1-C271-4B3F-AB1E-D0E60CE17F48}" name="Jour ferié" dataDxfId="15"/>
    <tableColumn id="2" xr3:uid="{9C26D916-F104-44E9-B0BF-344E855E4C0A}" name="Periode" dataDxfId="14"/>
    <tableColumn id="3" xr3:uid="{1D90EC60-4CF2-4BD2-84D5-31B16F25244F}" name="Canton" dataDxfId="13"/>
    <tableColumn id="4" xr3:uid="{1967A9D1-9DFD-4B68-99D5-C7D425D76D65}" name="JF_Canton" dataDxfId="12">
      <calculatedColumnFormula>dPublicHoliday[[#This Row],[Jour ferié]]&amp;"_"&amp;dPublicHoliday[[#This Row],[Canton]]</calculatedColumnFormula>
    </tableColumn>
    <tableColumn id="5" xr3:uid="{13C002D1-7319-4F31-8004-0EFD59417970}" name="Valu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E6B203-3B68-43BA-9E83-8867429A2970}" name="fSchoolHoliday" displayName="fSchoolHoliday" ref="W1:Z823" totalsRowShown="0">
  <autoFilter ref="W1:Z823" xr:uid="{EFE7D086-4AB2-47F2-B02A-E90685E3585C}"/>
  <tableColumns count="4">
    <tableColumn id="1" xr3:uid="{D2387091-FF6E-471A-A926-B3FD9A8F4C72}" name="Jour semaine">
      <calculatedColumnFormula>WEEKDAY(X2,2)</calculatedColumnFormula>
    </tableColumn>
    <tableColumn id="2" xr3:uid="{07F3AAB5-B5BE-4CA1-836F-9522B99DC38B}" name="Jour congé" dataDxfId="11"/>
    <tableColumn id="3" xr3:uid="{768AE47E-A436-4299-8F6A-D3FFF8C5246C}" name="Canton"/>
    <tableColumn id="4" xr3:uid="{8644D905-01B7-487F-8102-9976C531D426}" name="Nom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63D1-53FB-4EC8-895B-80A17E169B08}">
  <sheetPr>
    <pageSetUpPr fitToPage="1"/>
  </sheetPr>
  <dimension ref="B1:UE302"/>
  <sheetViews>
    <sheetView tabSelected="1" zoomScale="68" zoomScaleNormal="80" workbookViewId="0">
      <selection activeCell="C36" sqref="C36"/>
    </sheetView>
  </sheetViews>
  <sheetFormatPr defaultColWidth="8.88671875" defaultRowHeight="14.4" x14ac:dyDescent="0.3"/>
  <cols>
    <col min="1" max="2" width="8.88671875" style="6"/>
    <col min="3" max="3" width="16.109375" style="7" bestFit="1" customWidth="1"/>
    <col min="4" max="4" width="11" style="6" customWidth="1"/>
    <col min="5" max="5" width="11.33203125" style="6" customWidth="1"/>
    <col min="6" max="6" width="10.109375" style="6" customWidth="1"/>
    <col min="7" max="7" width="8.88671875" style="6"/>
    <col min="8" max="8" width="5.6640625" style="6" customWidth="1"/>
    <col min="9" max="9" width="8.88671875" style="21"/>
    <col min="10" max="10" width="10.33203125" style="6" customWidth="1"/>
    <col min="11" max="11" width="0.44140625" style="6" customWidth="1"/>
    <col min="12" max="25" width="3.5546875" style="6" customWidth="1"/>
    <col min="26" max="27" width="5.6640625" style="6" customWidth="1"/>
    <col min="28" max="41" width="3.33203125" style="6" customWidth="1"/>
    <col min="42" max="43" width="5.6640625" style="6" customWidth="1"/>
    <col min="44" max="57" width="3.5546875" style="6" customWidth="1"/>
    <col min="58" max="58" width="10.33203125" style="6" bestFit="1" customWidth="1"/>
    <col min="59" max="59" width="4.5546875" style="6" customWidth="1"/>
    <col min="60" max="60" width="8.88671875" style="21"/>
    <col min="61" max="62" width="8.88671875" style="6"/>
    <col min="63" max="75" width="3" style="6" customWidth="1"/>
    <col min="76" max="78" width="8.88671875" style="6"/>
    <col min="79" max="91" width="3.6640625" style="6" customWidth="1"/>
    <col min="92" max="94" width="8.88671875" style="6"/>
    <col min="95" max="107" width="3.44140625" style="6" customWidth="1"/>
    <col min="108" max="108" width="8.88671875" style="6"/>
    <col min="109" max="109" width="8.88671875" style="21"/>
    <col min="110" max="111" width="8.88671875" style="6"/>
    <col min="112" max="156" width="6.6640625" style="6" customWidth="1"/>
    <col min="157" max="158" width="8.88671875" style="6"/>
    <col min="159" max="159" width="8.88671875" style="21"/>
    <col min="160" max="207" width="8.88671875" style="6"/>
    <col min="208" max="208" width="8.88671875" style="21"/>
    <col min="209" max="256" width="8.88671875" style="6"/>
    <col min="257" max="257" width="8.88671875" style="21"/>
    <col min="258" max="305" width="8.88671875" style="6"/>
    <col min="306" max="306" width="8.88671875" style="21"/>
    <col min="307" max="354" width="8.88671875" style="6"/>
    <col min="355" max="355" width="8.88671875" style="21"/>
    <col min="356" max="403" width="8.88671875" style="6"/>
    <col min="404" max="404" width="8.88671875" style="21"/>
    <col min="405" max="453" width="8.88671875" style="6"/>
    <col min="454" max="454" width="8.88671875" style="21"/>
    <col min="455" max="503" width="8.88671875" style="6"/>
    <col min="504" max="504" width="8.88671875" style="21"/>
    <col min="505" max="16384" width="8.88671875" style="6"/>
  </cols>
  <sheetData>
    <row r="1" spans="2:551" ht="15" thickBot="1" x14ac:dyDescent="0.35"/>
    <row r="2" spans="2:551" ht="14.4" customHeight="1" x14ac:dyDescent="0.3">
      <c r="B2" s="89" t="s">
        <v>74</v>
      </c>
      <c r="C2" s="90"/>
      <c r="D2" s="90"/>
      <c r="E2" s="90"/>
      <c r="F2" s="90"/>
      <c r="G2" s="91"/>
      <c r="K2" s="96">
        <v>2026</v>
      </c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8"/>
      <c r="BF2" s="82" t="s">
        <v>72</v>
      </c>
    </row>
    <row r="3" spans="2:551" ht="14.4" customHeight="1" x14ac:dyDescent="0.3">
      <c r="B3" s="11"/>
      <c r="C3" s="1" t="s">
        <v>22</v>
      </c>
      <c r="D3" s="34" t="s">
        <v>15</v>
      </c>
      <c r="G3" s="12"/>
      <c r="K3" s="99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  <c r="BF3" s="83" t="s">
        <v>73</v>
      </c>
      <c r="DJ3" s="6" t="s">
        <v>68</v>
      </c>
      <c r="FG3" s="6" t="s">
        <v>69</v>
      </c>
      <c r="HB3" s="6" t="s">
        <v>36</v>
      </c>
      <c r="IY3" s="6" t="s">
        <v>35</v>
      </c>
      <c r="KV3" s="6" t="s">
        <v>37</v>
      </c>
      <c r="MS3" s="6" t="s">
        <v>70</v>
      </c>
      <c r="OP3" s="6" t="s">
        <v>71</v>
      </c>
      <c r="QN3" s="6" t="s">
        <v>91</v>
      </c>
      <c r="SL3" s="6" t="s">
        <v>92</v>
      </c>
    </row>
    <row r="4" spans="2:551" ht="14.4" customHeight="1" thickBot="1" x14ac:dyDescent="0.35">
      <c r="B4" s="11"/>
      <c r="C4" s="1" t="s">
        <v>23</v>
      </c>
      <c r="D4" s="34" t="s">
        <v>12</v>
      </c>
      <c r="E4" s="6" t="s">
        <v>79</v>
      </c>
      <c r="G4" s="12"/>
      <c r="K4" s="102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4"/>
      <c r="BF4" s="84" t="s">
        <v>12</v>
      </c>
    </row>
    <row r="5" spans="2:551" x14ac:dyDescent="0.3">
      <c r="B5" s="11"/>
      <c r="C5" s="5"/>
      <c r="D5"/>
      <c r="G5" s="12"/>
      <c r="K5" s="31"/>
      <c r="L5" s="32" t="s">
        <v>9</v>
      </c>
      <c r="M5" s="32" t="s">
        <v>10</v>
      </c>
      <c r="N5" s="32" t="s">
        <v>9</v>
      </c>
      <c r="O5" s="32" t="s">
        <v>10</v>
      </c>
      <c r="P5" s="32" t="s">
        <v>9</v>
      </c>
      <c r="Q5" s="32" t="s">
        <v>10</v>
      </c>
      <c r="R5" s="32" t="s">
        <v>9</v>
      </c>
      <c r="S5" s="32" t="s">
        <v>10</v>
      </c>
      <c r="T5" s="32" t="s">
        <v>9</v>
      </c>
      <c r="U5" s="32" t="s">
        <v>10</v>
      </c>
      <c r="V5" s="32" t="s">
        <v>9</v>
      </c>
      <c r="W5" s="32" t="s">
        <v>10</v>
      </c>
      <c r="X5" s="32" t="s">
        <v>9</v>
      </c>
      <c r="Y5" s="32" t="s">
        <v>10</v>
      </c>
      <c r="Z5" s="31"/>
      <c r="AA5" s="31"/>
      <c r="AB5" s="32" t="s">
        <v>9</v>
      </c>
      <c r="AC5" s="32" t="s">
        <v>10</v>
      </c>
      <c r="AD5" s="32" t="s">
        <v>9</v>
      </c>
      <c r="AE5" s="32" t="s">
        <v>10</v>
      </c>
      <c r="AF5" s="32" t="s">
        <v>9</v>
      </c>
      <c r="AG5" s="32" t="s">
        <v>10</v>
      </c>
      <c r="AH5" s="32" t="s">
        <v>9</v>
      </c>
      <c r="AI5" s="32" t="s">
        <v>10</v>
      </c>
      <c r="AJ5" s="32" t="s">
        <v>9</v>
      </c>
      <c r="AK5" s="32" t="s">
        <v>10</v>
      </c>
      <c r="AL5" s="32" t="s">
        <v>9</v>
      </c>
      <c r="AM5" s="32" t="s">
        <v>10</v>
      </c>
      <c r="AN5" s="32" t="s">
        <v>9</v>
      </c>
      <c r="AO5" s="32" t="s">
        <v>10</v>
      </c>
      <c r="AP5" s="31"/>
      <c r="AQ5" s="31"/>
      <c r="AR5" s="32" t="s">
        <v>9</v>
      </c>
      <c r="AS5" s="32" t="s">
        <v>10</v>
      </c>
      <c r="AT5" s="32" t="s">
        <v>9</v>
      </c>
      <c r="AU5" s="32" t="s">
        <v>10</v>
      </c>
      <c r="AV5" s="32" t="s">
        <v>9</v>
      </c>
      <c r="AW5" s="32" t="s">
        <v>10</v>
      </c>
      <c r="AX5" s="32" t="s">
        <v>9</v>
      </c>
      <c r="AY5" s="32" t="s">
        <v>10</v>
      </c>
      <c r="AZ5" s="32" t="s">
        <v>9</v>
      </c>
      <c r="BA5" s="32" t="s">
        <v>10</v>
      </c>
      <c r="BB5" s="32" t="s">
        <v>9</v>
      </c>
      <c r="BC5" s="32" t="s">
        <v>10</v>
      </c>
      <c r="BD5" s="32" t="s">
        <v>9</v>
      </c>
      <c r="BE5" s="32" t="s">
        <v>10</v>
      </c>
      <c r="DG5" s="6" t="b">
        <f>L10=""</f>
        <v>1</v>
      </c>
    </row>
    <row r="6" spans="2:551" x14ac:dyDescent="0.3">
      <c r="B6" s="11"/>
      <c r="C6" s="1" t="s">
        <v>24</v>
      </c>
      <c r="D6" s="34" t="s">
        <v>93</v>
      </c>
      <c r="G6" s="12"/>
      <c r="J6" s="35"/>
      <c r="K6" s="31"/>
      <c r="L6" s="32">
        <v>1</v>
      </c>
      <c r="M6" s="32">
        <v>1</v>
      </c>
      <c r="N6" s="32">
        <v>2</v>
      </c>
      <c r="O6" s="32">
        <v>2</v>
      </c>
      <c r="P6" s="32">
        <v>3</v>
      </c>
      <c r="Q6" s="32">
        <v>3</v>
      </c>
      <c r="R6" s="32">
        <v>4</v>
      </c>
      <c r="S6" s="32">
        <v>4</v>
      </c>
      <c r="T6" s="32">
        <v>5</v>
      </c>
      <c r="U6" s="32">
        <v>5</v>
      </c>
      <c r="V6" s="32">
        <v>6</v>
      </c>
      <c r="W6" s="32">
        <v>6</v>
      </c>
      <c r="X6" s="32">
        <v>7</v>
      </c>
      <c r="Y6" s="32">
        <v>7</v>
      </c>
      <c r="Z6" s="31"/>
      <c r="AA6" s="31"/>
      <c r="AB6" s="32">
        <v>1</v>
      </c>
      <c r="AC6" s="32">
        <v>1</v>
      </c>
      <c r="AD6" s="32">
        <v>2</v>
      </c>
      <c r="AE6" s="32">
        <v>2</v>
      </c>
      <c r="AF6" s="32">
        <v>3</v>
      </c>
      <c r="AG6" s="32">
        <v>3</v>
      </c>
      <c r="AH6" s="32">
        <v>4</v>
      </c>
      <c r="AI6" s="32">
        <v>4</v>
      </c>
      <c r="AJ6" s="32">
        <v>5</v>
      </c>
      <c r="AK6" s="32">
        <v>5</v>
      </c>
      <c r="AL6" s="32">
        <v>6</v>
      </c>
      <c r="AM6" s="32">
        <v>6</v>
      </c>
      <c r="AN6" s="32">
        <v>7</v>
      </c>
      <c r="AO6" s="32">
        <v>7</v>
      </c>
      <c r="AP6" s="31"/>
      <c r="AQ6" s="31"/>
      <c r="AR6" s="32">
        <v>1</v>
      </c>
      <c r="AS6" s="32">
        <v>1</v>
      </c>
      <c r="AT6" s="32">
        <v>2</v>
      </c>
      <c r="AU6" s="32">
        <v>2</v>
      </c>
      <c r="AV6" s="32">
        <v>3</v>
      </c>
      <c r="AW6" s="32">
        <v>3</v>
      </c>
      <c r="AX6" s="32">
        <v>4</v>
      </c>
      <c r="AY6" s="32">
        <v>4</v>
      </c>
      <c r="AZ6" s="32">
        <v>5</v>
      </c>
      <c r="BA6" s="32">
        <v>5</v>
      </c>
      <c r="BB6" s="32">
        <v>6</v>
      </c>
      <c r="BC6" s="32">
        <v>6</v>
      </c>
      <c r="BD6" s="32">
        <v>7</v>
      </c>
      <c r="BE6" s="32">
        <v>7</v>
      </c>
      <c r="DG6" s="6" t="b">
        <f>ISBLANK(L10)</f>
        <v>0</v>
      </c>
    </row>
    <row r="7" spans="2:551" ht="15" thickBot="1" x14ac:dyDescent="0.35">
      <c r="B7" s="11"/>
      <c r="C7" s="1" t="s">
        <v>25</v>
      </c>
      <c r="D7" s="34" t="s">
        <v>94</v>
      </c>
      <c r="G7" s="12"/>
      <c r="K7" s="31"/>
      <c r="L7" s="31">
        <v>1</v>
      </c>
      <c r="M7" s="31">
        <v>2</v>
      </c>
      <c r="N7" s="31">
        <v>1</v>
      </c>
      <c r="O7" s="31">
        <v>2</v>
      </c>
      <c r="P7" s="31">
        <v>1</v>
      </c>
      <c r="Q7" s="31">
        <v>2</v>
      </c>
      <c r="R7" s="31">
        <v>1</v>
      </c>
      <c r="S7" s="31">
        <v>2</v>
      </c>
      <c r="T7" s="31">
        <v>1</v>
      </c>
      <c r="U7" s="31">
        <v>2</v>
      </c>
      <c r="V7" s="31">
        <v>1</v>
      </c>
      <c r="W7" s="31">
        <v>2</v>
      </c>
      <c r="X7" s="31">
        <v>1</v>
      </c>
      <c r="Y7" s="31">
        <v>2</v>
      </c>
      <c r="Z7" s="31"/>
      <c r="AA7" s="31"/>
      <c r="AB7" s="31">
        <v>1</v>
      </c>
      <c r="AC7" s="31">
        <v>2</v>
      </c>
      <c r="AD7" s="31">
        <v>1</v>
      </c>
      <c r="AE7" s="31">
        <v>2</v>
      </c>
      <c r="AF7" s="31">
        <v>1</v>
      </c>
      <c r="AG7" s="31">
        <v>2</v>
      </c>
      <c r="AH7" s="31">
        <v>1</v>
      </c>
      <c r="AI7" s="31">
        <v>2</v>
      </c>
      <c r="AJ7" s="31">
        <v>1</v>
      </c>
      <c r="AK7" s="31">
        <v>2</v>
      </c>
      <c r="AL7" s="31">
        <v>1</v>
      </c>
      <c r="AM7" s="31">
        <v>2</v>
      </c>
      <c r="AN7" s="31">
        <v>1</v>
      </c>
      <c r="AO7" s="31">
        <v>2</v>
      </c>
      <c r="AP7" s="31"/>
      <c r="AQ7" s="31"/>
      <c r="AR7" s="31">
        <v>1</v>
      </c>
      <c r="AS7" s="31">
        <v>2</v>
      </c>
      <c r="AT7" s="31">
        <v>1</v>
      </c>
      <c r="AU7" s="31">
        <v>2</v>
      </c>
      <c r="AV7" s="31">
        <v>1</v>
      </c>
      <c r="AW7" s="31">
        <v>2</v>
      </c>
      <c r="AX7" s="31">
        <v>1</v>
      </c>
      <c r="AY7" s="31">
        <v>2</v>
      </c>
      <c r="AZ7" s="31">
        <v>1</v>
      </c>
      <c r="BA7" s="31">
        <v>2</v>
      </c>
      <c r="BB7" s="31">
        <v>1</v>
      </c>
      <c r="BC7" s="31">
        <v>2</v>
      </c>
      <c r="BD7" s="31">
        <v>1</v>
      </c>
      <c r="BE7" s="31">
        <v>2</v>
      </c>
    </row>
    <row r="8" spans="2:551" ht="18" x14ac:dyDescent="0.35">
      <c r="B8" s="11"/>
      <c r="C8" s="5"/>
      <c r="D8"/>
      <c r="G8" s="12"/>
      <c r="J8" s="36"/>
      <c r="K8" s="31">
        <v>1</v>
      </c>
      <c r="L8" s="94" t="str">
        <f>TEXT(DATE($K$2,K8,1),"mmmm")</f>
        <v>janvier</v>
      </c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31"/>
      <c r="AA8" s="31">
        <v>2</v>
      </c>
      <c r="AB8" s="94" t="str">
        <f>TEXT(DATE($K$2,AA8,1),"mmmm")</f>
        <v>février</v>
      </c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42"/>
      <c r="AQ8" s="31">
        <v>3</v>
      </c>
      <c r="AR8" s="94" t="str">
        <f>TEXT(DATE($K$2,AQ8,1),"mmmm")</f>
        <v>mars</v>
      </c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31"/>
      <c r="BG8" s="31"/>
      <c r="BJ8" s="42">
        <v>1</v>
      </c>
      <c r="BK8" s="6" t="s">
        <v>49</v>
      </c>
      <c r="BZ8" s="6">
        <v>2</v>
      </c>
      <c r="CA8" s="6" t="s">
        <v>50</v>
      </c>
      <c r="CP8" s="6">
        <v>3</v>
      </c>
      <c r="CQ8" s="6" t="s">
        <v>51</v>
      </c>
      <c r="DG8" s="42">
        <v>1</v>
      </c>
      <c r="DH8" s="6" t="s">
        <v>49</v>
      </c>
      <c r="DW8" s="6">
        <v>2</v>
      </c>
      <c r="DX8" s="6" t="s">
        <v>50</v>
      </c>
      <c r="EM8" s="6">
        <v>3</v>
      </c>
      <c r="EN8" s="6" t="s">
        <v>51</v>
      </c>
      <c r="FE8" s="8" t="s">
        <v>49</v>
      </c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>
        <v>2</v>
      </c>
      <c r="FU8" s="9" t="s">
        <v>50</v>
      </c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>
        <v>3</v>
      </c>
      <c r="GK8" s="9" t="s">
        <v>51</v>
      </c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10"/>
      <c r="HB8" s="8" t="s">
        <v>49</v>
      </c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>
        <v>2</v>
      </c>
      <c r="HR8" s="9" t="s">
        <v>50</v>
      </c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>
        <v>3</v>
      </c>
      <c r="IH8" s="9" t="s">
        <v>51</v>
      </c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10"/>
      <c r="IY8" s="8" t="s">
        <v>49</v>
      </c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>
        <v>2</v>
      </c>
      <c r="JO8" s="9" t="s">
        <v>50</v>
      </c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>
        <v>3</v>
      </c>
      <c r="KE8" s="9" t="s">
        <v>51</v>
      </c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10"/>
      <c r="KV8" s="8" t="s">
        <v>49</v>
      </c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>
        <v>2</v>
      </c>
      <c r="LL8" s="9" t="s">
        <v>50</v>
      </c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>
        <v>3</v>
      </c>
      <c r="MB8" s="9" t="s">
        <v>51</v>
      </c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10"/>
      <c r="MS8" s="8" t="s">
        <v>49</v>
      </c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>
        <v>2</v>
      </c>
      <c r="NI8" s="9" t="s">
        <v>50</v>
      </c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>
        <v>3</v>
      </c>
      <c r="NY8" s="9" t="s">
        <v>51</v>
      </c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10"/>
      <c r="OP8" s="8" t="s">
        <v>49</v>
      </c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>
        <v>2</v>
      </c>
      <c r="PF8" s="9" t="s">
        <v>50</v>
      </c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>
        <v>3</v>
      </c>
      <c r="PV8" s="9" t="s">
        <v>51</v>
      </c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10"/>
      <c r="QN8" s="8" t="s">
        <v>49</v>
      </c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>
        <v>2</v>
      </c>
      <c r="RD8" s="9" t="s">
        <v>50</v>
      </c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>
        <v>3</v>
      </c>
      <c r="RT8" s="9" t="s">
        <v>51</v>
      </c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10"/>
      <c r="SL8" s="8" t="s">
        <v>49</v>
      </c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>
        <v>2</v>
      </c>
      <c r="TB8" s="9" t="s">
        <v>50</v>
      </c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>
        <v>3</v>
      </c>
      <c r="TR8" s="9" t="s">
        <v>51</v>
      </c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10"/>
    </row>
    <row r="9" spans="2:551" ht="15" thickBot="1" x14ac:dyDescent="0.35">
      <c r="B9" s="11"/>
      <c r="C9" s="1" t="s">
        <v>20</v>
      </c>
      <c r="D9" s="40">
        <v>80</v>
      </c>
      <c r="G9" s="12"/>
      <c r="J9" s="37"/>
      <c r="K9" s="31">
        <f>WEEKDAY(DATE($K$2,K8,1),Parameters!$A$2)</f>
        <v>4</v>
      </c>
      <c r="L9" s="17" t="str">
        <f>TEXT(2,"jjj")</f>
        <v>lun</v>
      </c>
      <c r="M9" s="18"/>
      <c r="N9" s="18" t="str">
        <f>TEXT(3,"jjj")</f>
        <v>mar</v>
      </c>
      <c r="O9" s="18"/>
      <c r="P9" s="18" t="str">
        <f>TEXT(4,"jjj")</f>
        <v>mer</v>
      </c>
      <c r="Q9" s="18"/>
      <c r="R9" s="18" t="str">
        <f>TEXT(5,"jjj")</f>
        <v>jeu</v>
      </c>
      <c r="S9" s="18"/>
      <c r="T9" s="18" t="str">
        <f>TEXT(6,"jjj")</f>
        <v>ven</v>
      </c>
      <c r="U9" s="18"/>
      <c r="V9" s="18" t="str">
        <f>TEXT(7,"jjj")</f>
        <v>sam</v>
      </c>
      <c r="W9" s="18"/>
      <c r="X9" s="18" t="str">
        <f>TEXT(8,"jjj")</f>
        <v>dim</v>
      </c>
      <c r="Y9" s="24"/>
      <c r="Z9" s="33">
        <f>DAY(DATE($K$2,K8+1,1)-1)</f>
        <v>31</v>
      </c>
      <c r="AA9" s="31">
        <f>WEEKDAY(DATE($K$2,AA8,1),Parameters!$A$2)</f>
        <v>7</v>
      </c>
      <c r="AB9" s="17" t="str">
        <f>TEXT(2,"jjj")</f>
        <v>lun</v>
      </c>
      <c r="AC9" s="18"/>
      <c r="AD9" s="19" t="str">
        <f>TEXT(3,"jjj")</f>
        <v>mar</v>
      </c>
      <c r="AE9" s="19"/>
      <c r="AF9" s="19" t="str">
        <f>TEXT(4,"jjj")</f>
        <v>mer</v>
      </c>
      <c r="AG9" s="19"/>
      <c r="AH9" s="19" t="str">
        <f>TEXT(5,"jjj")</f>
        <v>jeu</v>
      </c>
      <c r="AI9" s="19"/>
      <c r="AJ9" s="19" t="str">
        <f>TEXT(6,"jjj")</f>
        <v>ven</v>
      </c>
      <c r="AK9" s="19"/>
      <c r="AL9" s="19" t="str">
        <f>TEXT(7,"jjj")</f>
        <v>sam</v>
      </c>
      <c r="AM9" s="19"/>
      <c r="AN9" s="20" t="str">
        <f>TEXT(8,"jjj")</f>
        <v>dim</v>
      </c>
      <c r="AO9" s="20"/>
      <c r="AP9" s="33">
        <f>DAY(DATE($K$2,AA8+1,1)-1)</f>
        <v>28</v>
      </c>
      <c r="AQ9" s="31">
        <f>WEEKDAY(DATE($K$2,AQ8,1),Parameters!$A$2)</f>
        <v>7</v>
      </c>
      <c r="AR9" s="17" t="str">
        <f>TEXT(2,"jjj")</f>
        <v>lun</v>
      </c>
      <c r="AS9" s="18"/>
      <c r="AT9" s="19" t="str">
        <f>TEXT(3,"jjj")</f>
        <v>mar</v>
      </c>
      <c r="AU9" s="19"/>
      <c r="AV9" s="19" t="str">
        <f>TEXT(4,"jjj")</f>
        <v>mer</v>
      </c>
      <c r="AW9" s="19"/>
      <c r="AX9" s="19" t="str">
        <f>TEXT(5,"jjj")</f>
        <v>jeu</v>
      </c>
      <c r="AY9" s="19"/>
      <c r="AZ9" s="19" t="str">
        <f>TEXT(6,"jjj")</f>
        <v>ven</v>
      </c>
      <c r="BA9" s="19"/>
      <c r="BB9" s="19" t="str">
        <f>TEXT(7,"jjj")</f>
        <v>sam</v>
      </c>
      <c r="BC9" s="19"/>
      <c r="BD9" s="19" t="str">
        <f>TEXT(8,"jjj")</f>
        <v>dim</v>
      </c>
      <c r="BE9" s="20"/>
      <c r="BF9" s="33">
        <f>DAY(DATE($K$2,AQ8+1,1)-1)</f>
        <v>31</v>
      </c>
      <c r="BG9" s="33"/>
      <c r="BJ9" s="42">
        <v>6</v>
      </c>
      <c r="BK9" s="6" t="s">
        <v>52</v>
      </c>
      <c r="BM9" s="6" t="s">
        <v>53</v>
      </c>
      <c r="BO9" s="6" t="s">
        <v>54</v>
      </c>
      <c r="BQ9" s="6" t="s">
        <v>55</v>
      </c>
      <c r="BS9" s="6" t="s">
        <v>56</v>
      </c>
      <c r="BU9" s="6" t="s">
        <v>57</v>
      </c>
      <c r="BW9" s="6" t="s">
        <v>58</v>
      </c>
      <c r="BY9" s="6">
        <v>31</v>
      </c>
      <c r="BZ9" s="6">
        <v>2</v>
      </c>
      <c r="CA9" s="6" t="s">
        <v>52</v>
      </c>
      <c r="CC9" s="6" t="s">
        <v>53</v>
      </c>
      <c r="CE9" s="6" t="s">
        <v>54</v>
      </c>
      <c r="CG9" s="6" t="s">
        <v>55</v>
      </c>
      <c r="CI9" s="6" t="s">
        <v>56</v>
      </c>
      <c r="CK9" s="6" t="s">
        <v>57</v>
      </c>
      <c r="CM9" s="6" t="s">
        <v>58</v>
      </c>
      <c r="CO9" s="6">
        <v>28</v>
      </c>
      <c r="CP9" s="6">
        <v>2</v>
      </c>
      <c r="CQ9" s="6" t="s">
        <v>52</v>
      </c>
      <c r="CS9" s="6" t="s">
        <v>53</v>
      </c>
      <c r="CU9" s="6" t="s">
        <v>54</v>
      </c>
      <c r="CW9" s="6" t="s">
        <v>55</v>
      </c>
      <c r="CY9" s="6" t="s">
        <v>56</v>
      </c>
      <c r="DA9" s="6" t="s">
        <v>57</v>
      </c>
      <c r="DC9" s="6" t="s">
        <v>58</v>
      </c>
      <c r="DG9" s="42">
        <v>6</v>
      </c>
      <c r="DH9" s="6" t="s">
        <v>52</v>
      </c>
      <c r="DJ9" s="6" t="s">
        <v>53</v>
      </c>
      <c r="DL9" s="6" t="s">
        <v>54</v>
      </c>
      <c r="DN9" s="6" t="s">
        <v>55</v>
      </c>
      <c r="DP9" s="6" t="s">
        <v>56</v>
      </c>
      <c r="DR9" s="6" t="s">
        <v>57</v>
      </c>
      <c r="DT9" s="6" t="s">
        <v>58</v>
      </c>
      <c r="DV9" s="6">
        <v>31</v>
      </c>
      <c r="DW9" s="6">
        <v>2</v>
      </c>
      <c r="DX9" s="6" t="s">
        <v>52</v>
      </c>
      <c r="DZ9" s="6" t="s">
        <v>53</v>
      </c>
      <c r="EB9" s="6" t="s">
        <v>54</v>
      </c>
      <c r="ED9" s="6" t="s">
        <v>55</v>
      </c>
      <c r="EF9" s="6" t="s">
        <v>56</v>
      </c>
      <c r="EH9" s="6" t="s">
        <v>57</v>
      </c>
      <c r="EJ9" s="6" t="s">
        <v>58</v>
      </c>
      <c r="EL9" s="6">
        <v>28</v>
      </c>
      <c r="EM9" s="6">
        <v>2</v>
      </c>
      <c r="EN9" s="6" t="s">
        <v>52</v>
      </c>
      <c r="EP9" s="6" t="s">
        <v>53</v>
      </c>
      <c r="ER9" s="6" t="s">
        <v>54</v>
      </c>
      <c r="ET9" s="6" t="s">
        <v>55</v>
      </c>
      <c r="EV9" s="6" t="s">
        <v>56</v>
      </c>
      <c r="EX9" s="6" t="s">
        <v>57</v>
      </c>
      <c r="EZ9" s="6" t="s">
        <v>58</v>
      </c>
      <c r="FE9" s="11" t="s">
        <v>52</v>
      </c>
      <c r="FG9" s="6" t="s">
        <v>53</v>
      </c>
      <c r="FI9" s="6" t="s">
        <v>54</v>
      </c>
      <c r="FK9" s="6" t="s">
        <v>55</v>
      </c>
      <c r="FM9" s="6" t="s">
        <v>56</v>
      </c>
      <c r="FO9" s="6" t="s">
        <v>57</v>
      </c>
      <c r="FQ9" s="6" t="s">
        <v>58</v>
      </c>
      <c r="FS9" s="6">
        <v>31</v>
      </c>
      <c r="FT9" s="6">
        <v>2</v>
      </c>
      <c r="FU9" s="6" t="s">
        <v>52</v>
      </c>
      <c r="FW9" s="6" t="s">
        <v>53</v>
      </c>
      <c r="FY9" s="6" t="s">
        <v>54</v>
      </c>
      <c r="GA9" s="6" t="s">
        <v>55</v>
      </c>
      <c r="GC9" s="6" t="s">
        <v>56</v>
      </c>
      <c r="GE9" s="6" t="s">
        <v>57</v>
      </c>
      <c r="GG9" s="6" t="s">
        <v>58</v>
      </c>
      <c r="GI9" s="6">
        <v>28</v>
      </c>
      <c r="GJ9" s="6">
        <v>2</v>
      </c>
      <c r="GK9" s="6" t="s">
        <v>52</v>
      </c>
      <c r="GM9" s="6" t="s">
        <v>53</v>
      </c>
      <c r="GO9" s="6" t="s">
        <v>54</v>
      </c>
      <c r="GQ9" s="6" t="s">
        <v>55</v>
      </c>
      <c r="GS9" s="6" t="s">
        <v>56</v>
      </c>
      <c r="GU9" s="6" t="s">
        <v>57</v>
      </c>
      <c r="GW9" s="12" t="s">
        <v>58</v>
      </c>
      <c r="HB9" s="11" t="s">
        <v>52</v>
      </c>
      <c r="HD9" s="6" t="s">
        <v>53</v>
      </c>
      <c r="HF9" s="6" t="s">
        <v>54</v>
      </c>
      <c r="HH9" s="6" t="s">
        <v>55</v>
      </c>
      <c r="HJ9" s="6" t="s">
        <v>56</v>
      </c>
      <c r="HL9" s="6" t="s">
        <v>57</v>
      </c>
      <c r="HN9" s="6" t="s">
        <v>58</v>
      </c>
      <c r="HP9" s="6">
        <v>31</v>
      </c>
      <c r="HQ9" s="6">
        <v>2</v>
      </c>
      <c r="HR9" s="6" t="s">
        <v>52</v>
      </c>
      <c r="HT9" s="6" t="s">
        <v>53</v>
      </c>
      <c r="HV9" s="6" t="s">
        <v>54</v>
      </c>
      <c r="HX9" s="6" t="s">
        <v>55</v>
      </c>
      <c r="HZ9" s="6" t="s">
        <v>56</v>
      </c>
      <c r="IB9" s="6" t="s">
        <v>57</v>
      </c>
      <c r="ID9" s="6" t="s">
        <v>58</v>
      </c>
      <c r="IF9" s="6">
        <v>28</v>
      </c>
      <c r="IG9" s="6">
        <v>2</v>
      </c>
      <c r="IH9" s="6" t="s">
        <v>52</v>
      </c>
      <c r="IJ9" s="6" t="s">
        <v>53</v>
      </c>
      <c r="IL9" s="6" t="s">
        <v>54</v>
      </c>
      <c r="IN9" s="6" t="s">
        <v>55</v>
      </c>
      <c r="IP9" s="6" t="s">
        <v>56</v>
      </c>
      <c r="IR9" s="6" t="s">
        <v>57</v>
      </c>
      <c r="IT9" s="12" t="s">
        <v>58</v>
      </c>
      <c r="IY9" s="11" t="s">
        <v>52</v>
      </c>
      <c r="JA9" s="6" t="s">
        <v>53</v>
      </c>
      <c r="JC9" s="6" t="s">
        <v>54</v>
      </c>
      <c r="JE9" s="6" t="s">
        <v>55</v>
      </c>
      <c r="JG9" s="6" t="s">
        <v>56</v>
      </c>
      <c r="JI9" s="6" t="s">
        <v>57</v>
      </c>
      <c r="JK9" s="6" t="s">
        <v>58</v>
      </c>
      <c r="JM9" s="6">
        <v>31</v>
      </c>
      <c r="JN9" s="6">
        <v>2</v>
      </c>
      <c r="JO9" s="6" t="s">
        <v>52</v>
      </c>
      <c r="JQ9" s="6" t="s">
        <v>53</v>
      </c>
      <c r="JS9" s="6" t="s">
        <v>54</v>
      </c>
      <c r="JU9" s="6" t="s">
        <v>55</v>
      </c>
      <c r="JW9" s="6" t="s">
        <v>56</v>
      </c>
      <c r="JY9" s="6" t="s">
        <v>57</v>
      </c>
      <c r="KA9" s="6" t="s">
        <v>58</v>
      </c>
      <c r="KC9" s="6">
        <v>28</v>
      </c>
      <c r="KD9" s="6">
        <v>2</v>
      </c>
      <c r="KE9" s="6" t="s">
        <v>52</v>
      </c>
      <c r="KG9" s="6" t="s">
        <v>53</v>
      </c>
      <c r="KI9" s="6" t="s">
        <v>54</v>
      </c>
      <c r="KK9" s="6" t="s">
        <v>55</v>
      </c>
      <c r="KM9" s="6" t="s">
        <v>56</v>
      </c>
      <c r="KO9" s="6" t="s">
        <v>57</v>
      </c>
      <c r="KQ9" s="12" t="s">
        <v>58</v>
      </c>
      <c r="KV9" s="11" t="s">
        <v>52</v>
      </c>
      <c r="KX9" s="6" t="s">
        <v>53</v>
      </c>
      <c r="KZ9" s="6" t="s">
        <v>54</v>
      </c>
      <c r="LB9" s="6" t="s">
        <v>55</v>
      </c>
      <c r="LD9" s="6" t="s">
        <v>56</v>
      </c>
      <c r="LF9" s="6" t="s">
        <v>57</v>
      </c>
      <c r="LH9" s="6" t="s">
        <v>58</v>
      </c>
      <c r="LJ9" s="6">
        <v>31</v>
      </c>
      <c r="LK9" s="6">
        <v>2</v>
      </c>
      <c r="LL9" s="6" t="s">
        <v>52</v>
      </c>
      <c r="LN9" s="6" t="s">
        <v>53</v>
      </c>
      <c r="LP9" s="6" t="s">
        <v>54</v>
      </c>
      <c r="LR9" s="6" t="s">
        <v>55</v>
      </c>
      <c r="LT9" s="6" t="s">
        <v>56</v>
      </c>
      <c r="LV9" s="6" t="s">
        <v>57</v>
      </c>
      <c r="LX9" s="6" t="s">
        <v>58</v>
      </c>
      <c r="LZ9" s="6">
        <v>28</v>
      </c>
      <c r="MA9" s="6">
        <v>2</v>
      </c>
      <c r="MB9" s="6" t="s">
        <v>52</v>
      </c>
      <c r="MD9" s="6" t="s">
        <v>53</v>
      </c>
      <c r="MF9" s="6" t="s">
        <v>54</v>
      </c>
      <c r="MH9" s="6" t="s">
        <v>55</v>
      </c>
      <c r="MJ9" s="6" t="s">
        <v>56</v>
      </c>
      <c r="ML9" s="6" t="s">
        <v>57</v>
      </c>
      <c r="MN9" s="12" t="s">
        <v>58</v>
      </c>
      <c r="MS9" s="11" t="s">
        <v>52</v>
      </c>
      <c r="MU9" s="6" t="s">
        <v>53</v>
      </c>
      <c r="MW9" s="6" t="s">
        <v>54</v>
      </c>
      <c r="MY9" s="6" t="s">
        <v>55</v>
      </c>
      <c r="NA9" s="6" t="s">
        <v>56</v>
      </c>
      <c r="NC9" s="6" t="s">
        <v>57</v>
      </c>
      <c r="NE9" s="6" t="s">
        <v>58</v>
      </c>
      <c r="NG9" s="6">
        <v>31</v>
      </c>
      <c r="NH9" s="6">
        <v>2</v>
      </c>
      <c r="NI9" s="6" t="s">
        <v>52</v>
      </c>
      <c r="NK9" s="6" t="s">
        <v>53</v>
      </c>
      <c r="NM9" s="6" t="s">
        <v>54</v>
      </c>
      <c r="NO9" s="6" t="s">
        <v>55</v>
      </c>
      <c r="NQ9" s="6" t="s">
        <v>56</v>
      </c>
      <c r="NS9" s="6" t="s">
        <v>57</v>
      </c>
      <c r="NU9" s="6" t="s">
        <v>58</v>
      </c>
      <c r="NW9" s="6">
        <v>28</v>
      </c>
      <c r="NX9" s="6">
        <v>2</v>
      </c>
      <c r="NY9" s="6" t="s">
        <v>52</v>
      </c>
      <c r="OA9" s="6" t="s">
        <v>53</v>
      </c>
      <c r="OC9" s="6" t="s">
        <v>54</v>
      </c>
      <c r="OE9" s="6" t="s">
        <v>55</v>
      </c>
      <c r="OG9" s="6" t="s">
        <v>56</v>
      </c>
      <c r="OI9" s="6" t="s">
        <v>57</v>
      </c>
      <c r="OK9" s="12" t="s">
        <v>58</v>
      </c>
      <c r="OP9" s="11" t="s">
        <v>52</v>
      </c>
      <c r="OR9" s="6" t="s">
        <v>53</v>
      </c>
      <c r="OT9" s="6" t="s">
        <v>54</v>
      </c>
      <c r="OV9" s="6" t="s">
        <v>55</v>
      </c>
      <c r="OX9" s="6" t="s">
        <v>56</v>
      </c>
      <c r="OZ9" s="6" t="s">
        <v>57</v>
      </c>
      <c r="PB9" s="6" t="s">
        <v>58</v>
      </c>
      <c r="PD9" s="6">
        <v>31</v>
      </c>
      <c r="PE9" s="6">
        <v>2</v>
      </c>
      <c r="PF9" s="6" t="s">
        <v>52</v>
      </c>
      <c r="PH9" s="6" t="s">
        <v>53</v>
      </c>
      <c r="PJ9" s="6" t="s">
        <v>54</v>
      </c>
      <c r="PL9" s="6" t="s">
        <v>55</v>
      </c>
      <c r="PN9" s="6" t="s">
        <v>56</v>
      </c>
      <c r="PP9" s="6" t="s">
        <v>57</v>
      </c>
      <c r="PR9" s="6" t="s">
        <v>58</v>
      </c>
      <c r="PT9" s="6">
        <v>28</v>
      </c>
      <c r="PU9" s="6">
        <v>2</v>
      </c>
      <c r="PV9" s="6" t="s">
        <v>52</v>
      </c>
      <c r="PX9" s="6" t="s">
        <v>53</v>
      </c>
      <c r="PZ9" s="6" t="s">
        <v>54</v>
      </c>
      <c r="QB9" s="6" t="s">
        <v>55</v>
      </c>
      <c r="QD9" s="6" t="s">
        <v>56</v>
      </c>
      <c r="QF9" s="6" t="s">
        <v>57</v>
      </c>
      <c r="QH9" s="12" t="s">
        <v>58</v>
      </c>
      <c r="QN9" s="11" t="s">
        <v>52</v>
      </c>
      <c r="QP9" s="6" t="s">
        <v>53</v>
      </c>
      <c r="QR9" s="6" t="s">
        <v>54</v>
      </c>
      <c r="QT9" s="6" t="s">
        <v>55</v>
      </c>
      <c r="QV9" s="6" t="s">
        <v>56</v>
      </c>
      <c r="QX9" s="6" t="s">
        <v>57</v>
      </c>
      <c r="QZ9" s="6" t="s">
        <v>58</v>
      </c>
      <c r="RB9" s="6">
        <v>31</v>
      </c>
      <c r="RC9" s="6">
        <v>2</v>
      </c>
      <c r="RD9" s="6" t="s">
        <v>52</v>
      </c>
      <c r="RF9" s="6" t="s">
        <v>53</v>
      </c>
      <c r="RH9" s="6" t="s">
        <v>54</v>
      </c>
      <c r="RJ9" s="6" t="s">
        <v>55</v>
      </c>
      <c r="RL9" s="6" t="s">
        <v>56</v>
      </c>
      <c r="RN9" s="6" t="s">
        <v>57</v>
      </c>
      <c r="RP9" s="6" t="s">
        <v>58</v>
      </c>
      <c r="RR9" s="6">
        <v>28</v>
      </c>
      <c r="RS9" s="6">
        <v>2</v>
      </c>
      <c r="RT9" s="6" t="s">
        <v>52</v>
      </c>
      <c r="RV9" s="6" t="s">
        <v>53</v>
      </c>
      <c r="RX9" s="6" t="s">
        <v>54</v>
      </c>
      <c r="RZ9" s="6" t="s">
        <v>55</v>
      </c>
      <c r="SB9" s="6" t="s">
        <v>56</v>
      </c>
      <c r="SD9" s="6" t="s">
        <v>57</v>
      </c>
      <c r="SF9" s="12" t="s">
        <v>58</v>
      </c>
      <c r="SL9" s="11" t="s">
        <v>52</v>
      </c>
      <c r="SN9" s="6" t="s">
        <v>53</v>
      </c>
      <c r="SP9" s="6" t="s">
        <v>54</v>
      </c>
      <c r="SR9" s="6" t="s">
        <v>55</v>
      </c>
      <c r="ST9" s="6" t="s">
        <v>56</v>
      </c>
      <c r="SV9" s="6" t="s">
        <v>57</v>
      </c>
      <c r="SX9" s="6" t="s">
        <v>58</v>
      </c>
      <c r="SZ9" s="6">
        <v>31</v>
      </c>
      <c r="TA9" s="6">
        <v>2</v>
      </c>
      <c r="TB9" s="6" t="s">
        <v>52</v>
      </c>
      <c r="TD9" s="6" t="s">
        <v>53</v>
      </c>
      <c r="TF9" s="6" t="s">
        <v>54</v>
      </c>
      <c r="TH9" s="6" t="s">
        <v>55</v>
      </c>
      <c r="TJ9" s="6" t="s">
        <v>56</v>
      </c>
      <c r="TL9" s="6" t="s">
        <v>57</v>
      </c>
      <c r="TN9" s="6" t="s">
        <v>58</v>
      </c>
      <c r="TP9" s="6">
        <v>28</v>
      </c>
      <c r="TQ9" s="6">
        <v>2</v>
      </c>
      <c r="TR9" s="6" t="s">
        <v>52</v>
      </c>
      <c r="TT9" s="6" t="s">
        <v>53</v>
      </c>
      <c r="TV9" s="6" t="s">
        <v>54</v>
      </c>
      <c r="TX9" s="6" t="s">
        <v>55</v>
      </c>
      <c r="TZ9" s="6" t="s">
        <v>56</v>
      </c>
      <c r="UB9" s="6" t="s">
        <v>57</v>
      </c>
      <c r="UD9" s="12" t="s">
        <v>58</v>
      </c>
    </row>
    <row r="10" spans="2:551" x14ac:dyDescent="0.3">
      <c r="B10" s="11"/>
      <c r="C10" s="1" t="s">
        <v>41</v>
      </c>
      <c r="D10" s="40" t="s">
        <v>43</v>
      </c>
      <c r="G10" s="12"/>
      <c r="K10" s="31"/>
      <c r="L10" s="22" t="str">
        <f>IF($K$9=L$6,1,IF(J10&lt;&gt;"",J10+1,""))</f>
        <v/>
      </c>
      <c r="M10" s="23"/>
      <c r="N10" s="22" t="str">
        <f>IF($K$9=N$6,1,IF(L10&lt;&gt;"",L10+1,""))</f>
        <v/>
      </c>
      <c r="O10" s="23"/>
      <c r="P10" s="22" t="str">
        <f>IF($K$9=P$6,1,IF(N10&lt;&gt;"",N10+1,""))</f>
        <v/>
      </c>
      <c r="Q10" s="23"/>
      <c r="R10" s="22">
        <f>IF($K$9=R$6,1,IF(P10&lt;&gt;"",P10+1,""))</f>
        <v>1</v>
      </c>
      <c r="S10" s="23"/>
      <c r="T10" s="22">
        <f>IF($K$9=T$6,1,IF(R10&lt;&gt;"",R10+1,""))</f>
        <v>2</v>
      </c>
      <c r="U10" s="23"/>
      <c r="V10" s="22">
        <f>IF($K$9=V$6,1,IF(T10&lt;&gt;"",T10+1,""))</f>
        <v>3</v>
      </c>
      <c r="W10" s="23"/>
      <c r="X10" s="22">
        <f>IF($K$9=X$6,1,IF(V10&lt;&gt;"",V10+1,""))</f>
        <v>4</v>
      </c>
      <c r="Y10" s="23"/>
      <c r="Z10" s="31"/>
      <c r="AA10" s="31"/>
      <c r="AB10" s="22" t="str">
        <f>IF($AA$9=AB$6,1,IF(Z10&lt;&gt;"",Z10+1,""))</f>
        <v/>
      </c>
      <c r="AC10" s="23"/>
      <c r="AD10" s="22" t="str">
        <f>IF($AA$9=AD$6,1,IF(AB10&lt;&gt;"",AB10+1,""))</f>
        <v/>
      </c>
      <c r="AE10" s="23"/>
      <c r="AF10" s="22" t="str">
        <f>IF($AA$9=AF$6,1,IF(AD10&lt;&gt;"",AD10+1,""))</f>
        <v/>
      </c>
      <c r="AG10" s="23"/>
      <c r="AH10" s="22" t="str">
        <f>IF($AA$9=AH$6,1,IF(AF10&lt;&gt;"",AF10+1,""))</f>
        <v/>
      </c>
      <c r="AI10" s="23"/>
      <c r="AJ10" s="22" t="str">
        <f>IF($AA$9=AJ$6,1,IF(AH10&lt;&gt;"",AH10+1,""))</f>
        <v/>
      </c>
      <c r="AK10" s="23"/>
      <c r="AL10" s="22" t="str">
        <f>IF($AA$9=AL$6,1,IF(AJ10&lt;&gt;"",AJ10+1,""))</f>
        <v/>
      </c>
      <c r="AM10" s="23"/>
      <c r="AN10" s="22">
        <f>IF($AA$9=AN$6,1,IF(AL10&lt;&gt;"",AL10+1,""))</f>
        <v>1</v>
      </c>
      <c r="AO10" s="23"/>
      <c r="AP10" s="31"/>
      <c r="AQ10" s="31"/>
      <c r="AR10" s="22" t="str">
        <f>IF($AQ$9=AR$6,1,IF(AP10&lt;&gt;"",AP10+1,""))</f>
        <v/>
      </c>
      <c r="AS10" s="23"/>
      <c r="AT10" s="22" t="str">
        <f>IF($AQ$9=AT$6,1,IF(AR10&lt;&gt;"",AR10+1,""))</f>
        <v/>
      </c>
      <c r="AU10" s="23"/>
      <c r="AV10" s="22" t="str">
        <f>IF($AQ$9=AV$6,1,IF(AT10&lt;&gt;"",AT10+1,""))</f>
        <v/>
      </c>
      <c r="AW10" s="23"/>
      <c r="AX10" s="22" t="str">
        <f>IF($AQ$9=AX$6,1,IF(AV10&lt;&gt;"",AV10+1,""))</f>
        <v/>
      </c>
      <c r="AY10" s="23"/>
      <c r="AZ10" s="22" t="str">
        <f>IF($AQ$9=AZ$6,1,IF(AX10&lt;&gt;"",AX10+1,""))</f>
        <v/>
      </c>
      <c r="BA10" s="23"/>
      <c r="BB10" s="22" t="str">
        <f>IF($AQ$9=BB$6,1,IF(AZ10&lt;&gt;"",AZ10+1,""))</f>
        <v/>
      </c>
      <c r="BC10" s="23"/>
      <c r="BD10" s="22">
        <f>IF($AQ$9=BD$6,1,IF(BB10&lt;&gt;"",BB10+1,""))</f>
        <v>1</v>
      </c>
      <c r="BE10" s="23"/>
      <c r="BF10" s="31"/>
      <c r="BG10" s="31"/>
      <c r="BJ10" s="42"/>
      <c r="BK10" s="6">
        <v>1</v>
      </c>
      <c r="BL10" s="6">
        <v>1</v>
      </c>
      <c r="BM10" s="6">
        <v>1</v>
      </c>
      <c r="BN10" s="6">
        <v>1</v>
      </c>
      <c r="BO10" s="6">
        <v>1</v>
      </c>
      <c r="BP10" s="6">
        <v>1</v>
      </c>
      <c r="BQ10" s="6">
        <v>1</v>
      </c>
      <c r="BR10" s="6">
        <v>1</v>
      </c>
      <c r="BS10" s="6">
        <v>1</v>
      </c>
      <c r="BT10" s="6">
        <v>1</v>
      </c>
      <c r="BU10" s="6">
        <v>1</v>
      </c>
      <c r="BV10" s="6">
        <v>1</v>
      </c>
      <c r="BW10" s="6">
        <v>1</v>
      </c>
      <c r="CA10" s="6">
        <v>2</v>
      </c>
      <c r="CB10" s="6">
        <v>2</v>
      </c>
      <c r="CC10" s="6">
        <v>2</v>
      </c>
      <c r="CD10" s="6">
        <v>2</v>
      </c>
      <c r="CE10" s="6">
        <v>2</v>
      </c>
      <c r="CF10" s="6">
        <v>2</v>
      </c>
      <c r="CG10" s="6">
        <v>2</v>
      </c>
      <c r="CH10" s="6">
        <v>2</v>
      </c>
      <c r="CI10" s="6">
        <v>2</v>
      </c>
      <c r="CJ10" s="6">
        <v>2</v>
      </c>
      <c r="CK10" s="6">
        <v>2</v>
      </c>
      <c r="CL10" s="6">
        <v>2</v>
      </c>
      <c r="CM10" s="6">
        <v>2</v>
      </c>
      <c r="CQ10" s="6">
        <v>3</v>
      </c>
      <c r="CR10" s="6">
        <v>3</v>
      </c>
      <c r="CS10" s="6">
        <v>3</v>
      </c>
      <c r="CT10" s="6">
        <v>3</v>
      </c>
      <c r="CU10" s="6">
        <v>3</v>
      </c>
      <c r="CV10" s="6">
        <v>3</v>
      </c>
      <c r="CW10" s="6">
        <v>3</v>
      </c>
      <c r="CX10" s="6">
        <v>3</v>
      </c>
      <c r="CY10" s="6">
        <v>3</v>
      </c>
      <c r="CZ10" s="6">
        <v>3</v>
      </c>
      <c r="DA10" s="6">
        <v>3</v>
      </c>
      <c r="DB10" s="6">
        <v>3</v>
      </c>
      <c r="DC10" s="6">
        <v>3</v>
      </c>
      <c r="DG10" s="42"/>
      <c r="DH10" s="51" t="str">
        <f>IF(L10="","",DATE($K$2,BK10,L10))</f>
        <v/>
      </c>
      <c r="DI10" s="52" t="str">
        <f>DH10</f>
        <v/>
      </c>
      <c r="DJ10" s="52" t="str">
        <f t="shared" ref="DJ10:DJ15" si="0">IF(N10="","",DATE($K$2,BM10,N10))</f>
        <v/>
      </c>
      <c r="DK10" s="52" t="str">
        <f t="shared" ref="DK10" si="1">DJ10</f>
        <v/>
      </c>
      <c r="DL10" s="52" t="str">
        <f t="shared" ref="DL10:DL15" si="2">IF(P10="","",DATE($K$2,BO10,P10))</f>
        <v/>
      </c>
      <c r="DM10" s="52" t="str">
        <f t="shared" ref="DM10" si="3">DL10</f>
        <v/>
      </c>
      <c r="DN10" s="52">
        <f t="shared" ref="DN10:DN15" si="4">IF(R10="","",DATE($K$2,BQ10,R10))</f>
        <v>46023</v>
      </c>
      <c r="DO10" s="52">
        <f t="shared" ref="DO10" si="5">DN10</f>
        <v>46023</v>
      </c>
      <c r="DP10" s="52">
        <f t="shared" ref="DP10:DP15" si="6">IF(T10="","",DATE($K$2,BS10,T10))</f>
        <v>46024</v>
      </c>
      <c r="DQ10" s="52">
        <f t="shared" ref="DQ10" si="7">DP10</f>
        <v>46024</v>
      </c>
      <c r="DR10" s="52">
        <f t="shared" ref="DR10:DR15" si="8">IF(V10="","",DATE($K$2,BU10,V10))</f>
        <v>46025</v>
      </c>
      <c r="DS10" s="52">
        <f t="shared" ref="DS10" si="9">DR10</f>
        <v>46025</v>
      </c>
      <c r="DT10" s="52">
        <f t="shared" ref="DT10:DT15" si="10">IF(X10="","",DATE($K$2,BW10,X10))</f>
        <v>46026</v>
      </c>
      <c r="DU10" s="53">
        <f t="shared" ref="DU10:DU15" si="11">DT10</f>
        <v>46026</v>
      </c>
      <c r="DX10" s="51" t="str">
        <f>IF(AB10="","",DATE($K$2,CA10,AB10))</f>
        <v/>
      </c>
      <c r="DY10" s="52" t="str">
        <f>DX10</f>
        <v/>
      </c>
      <c r="DZ10" s="52" t="str">
        <f t="shared" ref="DZ10:DZ15" si="12">IF(AD10="","",DATE($K$2,CC10,AD10))</f>
        <v/>
      </c>
      <c r="EA10" s="52" t="str">
        <f t="shared" ref="EA10" si="13">DZ10</f>
        <v/>
      </c>
      <c r="EB10" s="52" t="str">
        <f t="shared" ref="EB10:EB15" si="14">IF(AF10="","",DATE($K$2,CE10,AF10))</f>
        <v/>
      </c>
      <c r="EC10" s="52" t="str">
        <f t="shared" ref="EC10" si="15">EB10</f>
        <v/>
      </c>
      <c r="ED10" s="52" t="str">
        <f t="shared" ref="ED10:ED15" si="16">IF(AH10="","",DATE($K$2,CG10,AH10))</f>
        <v/>
      </c>
      <c r="EE10" s="52" t="str">
        <f t="shared" ref="EE10" si="17">ED10</f>
        <v/>
      </c>
      <c r="EF10" s="52" t="str">
        <f t="shared" ref="EF10:EF15" si="18">IF(AJ10="","",DATE($K$2,CI10,AJ10))</f>
        <v/>
      </c>
      <c r="EG10" s="52" t="str">
        <f t="shared" ref="EG10" si="19">EF10</f>
        <v/>
      </c>
      <c r="EH10" s="52" t="str">
        <f t="shared" ref="EH10:EH15" si="20">IF(AL10="","",DATE($K$2,CK10,AL10))</f>
        <v/>
      </c>
      <c r="EI10" s="52" t="str">
        <f t="shared" ref="EI10" si="21">EH10</f>
        <v/>
      </c>
      <c r="EJ10" s="52">
        <f t="shared" ref="EJ10:EJ15" si="22">IF(AN10="","",DATE($K$2,CM10,AN10))</f>
        <v>46054</v>
      </c>
      <c r="EK10" s="53">
        <f t="shared" ref="EK10:EK15" si="23">EJ10</f>
        <v>46054</v>
      </c>
      <c r="EN10" s="51" t="str">
        <f>IF(AR10="","",DATE($K$2,CQ10,AR10))</f>
        <v/>
      </c>
      <c r="EO10" s="52" t="str">
        <f>EN10</f>
        <v/>
      </c>
      <c r="EP10" s="52" t="str">
        <f t="shared" ref="EP10:EP15" si="24">IF(AT10="","",DATE($K$2,CS10,AT10))</f>
        <v/>
      </c>
      <c r="EQ10" s="52" t="str">
        <f t="shared" ref="EQ10" si="25">EP10</f>
        <v/>
      </c>
      <c r="ER10" s="52" t="str">
        <f t="shared" ref="ER10:ER15" si="26">IF(AV10="","",DATE($K$2,CU10,AV10))</f>
        <v/>
      </c>
      <c r="ES10" s="52" t="str">
        <f t="shared" ref="ES10" si="27">ER10</f>
        <v/>
      </c>
      <c r="ET10" s="52" t="str">
        <f t="shared" ref="ET10:ET15" si="28">IF(AX10="","",DATE($K$2,CW10,AX10))</f>
        <v/>
      </c>
      <c r="EU10" s="52" t="str">
        <f t="shared" ref="EU10" si="29">ET10</f>
        <v/>
      </c>
      <c r="EV10" s="52" t="str">
        <f t="shared" ref="EV10:EV15" si="30">IF(AZ10="","",DATE($K$2,CY10,AZ10))</f>
        <v/>
      </c>
      <c r="EW10" s="52" t="str">
        <f t="shared" ref="EW10" si="31">EV10</f>
        <v/>
      </c>
      <c r="EX10" s="52" t="str">
        <f t="shared" ref="EX10:EX15" si="32">IF(BB10="","",DATE($K$2,DA10,BB10))</f>
        <v/>
      </c>
      <c r="EY10" s="52" t="str">
        <f t="shared" ref="EY10" si="33">EX10</f>
        <v/>
      </c>
      <c r="EZ10" s="52">
        <f t="shared" ref="EZ10:EZ15" si="34">IF(BD10="","",DATE($K$2,DC10,BD10))</f>
        <v>46082</v>
      </c>
      <c r="FA10" s="53">
        <f t="shared" ref="FA10:FA15" si="35">EZ10</f>
        <v>46082</v>
      </c>
      <c r="FB10" s="44"/>
      <c r="FE10" s="54">
        <f>COUNTIFS(Parameters!$S:$S,$D$4,Parameters!$Q:$Q,DH10)</f>
        <v>0</v>
      </c>
      <c r="FF10" s="55">
        <f>COUNTIFS(Parameters!$S:$S,$D$4,Parameters!$Q:$Q,DI10)</f>
        <v>0</v>
      </c>
      <c r="FG10" s="55">
        <f>COUNTIFS(Parameters!$S:$S,$D$4,Parameters!$Q:$Q,DJ10)</f>
        <v>0</v>
      </c>
      <c r="FH10" s="55">
        <f>COUNTIFS(Parameters!$S:$S,$D$4,Parameters!$Q:$Q,DK10)</f>
        <v>0</v>
      </c>
      <c r="FI10" s="55">
        <f>COUNTIFS(Parameters!$S:$S,$D$4,Parameters!$Q:$Q,DL10)</f>
        <v>0</v>
      </c>
      <c r="FJ10" s="55">
        <f>COUNTIFS(Parameters!$S:$S,$D$4,Parameters!$Q:$Q,DM10)</f>
        <v>0</v>
      </c>
      <c r="FK10" s="55">
        <f>COUNTIFS(Parameters!$S:$S,$D$4,Parameters!$Q:$Q,DN10)</f>
        <v>1</v>
      </c>
      <c r="FL10" s="55">
        <f>COUNTIFS(Parameters!$S:$S,$D$4,Parameters!$Q:$Q,DO10)</f>
        <v>1</v>
      </c>
      <c r="FM10" s="55">
        <f>COUNTIFS(Parameters!$S:$S,$D$4,Parameters!$Q:$Q,DP10)</f>
        <v>0</v>
      </c>
      <c r="FN10" s="55">
        <f>COUNTIFS(Parameters!$S:$S,$D$4,Parameters!$Q:$Q,DQ10)</f>
        <v>0</v>
      </c>
      <c r="FO10" s="55">
        <f>COUNTIFS(Parameters!$S:$S,$D$4,Parameters!$Q:$Q,DR10)</f>
        <v>0</v>
      </c>
      <c r="FP10" s="55">
        <f>COUNTIFS(Parameters!$S:$S,$D$4,Parameters!$Q:$Q,DS10)</f>
        <v>0</v>
      </c>
      <c r="FQ10" s="55">
        <f>COUNTIFS(Parameters!$S:$S,$D$4,Parameters!$Q:$Q,DT10)</f>
        <v>0</v>
      </c>
      <c r="FR10" s="56">
        <f>COUNTIFS(Parameters!$S:$S,$D$4,Parameters!$Q:$Q,DU10)</f>
        <v>0</v>
      </c>
      <c r="FU10" s="54">
        <f>COUNTIFS(Parameters!$S:$S,$D$4,Parameters!$Q:$Q,DX10)</f>
        <v>0</v>
      </c>
      <c r="FV10" s="55">
        <f>COUNTIFS(Parameters!$S:$S,$D$4,Parameters!$Q:$Q,DY10)</f>
        <v>0</v>
      </c>
      <c r="FW10" s="55">
        <f>COUNTIFS(Parameters!$S:$S,$D$4,Parameters!$Q:$Q,DZ10)</f>
        <v>0</v>
      </c>
      <c r="FX10" s="55">
        <f>COUNTIFS(Parameters!$S:$S,$D$4,Parameters!$Q:$Q,EA10)</f>
        <v>0</v>
      </c>
      <c r="FY10" s="55">
        <f>COUNTIFS(Parameters!$S:$S,$D$4,Parameters!$Q:$Q,EB10)</f>
        <v>0</v>
      </c>
      <c r="FZ10" s="55">
        <f>COUNTIFS(Parameters!$S:$S,$D$4,Parameters!$Q:$Q,EC10)</f>
        <v>0</v>
      </c>
      <c r="GA10" s="55">
        <f>COUNTIFS(Parameters!$S:$S,$D$4,Parameters!$Q:$Q,ED10)</f>
        <v>0</v>
      </c>
      <c r="GB10" s="55">
        <f>COUNTIFS(Parameters!$S:$S,$D$4,Parameters!$Q:$Q,EE10)</f>
        <v>0</v>
      </c>
      <c r="GC10" s="55">
        <f>COUNTIFS(Parameters!$S:$S,$D$4,Parameters!$Q:$Q,EF10)</f>
        <v>0</v>
      </c>
      <c r="GD10" s="55">
        <f>COUNTIFS(Parameters!$S:$S,$D$4,Parameters!$Q:$Q,EG10)</f>
        <v>0</v>
      </c>
      <c r="GE10" s="55">
        <f>COUNTIFS(Parameters!$S:$S,$D$4,Parameters!$Q:$Q,EH10)</f>
        <v>0</v>
      </c>
      <c r="GF10" s="55">
        <f>COUNTIFS(Parameters!$S:$S,$D$4,Parameters!$Q:$Q,EI10)</f>
        <v>0</v>
      </c>
      <c r="GG10" s="55">
        <f>COUNTIFS(Parameters!$S:$S,$D$4,Parameters!$Q:$Q,EJ10)</f>
        <v>0</v>
      </c>
      <c r="GH10" s="56">
        <f>COUNTIFS(Parameters!$S:$S,$D$4,Parameters!$Q:$Q,EK10)</f>
        <v>0</v>
      </c>
      <c r="GK10" s="54">
        <f>COUNTIFS(Parameters!$S:$S,$D$4,Parameters!$Q:$Q,EN10)</f>
        <v>0</v>
      </c>
      <c r="GL10" s="55">
        <f>COUNTIFS(Parameters!$S:$S,$D$4,Parameters!$Q:$Q,EO10)</f>
        <v>0</v>
      </c>
      <c r="GM10" s="55">
        <f>COUNTIFS(Parameters!$S:$S,$D$4,Parameters!$Q:$Q,EP10)</f>
        <v>0</v>
      </c>
      <c r="GN10" s="55">
        <f>COUNTIFS(Parameters!$S:$S,$D$4,Parameters!$Q:$Q,EQ10)</f>
        <v>0</v>
      </c>
      <c r="GO10" s="55">
        <f>COUNTIFS(Parameters!$S:$S,$D$4,Parameters!$Q:$Q,ER10)</f>
        <v>0</v>
      </c>
      <c r="GP10" s="55">
        <f>COUNTIFS(Parameters!$S:$S,$D$4,Parameters!$Q:$Q,ES10)</f>
        <v>0</v>
      </c>
      <c r="GQ10" s="55">
        <f>COUNTIFS(Parameters!$S:$S,$D$4,Parameters!$Q:$Q,ET10)</f>
        <v>0</v>
      </c>
      <c r="GR10" s="55">
        <f>COUNTIFS(Parameters!$S:$S,$D$4,Parameters!$Q:$Q,EU10)</f>
        <v>0</v>
      </c>
      <c r="GS10" s="55">
        <f>COUNTIFS(Parameters!$S:$S,$D$4,Parameters!$Q:$Q,EV10)</f>
        <v>0</v>
      </c>
      <c r="GT10" s="55">
        <f>COUNTIFS(Parameters!$S:$S,$D$4,Parameters!$Q:$Q,EW10)</f>
        <v>0</v>
      </c>
      <c r="GU10" s="55">
        <f>COUNTIFS(Parameters!$S:$S,$D$4,Parameters!$Q:$Q,EX10)</f>
        <v>0</v>
      </c>
      <c r="GV10" s="55">
        <f>COUNTIFS(Parameters!$S:$S,$D$4,Parameters!$Q:$Q,EY10)</f>
        <v>0</v>
      </c>
      <c r="GW10" s="55">
        <f>COUNTIFS(Parameters!$S:$S,$D$4,Parameters!$Q:$Q,EZ10)</f>
        <v>0</v>
      </c>
      <c r="GX10" s="56">
        <f>COUNTIFS(Parameters!$S:$S,$D$4,Parameters!$Q:$Q,FA10)</f>
        <v>0</v>
      </c>
      <c r="HB10" s="54" t="str">
        <f>IF(DH10="","",COUNTIFS($D$25:$D$267,Parameters!$K$2,$E$25:$E$267,Parameters!$M$2,Calendrier!$C$25:$C$267,DH10)+ COUNTIFS($D$25:$D$267,Parameters!$K$3,$E$25:$E$267,Parameters!$M$2,Calendrier!$C$25:$C$267,DH10))</f>
        <v/>
      </c>
      <c r="HC10" s="55" t="str">
        <f>IF(DI10="","",COUNTIFS($D$25:$D$267,Parameters!$K$2,$E$25:$E$267,Parameters!$M$2,Calendrier!$C$25:$C$267,DI10)+ COUNTIFS($D$25:$D$267,Parameters!$K$4,$E$25:$E$267,Parameters!$M$2,Calendrier!$C$25:$C$267,DI10))</f>
        <v/>
      </c>
      <c r="HD10" s="55" t="str">
        <f>IF(DJ10="","",COUNTIFS($D$25:$D$267,Parameters!$K$2,$E$25:$E$267,Parameters!$M$2,Calendrier!$C$25:$C$267,DJ10)+ COUNTIFS($D$25:$D$267,Parameters!$K$3,$E$25:$E$267,Parameters!$M$2,Calendrier!$C$25:$C$267,DJ10))</f>
        <v/>
      </c>
      <c r="HE10" s="55" t="str">
        <f>IF(DK10="","",COUNTIFS($D$25:$D$267,Parameters!$K$2,$E$25:$E$267,Parameters!$M$2,Calendrier!$C$25:$C$267,DK10)+ COUNTIFS($D$25:$D$267,Parameters!$K$4,$E$25:$E$267,Parameters!$M$2,Calendrier!$C$25:$C$267,DK10))</f>
        <v/>
      </c>
      <c r="HF10" s="55" t="str">
        <f>IF(DL10="","",COUNTIFS($D$25:$D$267,Parameters!$K$2,$E$25:$E$267,Parameters!$M$2,Calendrier!$C$25:$C$267,DL10)+ COUNTIFS($D$25:$D$267,Parameters!$K$3,$E$25:$E$267,Parameters!$M$2,Calendrier!$C$25:$C$267,DL10))</f>
        <v/>
      </c>
      <c r="HG10" s="55" t="str">
        <f>IF(DM10="","",COUNTIFS($D$25:$D$267,Parameters!$K$2,$E$25:$E$267,Parameters!$M$2,Calendrier!$C$25:$C$267,DM10)+ COUNTIFS($D$25:$D$267,Parameters!$K$4,$E$25:$E$267,Parameters!$M$2,Calendrier!$C$25:$C$267,DM10))</f>
        <v/>
      </c>
      <c r="HH10" s="55">
        <f>IF(DN10="","",COUNTIFS($D$25:$D$267,Parameters!$K$2,$E$25:$E$267,Parameters!$M$2,Calendrier!$C$25:$C$267,DN10)+ COUNTIFS($D$25:$D$267,Parameters!$K$3,$E$25:$E$267,Parameters!$M$2,Calendrier!$C$25:$C$267,DN10))</f>
        <v>0</v>
      </c>
      <c r="HI10" s="55">
        <f>IF(DO10="","",COUNTIFS($D$25:$D$267,Parameters!$K$2,$E$25:$E$267,Parameters!$M$2,Calendrier!$C$25:$C$267,DO10)+ COUNTIFS($D$25:$D$267,Parameters!$K$4,$E$25:$E$267,Parameters!$M$2,Calendrier!$C$25:$C$267,DO10))</f>
        <v>0</v>
      </c>
      <c r="HJ10" s="55">
        <f>IF(DP10="","",COUNTIFS($D$25:$D$267,Parameters!$K$2,$E$25:$E$267,Parameters!$M$2,Calendrier!$C$25:$C$267,DP10)+ COUNTIFS($D$25:$D$267,Parameters!$K$3,$E$25:$E$267,Parameters!$M$2,Calendrier!$C$25:$C$267,DP10))</f>
        <v>0</v>
      </c>
      <c r="HK10" s="55">
        <f>IF(DQ10="","",COUNTIFS($D$25:$D$267,Parameters!$K$2,$E$25:$E$267,Parameters!$M$2,Calendrier!$C$25:$C$267,DQ10)+ COUNTIFS($D$25:$D$267,Parameters!$K$4,$E$25:$E$267,Parameters!$M$2,Calendrier!$C$25:$C$267,DQ10))</f>
        <v>0</v>
      </c>
      <c r="HL10" s="55">
        <f>IF(DR10="","",COUNTIFS($D$25:$D$267,Parameters!$K$2,$E$25:$E$267,Parameters!$M$2,Calendrier!$C$25:$C$267,DR10)+ COUNTIFS($D$25:$D$267,Parameters!$K$3,$E$25:$E$267,Parameters!$M$2,Calendrier!$C$25:$C$267,DR10))</f>
        <v>0</v>
      </c>
      <c r="HM10" s="55">
        <f>IF(DS10="","",COUNTIFS($D$25:$D$267,Parameters!$K$2,$E$25:$E$267,Parameters!$M$2,Calendrier!$C$25:$C$267,DS10)+ COUNTIFS($D$25:$D$267,Parameters!$K$4,$E$25:$E$267,Parameters!$M$2,Calendrier!$C$25:$C$267,DS10))</f>
        <v>0</v>
      </c>
      <c r="HN10" s="55">
        <f>IF(DT10="","",COUNTIFS($D$25:$D$267,Parameters!$K$2,$E$25:$E$267,Parameters!$M$2,Calendrier!$C$25:$C$267,DT10)+ COUNTIFS($D$25:$D$267,Parameters!$K$3,$E$25:$E$267,Parameters!$M$2,Calendrier!$C$25:$C$267,DT10))</f>
        <v>0</v>
      </c>
      <c r="HO10" s="56">
        <f>IF(DU10="","",COUNTIFS($D$25:$D$267,Parameters!$K$2,$E$25:$E$267,Parameters!$M$2,Calendrier!$C$25:$C$267,DU10)+ COUNTIFS($D$25:$D$267,Parameters!$K$4,$E$25:$E$267,Parameters!$M$2,Calendrier!$C$25:$C$267,DU10))</f>
        <v>0</v>
      </c>
      <c r="HR10" s="54" t="str">
        <f>IF(DX10="","",COUNTIFS($D$25:$D$267,Parameters!$K$2,$E$25:$E$267,Parameters!$M$2,Calendrier!$C$25:$C$267,DX10)+ COUNTIFS($D$25:$D$267,Parameters!$K$3,$E$25:$E$267,Parameters!$M$2,Calendrier!$C$25:$C$267,DX10))</f>
        <v/>
      </c>
      <c r="HS10" s="55" t="str">
        <f>IF(DY10="","",COUNTIFS($D$25:$D$267,Parameters!$K$2,$E$25:$E$267,Parameters!$M$2,Calendrier!$C$25:$C$267,DY10)+ COUNTIFS($D$25:$D$267,Parameters!$K$4,$E$25:$E$267,Parameters!$M$2,Calendrier!$C$25:$C$267,DY10))</f>
        <v/>
      </c>
      <c r="HT10" s="55" t="str">
        <f>IF(DZ10="","",COUNTIFS($D$25:$D$267,Parameters!$K$2,$E$25:$E$267,Parameters!$M$2,Calendrier!$C$25:$C$267,DZ10)+ COUNTIFS($D$25:$D$267,Parameters!$K$3,$E$25:$E$267,Parameters!$M$2,Calendrier!$C$25:$C$267,DZ10))</f>
        <v/>
      </c>
      <c r="HU10" s="55" t="str">
        <f>IF(EA10="","",COUNTIFS($D$25:$D$267,Parameters!$K$2,$E$25:$E$267,Parameters!$M$2,Calendrier!$C$25:$C$267,EA10)+ COUNTIFS($D$25:$D$267,Parameters!$K$4,$E$25:$E$267,Parameters!$M$2,Calendrier!$C$25:$C$267,EA10))</f>
        <v/>
      </c>
      <c r="HV10" s="55" t="str">
        <f>IF(EB10="","",COUNTIFS($D$25:$D$267,Parameters!$K$2,$E$25:$E$267,Parameters!$M$2,Calendrier!$C$25:$C$267,EB10)+ COUNTIFS($D$25:$D$267,Parameters!$K$3,$E$25:$E$267,Parameters!$M$2,Calendrier!$C$25:$C$267,EB10))</f>
        <v/>
      </c>
      <c r="HW10" s="55" t="str">
        <f>IF(EC10="","",COUNTIFS($D$25:$D$267,Parameters!$K$2,$E$25:$E$267,Parameters!$M$2,Calendrier!$C$25:$C$267,EC10)+ COUNTIFS($D$25:$D$267,Parameters!$K$4,$E$25:$E$267,Parameters!$M$2,Calendrier!$C$25:$C$267,EC10))</f>
        <v/>
      </c>
      <c r="HX10" s="55" t="str">
        <f>IF(ED10="","",COUNTIFS($D$25:$D$267,Parameters!$K$2,$E$25:$E$267,Parameters!$M$2,Calendrier!$C$25:$C$267,ED10)+ COUNTIFS($D$25:$D$267,Parameters!$K$3,$E$25:$E$267,Parameters!$M$2,Calendrier!$C$25:$C$267,ED10))</f>
        <v/>
      </c>
      <c r="HY10" s="55" t="str">
        <f>IF(EE10="","",COUNTIFS($D$25:$D$267,Parameters!$K$2,$E$25:$E$267,Parameters!$M$2,Calendrier!$C$25:$C$267,EE10)+ COUNTIFS($D$25:$D$267,Parameters!$K$4,$E$25:$E$267,Parameters!$M$2,Calendrier!$C$25:$C$267,EE10))</f>
        <v/>
      </c>
      <c r="HZ10" s="55" t="str">
        <f>IF(EF10="","",COUNTIFS($D$25:$D$267,Parameters!$K$2,$E$25:$E$267,Parameters!$M$2,Calendrier!$C$25:$C$267,EF10)+ COUNTIFS($D$25:$D$267,Parameters!$K$3,$E$25:$E$267,Parameters!$M$2,Calendrier!$C$25:$C$267,EF10))</f>
        <v/>
      </c>
      <c r="IA10" s="55" t="str">
        <f>IF(EG10="","",COUNTIFS($D$25:$D$267,Parameters!$K$2,$E$25:$E$267,Parameters!$M$2,Calendrier!$C$25:$C$267,EG10)+ COUNTIFS($D$25:$D$267,Parameters!$K$4,$E$25:$E$267,Parameters!$M$2,Calendrier!$C$25:$C$267,EG10))</f>
        <v/>
      </c>
      <c r="IB10" s="55" t="str">
        <f>IF(EH10="","",COUNTIFS($D$25:$D$267,Parameters!$K$2,$E$25:$E$267,Parameters!$M$2,Calendrier!$C$25:$C$267,EH10)+ COUNTIFS($D$25:$D$267,Parameters!$K$3,$E$25:$E$267,Parameters!$M$2,Calendrier!$C$25:$C$267,EH10))</f>
        <v/>
      </c>
      <c r="IC10" s="55" t="str">
        <f>IF(EI10="","",COUNTIFS($D$25:$D$267,Parameters!$K$2,$E$25:$E$267,Parameters!$M$2,Calendrier!$C$25:$C$267,EI10)+ COUNTIFS($D$25:$D$267,Parameters!$K$4,$E$25:$E$267,Parameters!$M$2,Calendrier!$C$25:$C$267,EI10))</f>
        <v/>
      </c>
      <c r="ID10" s="55">
        <f>IF(EJ10="","",COUNTIFS($D$25:$D$267,Parameters!$K$2,$E$25:$E$267,Parameters!$M$2,Calendrier!$C$25:$C$267,EJ10)+ COUNTIFS($D$25:$D$267,Parameters!$K$3,$E$25:$E$267,Parameters!$M$2,Calendrier!$C$25:$C$267,EJ10))</f>
        <v>0</v>
      </c>
      <c r="IE10" s="56">
        <f>IF(EK10="","",COUNTIFS($D$25:$D$267,Parameters!$K$2,$E$25:$E$267,Parameters!$M$2,Calendrier!$C$25:$C$267,EK10)+ COUNTIFS($D$25:$D$267,Parameters!$K$4,$E$25:$E$267,Parameters!$M$2,Calendrier!$C$25:$C$267,EK10))</f>
        <v>0</v>
      </c>
      <c r="IH10" s="54" t="str">
        <f>IF(EN10="","",COUNTIFS($D$25:$D$267,Parameters!$K$2,$E$25:$E$267,Parameters!$M$2,Calendrier!$C$25:$C$267,EN10)+ COUNTIFS($D$25:$D$267,Parameters!$K$3,$E$25:$E$267,Parameters!$M$2,Calendrier!$C$25:$C$267,EN10))</f>
        <v/>
      </c>
      <c r="II10" s="55" t="str">
        <f>IF(EO10="","",COUNTIFS($D$25:$D$267,Parameters!$K$2,$E$25:$E$267,Parameters!$M$2,Calendrier!$C$25:$C$267,EO10)+ COUNTIFS($D$25:$D$267,Parameters!$K$4,$E$25:$E$267,Parameters!$M$2,Calendrier!$C$25:$C$267,EO10))</f>
        <v/>
      </c>
      <c r="IJ10" s="55" t="str">
        <f>IF(EP10="","",COUNTIFS($D$25:$D$267,Parameters!$K$2,$E$25:$E$267,Parameters!$M$2,Calendrier!$C$25:$C$267,EP10)+ COUNTIFS($D$25:$D$267,Parameters!$K$3,$E$25:$E$267,Parameters!$M$2,Calendrier!$C$25:$C$267,EP10))</f>
        <v/>
      </c>
      <c r="IK10" s="55" t="str">
        <f>IF(EQ10="","",COUNTIFS($D$25:$D$267,Parameters!$K$2,$E$25:$E$267,Parameters!$M$2,Calendrier!$C$25:$C$267,EQ10)+ COUNTIFS($D$25:$D$267,Parameters!$K$4,$E$25:$E$267,Parameters!$M$2,Calendrier!$C$25:$C$267,EQ10))</f>
        <v/>
      </c>
      <c r="IL10" s="55" t="str">
        <f>IF(ER10="","",COUNTIFS($D$25:$D$267,Parameters!$K$2,$E$25:$E$267,Parameters!$M$2,Calendrier!$C$25:$C$267,ER10)+ COUNTIFS($D$25:$D$267,Parameters!$K$3,$E$25:$E$267,Parameters!$M$2,Calendrier!$C$25:$C$267,ER10))</f>
        <v/>
      </c>
      <c r="IM10" s="55" t="str">
        <f>IF(ES10="","",COUNTIFS($D$25:$D$267,Parameters!$K$2,$E$25:$E$267,Parameters!$M$2,Calendrier!$C$25:$C$267,ES10)+ COUNTIFS($D$25:$D$267,Parameters!$K$4,$E$25:$E$267,Parameters!$M$2,Calendrier!$C$25:$C$267,ES10))</f>
        <v/>
      </c>
      <c r="IN10" s="55" t="str">
        <f>IF(ET10="","",COUNTIFS($D$25:$D$267,Parameters!$K$2,$E$25:$E$267,Parameters!$M$2,Calendrier!$C$25:$C$267,ET10)+ COUNTIFS($D$25:$D$267,Parameters!$K$3,$E$25:$E$267,Parameters!$M$2,Calendrier!$C$25:$C$267,ET10))</f>
        <v/>
      </c>
      <c r="IO10" s="55" t="str">
        <f>IF(EU10="","",COUNTIFS($D$25:$D$267,Parameters!$K$2,$E$25:$E$267,Parameters!$M$2,Calendrier!$C$25:$C$267,EU10)+ COUNTIFS($D$25:$D$267,Parameters!$K$4,$E$25:$E$267,Parameters!$M$2,Calendrier!$C$25:$C$267,EU10))</f>
        <v/>
      </c>
      <c r="IP10" s="55" t="str">
        <f>IF(EV10="","",COUNTIFS($D$25:$D$267,Parameters!$K$2,$E$25:$E$267,Parameters!$M$2,Calendrier!$C$25:$C$267,EV10)+ COUNTIFS($D$25:$D$267,Parameters!$K$3,$E$25:$E$267,Parameters!$M$2,Calendrier!$C$25:$C$267,EV10))</f>
        <v/>
      </c>
      <c r="IQ10" s="55" t="str">
        <f>IF(EW10="","",COUNTIFS($D$25:$D$267,Parameters!$K$2,$E$25:$E$267,Parameters!$M$2,Calendrier!$C$25:$C$267,EW10)+ COUNTIFS($D$25:$D$267,Parameters!$K$4,$E$25:$E$267,Parameters!$M$2,Calendrier!$C$25:$C$267,EW10))</f>
        <v/>
      </c>
      <c r="IR10" s="55" t="str">
        <f>IF(EX10="","",COUNTIFS($D$25:$D$267,Parameters!$K$2,$E$25:$E$267,Parameters!$M$2,Calendrier!$C$25:$C$267,EX10)+ COUNTIFS($D$25:$D$267,Parameters!$K$3,$E$25:$E$267,Parameters!$M$2,Calendrier!$C$25:$C$267,EX10))</f>
        <v/>
      </c>
      <c r="IS10" s="55" t="str">
        <f>IF(EY10="","",COUNTIFS($D$25:$D$267,Parameters!$K$2,$E$25:$E$267,Parameters!$M$2,Calendrier!$C$25:$C$267,EY10)+ COUNTIFS($D$25:$D$267,Parameters!$K$4,$E$25:$E$267,Parameters!$M$2,Calendrier!$C$25:$C$267,EY10))</f>
        <v/>
      </c>
      <c r="IT10" s="55">
        <f>IF(EZ10="","",COUNTIFS($D$25:$D$267,Parameters!$K$2,$E$25:$E$267,Parameters!$M$2,Calendrier!$C$25:$C$267,EZ10)+ COUNTIFS($D$25:$D$267,Parameters!$K$3,$E$25:$E$267,Parameters!$M$2,Calendrier!$C$25:$C$267,EZ10))</f>
        <v>0</v>
      </c>
      <c r="IU10" s="56">
        <f>IF(FA10="","",COUNTIFS($D$25:$D$267,Parameters!$K$2,$E$25:$E$267,Parameters!$M$2,Calendrier!$C$25:$C$267,FA10)+ COUNTIFS($D$25:$D$267,Parameters!$K$4,$E$25:$E$267,Parameters!$M$2,Calendrier!$C$25:$C$267,FA10))</f>
        <v>0</v>
      </c>
      <c r="IY10" s="54" t="str">
        <f>IF(DH10="","",COUNTIFS($D$25:$D$267,Parameters!$K$2,$E$25:$E$267,Parameters!$M$3,Calendrier!$C$25:$C$267,DH10)+ COUNTIFS($D$25:$D$267,Parameters!$K$3,$E$25:$E$267,Parameters!$M$3,Calendrier!$C$25:$C$267,DH10))</f>
        <v/>
      </c>
      <c r="IZ10" s="55" t="str">
        <f>IF(DI10="","",COUNTIFS($D$25:$D$267,Parameters!$K$2,$E$25:$E$267,Parameters!$M$3,Calendrier!$C$25:$C$267,DI10)+ COUNTIFS($D$25:$D$267,Parameters!$K$4,$E$25:$E$267,Parameters!$M$3,Calendrier!$C$25:$C$267,DI10))</f>
        <v/>
      </c>
      <c r="JA10" s="55" t="str">
        <f>IF(DJ10="","",COUNTIFS($D$25:$D$267,Parameters!$K$2,$E$25:$E$267,Parameters!$M$3,Calendrier!$C$25:$C$267,DJ10)+ COUNTIFS($D$25:$D$267,Parameters!$K$3,$E$25:$E$267,Parameters!$M$3,Calendrier!$C$25:$C$267,DJ10))</f>
        <v/>
      </c>
      <c r="JB10" s="55" t="str">
        <f>IF(DK10="","",COUNTIFS($D$25:$D$267,Parameters!$K$2,$E$25:$E$267,Parameters!$M$3,Calendrier!$C$25:$C$267,DK10)+ COUNTIFS($D$25:$D$267,Parameters!$K$4,$E$25:$E$267,Parameters!$M$3,Calendrier!$C$25:$C$267,DK10))</f>
        <v/>
      </c>
      <c r="JC10" s="55" t="str">
        <f>IF(DL10="","",COUNTIFS($D$25:$D$267,Parameters!$K$2,$E$25:$E$267,Parameters!$M$3,Calendrier!$C$25:$C$267,DL10)+ COUNTIFS($D$25:$D$267,Parameters!$K$3,$E$25:$E$267,Parameters!$M$3,Calendrier!$C$25:$C$267,DL10))</f>
        <v/>
      </c>
      <c r="JD10" s="55" t="str">
        <f>IF(DM10="","",COUNTIFS($D$25:$D$267,Parameters!$K$2,$E$25:$E$267,Parameters!$M$3,Calendrier!$C$25:$C$267,DM10)+ COUNTIFS($D$25:$D$267,Parameters!$K$4,$E$25:$E$267,Parameters!$M$3,Calendrier!$C$25:$C$267,DM10))</f>
        <v/>
      </c>
      <c r="JE10" s="55">
        <f>IF(DN10="","",COUNTIFS($D$25:$D$267,Parameters!$K$2,$E$25:$E$267,Parameters!$M$3,Calendrier!$C$25:$C$267,DN10)+ COUNTIFS($D$25:$D$267,Parameters!$K$3,$E$25:$E$267,Parameters!$M$3,Calendrier!$C$25:$C$267,DN10))</f>
        <v>0</v>
      </c>
      <c r="JF10" s="55">
        <f>IF(DO10="","",COUNTIFS($D$25:$D$267,Parameters!$K$2,$E$25:$E$267,Parameters!$M$3,Calendrier!$C$25:$C$267,DO10)+ COUNTIFS($D$25:$D$267,Parameters!$K$4,$E$25:$E$267,Parameters!$M$3,Calendrier!$C$25:$C$267,DO10))</f>
        <v>0</v>
      </c>
      <c r="JG10" s="55">
        <f>IF(DP10="","",COUNTIFS($D$25:$D$267,Parameters!$K$2,$E$25:$E$267,Parameters!$M$3,Calendrier!$C$25:$C$267,DP10)+ COUNTIFS($D$25:$D$267,Parameters!$K$3,$E$25:$E$267,Parameters!$M$3,Calendrier!$C$25:$C$267,DP10))</f>
        <v>0</v>
      </c>
      <c r="JH10" s="55">
        <f>IF(DQ10="","",COUNTIFS($D$25:$D$267,Parameters!$K$2,$E$25:$E$267,Parameters!$M$3,Calendrier!$C$25:$C$267,DQ10)+ COUNTIFS($D$25:$D$267,Parameters!$K$4,$E$25:$E$267,Parameters!$M$3,Calendrier!$C$25:$C$267,DQ10))</f>
        <v>0</v>
      </c>
      <c r="JI10" s="55">
        <f>IF(DR10="","",COUNTIFS($D$25:$D$267,Parameters!$K$2,$E$25:$E$267,Parameters!$M$3,Calendrier!$C$25:$C$267,DR10)+ COUNTIFS($D$25:$D$267,Parameters!$K$3,$E$25:$E$267,Parameters!$M$3,Calendrier!$C$25:$C$267,DR10))</f>
        <v>0</v>
      </c>
      <c r="JJ10" s="55">
        <f>IF(DS10="","",COUNTIFS($D$25:$D$267,Parameters!$K$2,$E$25:$E$267,Parameters!$M$3,Calendrier!$C$25:$C$267,DS10)+ COUNTIFS($D$25:$D$267,Parameters!$K$4,$E$25:$E$267,Parameters!$M$3,Calendrier!$C$25:$C$267,DS10))</f>
        <v>0</v>
      </c>
      <c r="JK10" s="55">
        <f>IF(DT10="","",COUNTIFS($D$25:$D$267,Parameters!$K$2,$E$25:$E$267,Parameters!$M$3,Calendrier!$C$25:$C$267,DT10)+ COUNTIFS($D$25:$D$267,Parameters!$K$3,$E$25:$E$267,Parameters!$M$3,Calendrier!$C$25:$C$267,DT10))</f>
        <v>0</v>
      </c>
      <c r="JL10" s="56">
        <f>IF(DU10="","",COUNTIFS($D$25:$D$267,Parameters!$K$2,$E$25:$E$267,Parameters!$M$3,Calendrier!$C$25:$C$267,DU10)+ COUNTIFS($D$25:$D$267,Parameters!$K$4,$E$25:$E$267,Parameters!$M$3,Calendrier!$C$25:$C$267,DU10))</f>
        <v>0</v>
      </c>
      <c r="JO10" s="54" t="str">
        <f>IF(DX10="","",COUNTIFS($D$25:$D$267,Parameters!$K$2,$E$25:$E$267,Parameters!$M$3,Calendrier!$C$25:$C$267,DX10)+ COUNTIFS($D$25:$D$267,Parameters!$K$3,$E$25:$E$267,Parameters!$M$3,Calendrier!$C$25:$C$267,DX10))</f>
        <v/>
      </c>
      <c r="JP10" s="55" t="str">
        <f>IF(DY10="","",COUNTIFS($D$25:$D$267,Parameters!$K$2,$E$25:$E$267,Parameters!$M$3,Calendrier!$C$25:$C$267,DY10)+ COUNTIFS($D$25:$D$267,Parameters!$K$4,$E$25:$E$267,Parameters!$M$3,Calendrier!$C$25:$C$267,DY10))</f>
        <v/>
      </c>
      <c r="JQ10" s="55" t="str">
        <f>IF(DZ10="","",COUNTIFS($D$25:$D$267,Parameters!$K$2,$E$25:$E$267,Parameters!$M$3,Calendrier!$C$25:$C$267,DZ10)+ COUNTIFS($D$25:$D$267,Parameters!$K$3,$E$25:$E$267,Parameters!$M$3,Calendrier!$C$25:$C$267,DZ10))</f>
        <v/>
      </c>
      <c r="JR10" s="55" t="str">
        <f>IF(EA10="","",COUNTIFS($D$25:$D$267,Parameters!$K$2,$E$25:$E$267,Parameters!$M$3,Calendrier!$C$25:$C$267,EA10)+ COUNTIFS($D$25:$D$267,Parameters!$K$4,$E$25:$E$267,Parameters!$M$3,Calendrier!$C$25:$C$267,EA10))</f>
        <v/>
      </c>
      <c r="JS10" s="55" t="str">
        <f>IF(EB10="","",COUNTIFS($D$25:$D$267,Parameters!$K$2,$E$25:$E$267,Parameters!$M$3,Calendrier!$C$25:$C$267,EB10)+ COUNTIFS($D$25:$D$267,Parameters!$K$3,$E$25:$E$267,Parameters!$M$3,Calendrier!$C$25:$C$267,EB10))</f>
        <v/>
      </c>
      <c r="JT10" s="55" t="str">
        <f>IF(EC10="","",COUNTIFS($D$25:$D$267,Parameters!$K$2,$E$25:$E$267,Parameters!$M$3,Calendrier!$C$25:$C$267,EC10)+ COUNTIFS($D$25:$D$267,Parameters!$K$4,$E$25:$E$267,Parameters!$M$3,Calendrier!$C$25:$C$267,EC10))</f>
        <v/>
      </c>
      <c r="JU10" s="55" t="str">
        <f>IF(ED10="","",COUNTIFS($D$25:$D$267,Parameters!$K$2,$E$25:$E$267,Parameters!$M$3,Calendrier!$C$25:$C$267,ED10)+ COUNTIFS($D$25:$D$267,Parameters!$K$3,$E$25:$E$267,Parameters!$M$3,Calendrier!$C$25:$C$267,ED10))</f>
        <v/>
      </c>
      <c r="JV10" s="55" t="str">
        <f>IF(EE10="","",COUNTIFS($D$25:$D$267,Parameters!$K$2,$E$25:$E$267,Parameters!$M$3,Calendrier!$C$25:$C$267,EE10)+ COUNTIFS($D$25:$D$267,Parameters!$K$4,$E$25:$E$267,Parameters!$M$3,Calendrier!$C$25:$C$267,EE10))</f>
        <v/>
      </c>
      <c r="JW10" s="55" t="str">
        <f>IF(EF10="","",COUNTIFS($D$25:$D$267,Parameters!$K$2,$E$25:$E$267,Parameters!$M$3,Calendrier!$C$25:$C$267,EF10)+ COUNTIFS($D$25:$D$267,Parameters!$K$3,$E$25:$E$267,Parameters!$M$3,Calendrier!$C$25:$C$267,EF10))</f>
        <v/>
      </c>
      <c r="JX10" s="55" t="str">
        <f>IF(EG10="","",COUNTIFS($D$25:$D$267,Parameters!$K$2,$E$25:$E$267,Parameters!$M$3,Calendrier!$C$25:$C$267,EG10)+ COUNTIFS($D$25:$D$267,Parameters!$K$4,$E$25:$E$267,Parameters!$M$3,Calendrier!$C$25:$C$267,EG10))</f>
        <v/>
      </c>
      <c r="JY10" s="55" t="str">
        <f>IF(EH10="","",COUNTIFS($D$25:$D$267,Parameters!$K$2,$E$25:$E$267,Parameters!$M$3,Calendrier!$C$25:$C$267,EH10)+ COUNTIFS($D$25:$D$267,Parameters!$K$3,$E$25:$E$267,Parameters!$M$3,Calendrier!$C$25:$C$267,EH10))</f>
        <v/>
      </c>
      <c r="JZ10" s="55" t="str">
        <f>IF(EI10="","",COUNTIFS($D$25:$D$267,Parameters!$K$2,$E$25:$E$267,Parameters!$M$3,Calendrier!$C$25:$C$267,EI10)+ COUNTIFS($D$25:$D$267,Parameters!$K$4,$E$25:$E$267,Parameters!$M$3,Calendrier!$C$25:$C$267,EI10))</f>
        <v/>
      </c>
      <c r="KA10" s="55">
        <f>IF(EJ10="","",COUNTIFS($D$25:$D$267,Parameters!$K$2,$E$25:$E$267,Parameters!$M$3,Calendrier!$C$25:$C$267,EJ10)+ COUNTIFS($D$25:$D$267,Parameters!$K$3,$E$25:$E$267,Parameters!$M$3,Calendrier!$C$25:$C$267,EJ10))</f>
        <v>0</v>
      </c>
      <c r="KB10" s="56">
        <f>IF(EK10="","",COUNTIFS($D$25:$D$267,Parameters!$K$2,$E$25:$E$267,Parameters!$M$3,Calendrier!$C$25:$C$267,EK10)+ COUNTIFS($D$25:$D$267,Parameters!$K$4,$E$25:$E$267,Parameters!$M$3,Calendrier!$C$25:$C$267,EK10))</f>
        <v>0</v>
      </c>
      <c r="KE10" s="54" t="str">
        <f>IF(EN10="","",COUNTIFS($D$25:$D$267,Parameters!$K$2,$E$25:$E$267,Parameters!$M$3,Calendrier!$C$25:$C$267,EN10)+ COUNTIFS($D$25:$D$267,Parameters!$K$3,$E$25:$E$267,Parameters!$M$3,Calendrier!$C$25:$C$267,EN10))</f>
        <v/>
      </c>
      <c r="KF10" s="55" t="str">
        <f>IF(EO10="","",COUNTIFS($D$25:$D$267,Parameters!$K$2,$E$25:$E$267,Parameters!$M$3,Calendrier!$C$25:$C$267,EO10)+ COUNTIFS($D$25:$D$267,Parameters!$K$4,$E$25:$E$267,Parameters!$M$3,Calendrier!$C$25:$C$267,EO10))</f>
        <v/>
      </c>
      <c r="KG10" s="55" t="str">
        <f>IF(EP10="","",COUNTIFS($D$25:$D$267,Parameters!$K$2,$E$25:$E$267,Parameters!$M$3,Calendrier!$C$25:$C$267,EP10)+ COUNTIFS($D$25:$D$267,Parameters!$K$3,$E$25:$E$267,Parameters!$M$3,Calendrier!$C$25:$C$267,EP10))</f>
        <v/>
      </c>
      <c r="KH10" s="55" t="str">
        <f>IF(EQ10="","",COUNTIFS($D$25:$D$267,Parameters!$K$2,$E$25:$E$267,Parameters!$M$3,Calendrier!$C$25:$C$267,EQ10)+ COUNTIFS($D$25:$D$267,Parameters!$K$4,$E$25:$E$267,Parameters!$M$3,Calendrier!$C$25:$C$267,EQ10))</f>
        <v/>
      </c>
      <c r="KI10" s="55" t="str">
        <f>IF(ER10="","",COUNTIFS($D$25:$D$267,Parameters!$K$2,$E$25:$E$267,Parameters!$M$3,Calendrier!$C$25:$C$267,ER10)+ COUNTIFS($D$25:$D$267,Parameters!$K$3,$E$25:$E$267,Parameters!$M$3,Calendrier!$C$25:$C$267,ER10))</f>
        <v/>
      </c>
      <c r="KJ10" s="55" t="str">
        <f>IF(ES10="","",COUNTIFS($D$25:$D$267,Parameters!$K$2,$E$25:$E$267,Parameters!$M$3,Calendrier!$C$25:$C$267,ES10)+ COUNTIFS($D$25:$D$267,Parameters!$K$4,$E$25:$E$267,Parameters!$M$3,Calendrier!$C$25:$C$267,ES10))</f>
        <v/>
      </c>
      <c r="KK10" s="55" t="str">
        <f>IF(ET10="","",COUNTIFS($D$25:$D$267,Parameters!$K$2,$E$25:$E$267,Parameters!$M$3,Calendrier!$C$25:$C$267,ET10)+ COUNTIFS($D$25:$D$267,Parameters!$K$3,$E$25:$E$267,Parameters!$M$3,Calendrier!$C$25:$C$267,ET10))</f>
        <v/>
      </c>
      <c r="KL10" s="55" t="str">
        <f>IF(EU10="","",COUNTIFS($D$25:$D$267,Parameters!$K$2,$E$25:$E$267,Parameters!$M$3,Calendrier!$C$25:$C$267,EU10)+ COUNTIFS($D$25:$D$267,Parameters!$K$4,$E$25:$E$267,Parameters!$M$3,Calendrier!$C$25:$C$267,EU10))</f>
        <v/>
      </c>
      <c r="KM10" s="55" t="str">
        <f>IF(EV10="","",COUNTIFS($D$25:$D$267,Parameters!$K$2,$E$25:$E$267,Parameters!$M$3,Calendrier!$C$25:$C$267,EV10)+ COUNTIFS($D$25:$D$267,Parameters!$K$3,$E$25:$E$267,Parameters!$M$3,Calendrier!$C$25:$C$267,EV10))</f>
        <v/>
      </c>
      <c r="KN10" s="55" t="str">
        <f>IF(EW10="","",COUNTIFS($D$25:$D$267,Parameters!$K$2,$E$25:$E$267,Parameters!$M$3,Calendrier!$C$25:$C$267,EW10)+ COUNTIFS($D$25:$D$267,Parameters!$K$4,$E$25:$E$267,Parameters!$M$3,Calendrier!$C$25:$C$267,EW10))</f>
        <v/>
      </c>
      <c r="KO10" s="55" t="str">
        <f>IF(EX10="","",COUNTIFS($D$25:$D$267,Parameters!$K$2,$E$25:$E$267,Parameters!$M$3,Calendrier!$C$25:$C$267,EX10)+ COUNTIFS($D$25:$D$267,Parameters!$K$3,$E$25:$E$267,Parameters!$M$3,Calendrier!$C$25:$C$267,EX10))</f>
        <v/>
      </c>
      <c r="KP10" s="55" t="str">
        <f>IF(EY10="","",COUNTIFS($D$25:$D$267,Parameters!$K$2,$E$25:$E$267,Parameters!$M$3,Calendrier!$C$25:$C$267,EY10)+ COUNTIFS($D$25:$D$267,Parameters!$K$4,$E$25:$E$267,Parameters!$M$3,Calendrier!$C$25:$C$267,EY10))</f>
        <v/>
      </c>
      <c r="KQ10" s="55">
        <f>IF(EZ10="","",COUNTIFS($D$25:$D$267,Parameters!$K$2,$E$25:$E$267,Parameters!$M$3,Calendrier!$C$25:$C$267,EZ10)+ COUNTIFS($D$25:$D$267,Parameters!$K$3,$E$25:$E$267,Parameters!$M$3,Calendrier!$C$25:$C$267,EZ10))</f>
        <v>0</v>
      </c>
      <c r="KR10" s="56">
        <f>IF(FA10="","",COUNTIFS($D$25:$D$267,Parameters!$K$2,$E$25:$E$267,Parameters!$M$3,Calendrier!$C$25:$C$267,FA10)+ COUNTIFS($D$25:$D$267,Parameters!$K$4,$E$25:$E$267,Parameters!$M$3,Calendrier!$C$25:$C$267,FA10))</f>
        <v>0</v>
      </c>
      <c r="KV10" s="54" t="str">
        <f>IF(DH10="","",COUNTIFS($D$25:$D$267,Parameters!$K$2,$E$25:$E$267,Parameters!$M$4,Calendrier!$C$25:$C$267,DH10)+ COUNTIFS($D$25:$D$267,Parameters!$K$3,$E$25:$E$267,Parameters!$M$4,Calendrier!$C$25:$C$267,DH10))</f>
        <v/>
      </c>
      <c r="KW10" s="55" t="str">
        <f>IF(DI10="","",COUNTIFS($D$25:$D$267,Parameters!$K$2,$E$25:$E$267,Parameters!$M$4,Calendrier!$C$25:$C$267,DI10)+ COUNTIFS($D$25:$D$267,Parameters!$K$4,$E$25:$E$267,Parameters!$M$4,Calendrier!$C$25:$C$267,DI10))</f>
        <v/>
      </c>
      <c r="KX10" s="55" t="str">
        <f>IF(DJ10="","",COUNTIFS($D$25:$D$267,Parameters!$K$2,$E$25:$E$267,Parameters!$M$4,Calendrier!$C$25:$C$267,DJ10)+ COUNTIFS($D$25:$D$267,Parameters!$K$3,$E$25:$E$267,Parameters!$M$4,Calendrier!$C$25:$C$267,DJ10))</f>
        <v/>
      </c>
      <c r="KY10" s="55" t="str">
        <f>IF(DK10="","",COUNTIFS($D$25:$D$267,Parameters!$K$2,$E$25:$E$267,Parameters!$M$4,Calendrier!$C$25:$C$267,DK10)+ COUNTIFS($D$25:$D$267,Parameters!$K$4,$E$25:$E$267,Parameters!$M$4,Calendrier!$C$25:$C$267,DK10))</f>
        <v/>
      </c>
      <c r="KZ10" s="55" t="str">
        <f>IF(DL10="","",COUNTIFS($D$25:$D$267,Parameters!$K$2,$E$25:$E$267,Parameters!$M$4,Calendrier!$C$25:$C$267,DL10)+ COUNTIFS($D$25:$D$267,Parameters!$K$3,$E$25:$E$267,Parameters!$M$4,Calendrier!$C$25:$C$267,DL10))</f>
        <v/>
      </c>
      <c r="LA10" s="55" t="str">
        <f>IF(DM10="","",COUNTIFS($D$25:$D$267,Parameters!$K$2,$E$25:$E$267,Parameters!$M$4,Calendrier!$C$25:$C$267,DM10)+ COUNTIFS($D$25:$D$267,Parameters!$K$4,$E$25:$E$267,Parameters!$M$4,Calendrier!$C$25:$C$267,DM10))</f>
        <v/>
      </c>
      <c r="LB10" s="55">
        <f>IF(DN10="","",COUNTIFS($D$25:$D$267,Parameters!$K$2,$E$25:$E$267,Parameters!$M$4,Calendrier!$C$25:$C$267,DN10)+ COUNTIFS($D$25:$D$267,Parameters!$K$3,$E$25:$E$267,Parameters!$M$4,Calendrier!$C$25:$C$267,DN10))</f>
        <v>0</v>
      </c>
      <c r="LC10" s="55">
        <f>IF(DO10="","",COUNTIFS($D$25:$D$267,Parameters!$K$2,$E$25:$E$267,Parameters!$M$4,Calendrier!$C$25:$C$267,DO10)+ COUNTIFS($D$25:$D$267,Parameters!$K$4,$E$25:$E$267,Parameters!$M$4,Calendrier!$C$25:$C$267,DO10))</f>
        <v>0</v>
      </c>
      <c r="LD10" s="55">
        <f>IF(DP10="","",COUNTIFS($D$25:$D$267,Parameters!$K$2,$E$25:$E$267,Parameters!$M$4,Calendrier!$C$25:$C$267,DP10)+ COUNTIFS($D$25:$D$267,Parameters!$K$3,$E$25:$E$267,Parameters!$M$4,Calendrier!$C$25:$C$267,DP10))</f>
        <v>0</v>
      </c>
      <c r="LE10" s="55">
        <f>IF(DQ10="","",COUNTIFS($D$25:$D$267,Parameters!$K$2,$E$25:$E$267,Parameters!$M$4,Calendrier!$C$25:$C$267,DQ10)+ COUNTIFS($D$25:$D$267,Parameters!$K$4,$E$25:$E$267,Parameters!$M$4,Calendrier!$C$25:$C$267,DQ10))</f>
        <v>0</v>
      </c>
      <c r="LF10" s="55">
        <f>IF(DR10="","",COUNTIFS($D$25:$D$267,Parameters!$K$2,$E$25:$E$267,Parameters!$M$4,Calendrier!$C$25:$C$267,DR10)+ COUNTIFS($D$25:$D$267,Parameters!$K$3,$E$25:$E$267,Parameters!$M$4,Calendrier!$C$25:$C$267,DR10))</f>
        <v>0</v>
      </c>
      <c r="LG10" s="55">
        <f>IF(DS10="","",COUNTIFS($D$25:$D$267,Parameters!$K$2,$E$25:$E$267,Parameters!$M$4,Calendrier!$C$25:$C$267,DS10)+ COUNTIFS($D$25:$D$267,Parameters!$K$4,$E$25:$E$267,Parameters!$M$4,Calendrier!$C$25:$C$267,DS10))</f>
        <v>0</v>
      </c>
      <c r="LH10" s="55">
        <f>IF(DT10="","",COUNTIFS($D$25:$D$267,Parameters!$K$2,$E$25:$E$267,Parameters!$M$4,Calendrier!$C$25:$C$267,DT10)+ COUNTIFS($D$25:$D$267,Parameters!$K$3,$E$25:$E$267,Parameters!$M$4,Calendrier!$C$25:$C$267,DT10))</f>
        <v>0</v>
      </c>
      <c r="LI10" s="56">
        <f>IF(DU10="","",COUNTIFS($D$25:$D$267,Parameters!$K$2,$E$25:$E$267,Parameters!$M$4,Calendrier!$C$25:$C$267,DU10)+ COUNTIFS($D$25:$D$267,Parameters!$K$4,$E$25:$E$267,Parameters!$M$4,Calendrier!$C$25:$C$267,DU10))</f>
        <v>0</v>
      </c>
      <c r="LL10" s="54" t="str">
        <f>IF(DX10="","",COUNTIFS($D$25:$D$267,Parameters!$K$2,$E$25:$E$267,Parameters!$M$4,Calendrier!$C$25:$C$267,DX10)+ COUNTIFS($D$25:$D$267,Parameters!$K$3,$E$25:$E$267,Parameters!$M$4,Calendrier!$C$25:$C$267,DX10))</f>
        <v/>
      </c>
      <c r="LM10" s="55" t="str">
        <f>IF(DY10="","",COUNTIFS($D$25:$D$267,Parameters!$K$2,$E$25:$E$267,Parameters!$M$4,Calendrier!$C$25:$C$267,DY10)+ COUNTIFS($D$25:$D$267,Parameters!$K$4,$E$25:$E$267,Parameters!$M$4,Calendrier!$C$25:$C$267,DY10))</f>
        <v/>
      </c>
      <c r="LN10" s="55" t="str">
        <f>IF(DZ10="","",COUNTIFS($D$25:$D$267,Parameters!$K$2,$E$25:$E$267,Parameters!$M$4,Calendrier!$C$25:$C$267,DZ10)+ COUNTIFS($D$25:$D$267,Parameters!$K$3,$E$25:$E$267,Parameters!$M$4,Calendrier!$C$25:$C$267,DZ10))</f>
        <v/>
      </c>
      <c r="LO10" s="55" t="str">
        <f>IF(EA10="","",COUNTIFS($D$25:$D$267,Parameters!$K$2,$E$25:$E$267,Parameters!$M$4,Calendrier!$C$25:$C$267,EA10)+ COUNTIFS($D$25:$D$267,Parameters!$K$4,$E$25:$E$267,Parameters!$M$4,Calendrier!$C$25:$C$267,EA10))</f>
        <v/>
      </c>
      <c r="LP10" s="55" t="str">
        <f>IF(EB10="","",COUNTIFS($D$25:$D$267,Parameters!$K$2,$E$25:$E$267,Parameters!$M$4,Calendrier!$C$25:$C$267,EB10)+ COUNTIFS($D$25:$D$267,Parameters!$K$3,$E$25:$E$267,Parameters!$M$4,Calendrier!$C$25:$C$267,EB10))</f>
        <v/>
      </c>
      <c r="LQ10" s="55" t="str">
        <f>IF(EC10="","",COUNTIFS($D$25:$D$267,Parameters!$K$2,$E$25:$E$267,Parameters!$M$4,Calendrier!$C$25:$C$267,EC10)+ COUNTIFS($D$25:$D$267,Parameters!$K$4,$E$25:$E$267,Parameters!$M$4,Calendrier!$C$25:$C$267,EC10))</f>
        <v/>
      </c>
      <c r="LR10" s="55" t="str">
        <f>IF(ED10="","",COUNTIFS($D$25:$D$267,Parameters!$K$2,$E$25:$E$267,Parameters!$M$4,Calendrier!$C$25:$C$267,ED10)+ COUNTIFS($D$25:$D$267,Parameters!$K$3,$E$25:$E$267,Parameters!$M$4,Calendrier!$C$25:$C$267,ED10))</f>
        <v/>
      </c>
      <c r="LS10" s="55" t="str">
        <f>IF(EE10="","",COUNTIFS($D$25:$D$267,Parameters!$K$2,$E$25:$E$267,Parameters!$M$4,Calendrier!$C$25:$C$267,EE10)+ COUNTIFS($D$25:$D$267,Parameters!$K$4,$E$25:$E$267,Parameters!$M$4,Calendrier!$C$25:$C$267,EE10))</f>
        <v/>
      </c>
      <c r="LT10" s="55" t="str">
        <f>IF(EF10="","",COUNTIFS($D$25:$D$267,Parameters!$K$2,$E$25:$E$267,Parameters!$M$4,Calendrier!$C$25:$C$267,EF10)+ COUNTIFS($D$25:$D$267,Parameters!$K$3,$E$25:$E$267,Parameters!$M$4,Calendrier!$C$25:$C$267,EF10))</f>
        <v/>
      </c>
      <c r="LU10" s="55" t="str">
        <f>IF(EG10="","",COUNTIFS($D$25:$D$267,Parameters!$K$2,$E$25:$E$267,Parameters!$M$4,Calendrier!$C$25:$C$267,EG10)+ COUNTIFS($D$25:$D$267,Parameters!$K$4,$E$25:$E$267,Parameters!$M$4,Calendrier!$C$25:$C$267,EG10))</f>
        <v/>
      </c>
      <c r="LV10" s="55" t="str">
        <f>IF(EH10="","",COUNTIFS($D$25:$D$267,Parameters!$K$2,$E$25:$E$267,Parameters!$M$4,Calendrier!$C$25:$C$267,EH10)+ COUNTIFS($D$25:$D$267,Parameters!$K$3,$E$25:$E$267,Parameters!$M$4,Calendrier!$C$25:$C$267,EH10))</f>
        <v/>
      </c>
      <c r="LW10" s="55" t="str">
        <f>IF(EI10="","",COUNTIFS($D$25:$D$267,Parameters!$K$2,$E$25:$E$267,Parameters!$M$4,Calendrier!$C$25:$C$267,EI10)+ COUNTIFS($D$25:$D$267,Parameters!$K$4,$E$25:$E$267,Parameters!$M$4,Calendrier!$C$25:$C$267,EI10))</f>
        <v/>
      </c>
      <c r="LX10" s="55">
        <f>IF(EJ10="","",COUNTIFS($D$25:$D$267,Parameters!$K$2,$E$25:$E$267,Parameters!$M$4,Calendrier!$C$25:$C$267,EJ10)+ COUNTIFS($D$25:$D$267,Parameters!$K$3,$E$25:$E$267,Parameters!$M$4,Calendrier!$C$25:$C$267,EJ10))</f>
        <v>0</v>
      </c>
      <c r="LY10" s="56">
        <f>IF(EK10="","",COUNTIFS($D$25:$D$267,Parameters!$K$2,$E$25:$E$267,Parameters!$M$4,Calendrier!$C$25:$C$267,EK10)+ COUNTIFS($D$25:$D$267,Parameters!$K$4,$E$25:$E$267,Parameters!$M$4,Calendrier!$C$25:$C$267,EK10))</f>
        <v>0</v>
      </c>
      <c r="MB10" s="54" t="str">
        <f>IF(EN10="","",COUNTIFS($D$25:$D$267,Parameters!$K$2,$E$25:$E$267,Parameters!$M$4,Calendrier!$C$25:$C$267,EN10)+ COUNTIFS($D$25:$D$267,Parameters!$K$3,$E$25:$E$267,Parameters!$M$4,Calendrier!$C$25:$C$267,EN10))</f>
        <v/>
      </c>
      <c r="MC10" s="55" t="str">
        <f>IF(EO10="","",COUNTIFS($D$25:$D$267,Parameters!$K$2,$E$25:$E$267,Parameters!$M$4,Calendrier!$C$25:$C$267,EO10)+ COUNTIFS($D$25:$D$267,Parameters!$K$4,$E$25:$E$267,Parameters!$M$4,Calendrier!$C$25:$C$267,EO10))</f>
        <v/>
      </c>
      <c r="MD10" s="55" t="str">
        <f>IF(EP10="","",COUNTIFS($D$25:$D$267,Parameters!$K$2,$E$25:$E$267,Parameters!$M$4,Calendrier!$C$25:$C$267,EP10)+ COUNTIFS($D$25:$D$267,Parameters!$K$3,$E$25:$E$267,Parameters!$M$4,Calendrier!$C$25:$C$267,EP10))</f>
        <v/>
      </c>
      <c r="ME10" s="55" t="str">
        <f>IF(EQ10="","",COUNTIFS($D$25:$D$267,Parameters!$K$2,$E$25:$E$267,Parameters!$M$4,Calendrier!$C$25:$C$267,EQ10)+ COUNTIFS($D$25:$D$267,Parameters!$K$4,$E$25:$E$267,Parameters!$M$4,Calendrier!$C$25:$C$267,EQ10))</f>
        <v/>
      </c>
      <c r="MF10" s="55" t="str">
        <f>IF(ER10="","",COUNTIFS($D$25:$D$267,Parameters!$K$2,$E$25:$E$267,Parameters!$M$4,Calendrier!$C$25:$C$267,ER10)+ COUNTIFS($D$25:$D$267,Parameters!$K$3,$E$25:$E$267,Parameters!$M$4,Calendrier!$C$25:$C$267,ER10))</f>
        <v/>
      </c>
      <c r="MG10" s="55" t="str">
        <f>IF(ES10="","",COUNTIFS($D$25:$D$267,Parameters!$K$2,$E$25:$E$267,Parameters!$M$4,Calendrier!$C$25:$C$267,ES10)+ COUNTIFS($D$25:$D$267,Parameters!$K$4,$E$25:$E$267,Parameters!$M$4,Calendrier!$C$25:$C$267,ES10))</f>
        <v/>
      </c>
      <c r="MH10" s="55" t="str">
        <f>IF(ET10="","",COUNTIFS($D$25:$D$267,Parameters!$K$2,$E$25:$E$267,Parameters!$M$4,Calendrier!$C$25:$C$267,ET10)+ COUNTIFS($D$25:$D$267,Parameters!$K$3,$E$25:$E$267,Parameters!$M$4,Calendrier!$C$25:$C$267,ET10))</f>
        <v/>
      </c>
      <c r="MI10" s="55" t="str">
        <f>IF(EU10="","",COUNTIFS($D$25:$D$267,Parameters!$K$2,$E$25:$E$267,Parameters!$M$4,Calendrier!$C$25:$C$267,EU10)+ COUNTIFS($D$25:$D$267,Parameters!$K$4,$E$25:$E$267,Parameters!$M$4,Calendrier!$C$25:$C$267,EU10))</f>
        <v/>
      </c>
      <c r="MJ10" s="55" t="str">
        <f>IF(EV10="","",COUNTIFS($D$25:$D$267,Parameters!$K$2,$E$25:$E$267,Parameters!$M$4,Calendrier!$C$25:$C$267,EV10)+ COUNTIFS($D$25:$D$267,Parameters!$K$3,$E$25:$E$267,Parameters!$M$4,Calendrier!$C$25:$C$267,EV10))</f>
        <v/>
      </c>
      <c r="MK10" s="55" t="str">
        <f>IF(EW10="","",COUNTIFS($D$25:$D$267,Parameters!$K$2,$E$25:$E$267,Parameters!$M$4,Calendrier!$C$25:$C$267,EW10)+ COUNTIFS($D$25:$D$267,Parameters!$K$4,$E$25:$E$267,Parameters!$M$4,Calendrier!$C$25:$C$267,EW10))</f>
        <v/>
      </c>
      <c r="ML10" s="55" t="str">
        <f>IF(EX10="","",COUNTIFS($D$25:$D$267,Parameters!$K$2,$E$25:$E$267,Parameters!$M$4,Calendrier!$C$25:$C$267,EX10)+ COUNTIFS($D$25:$D$267,Parameters!$K$3,$E$25:$E$267,Parameters!$M$4,Calendrier!$C$25:$C$267,EX10))</f>
        <v/>
      </c>
      <c r="MM10" s="55" t="str">
        <f>IF(EY10="","",COUNTIFS($D$25:$D$267,Parameters!$K$2,$E$25:$E$267,Parameters!$M$4,Calendrier!$C$25:$C$267,EY10)+ COUNTIFS($D$25:$D$267,Parameters!$K$4,$E$25:$E$267,Parameters!$M$4,Calendrier!$C$25:$C$267,EY10))</f>
        <v/>
      </c>
      <c r="MN10" s="55">
        <f>IF(EZ10="","",COUNTIFS($D$25:$D$267,Parameters!$K$2,$E$25:$E$267,Parameters!$M$4,Calendrier!$C$25:$C$267,EZ10)+ COUNTIFS($D$25:$D$267,Parameters!$K$3,$E$25:$E$267,Parameters!$M$4,Calendrier!$C$25:$C$267,EZ10))</f>
        <v>0</v>
      </c>
      <c r="MO10" s="56">
        <f>IF(FA10="","",COUNTIFS($D$25:$D$267,Parameters!$K$2,$E$25:$E$267,Parameters!$M$4,Calendrier!$C$25:$C$267,FA10)+ COUNTIFS($D$25:$D$267,Parameters!$K$4,$E$25:$E$267,Parameters!$M$4,Calendrier!$C$25:$C$267,FA10))</f>
        <v>0</v>
      </c>
      <c r="MS10" s="54" t="str">
        <f>IF(DH10="","",COUNTIFS($D$25:$D$267,Parameters!$K$2,$E$25:$E$267,Parameters!$M$5,Calendrier!$C$25:$C$267,DH10)+ COUNTIFS($D$25:$D$267,Parameters!$K$3,$E$25:$E$267,Parameters!$M$5,Calendrier!$C$25:$C$267,DH10))</f>
        <v/>
      </c>
      <c r="MT10" s="55" t="str">
        <f>IF(DI10="","",COUNTIFS($D$25:$D$267,Parameters!$K$2,$E$25:$E$267,Parameters!$M$5,Calendrier!$C$25:$C$267,DI10)+ COUNTIFS($D$25:$D$267,Parameters!$K$4,$E$25:$E$267,Parameters!$M$5,Calendrier!$C$25:$C$267,DI10))</f>
        <v/>
      </c>
      <c r="MU10" s="55" t="str">
        <f>IF(DJ10="","",COUNTIFS($D$25:$D$267,Parameters!$K$2,$E$25:$E$267,Parameters!$M$5,Calendrier!$C$25:$C$267,DJ10)+ COUNTIFS($D$25:$D$267,Parameters!$K$3,$E$25:$E$267,Parameters!$M$5,Calendrier!$C$25:$C$267,DJ10))</f>
        <v/>
      </c>
      <c r="MV10" s="55" t="str">
        <f>IF(DK10="","",COUNTIFS($D$25:$D$267,Parameters!$K$2,$E$25:$E$267,Parameters!$M$5,Calendrier!$C$25:$C$267,DK10)+ COUNTIFS($D$25:$D$267,Parameters!$K$4,$E$25:$E$267,Parameters!$M$5,Calendrier!$C$25:$C$267,DK10))</f>
        <v/>
      </c>
      <c r="MW10" s="55" t="str">
        <f>IF(DL10="","",COUNTIFS($D$25:$D$267,Parameters!$K$2,$E$25:$E$267,Parameters!$M$5,Calendrier!$C$25:$C$267,DL10)+ COUNTIFS($D$25:$D$267,Parameters!$K$3,$E$25:$E$267,Parameters!$M$5,Calendrier!$C$25:$C$267,DL10))</f>
        <v/>
      </c>
      <c r="MX10" s="55" t="str">
        <f>IF(DM10="","",COUNTIFS($D$25:$D$267,Parameters!$K$2,$E$25:$E$267,Parameters!$M$5,Calendrier!$C$25:$C$267,DM10)+ COUNTIFS($D$25:$D$267,Parameters!$K$4,$E$25:$E$267,Parameters!$M$5,Calendrier!$C$25:$C$267,DM10))</f>
        <v/>
      </c>
      <c r="MY10" s="55">
        <f>IF(DN10="","",COUNTIFS($D$25:$D$267,Parameters!$K$2,$E$25:$E$267,Parameters!$M$5,Calendrier!$C$25:$C$267,DN10)+ COUNTIFS($D$25:$D$267,Parameters!$K$3,$E$25:$E$267,Parameters!$M$5,Calendrier!$C$25:$C$267,DN10))</f>
        <v>0</v>
      </c>
      <c r="MZ10" s="55">
        <f>IF(DO10="","",COUNTIFS($D$25:$D$267,Parameters!$K$2,$E$25:$E$267,Parameters!$M$5,Calendrier!$C$25:$C$267,DO10)+ COUNTIFS($D$25:$D$267,Parameters!$K$4,$E$25:$E$267,Parameters!$M$5,Calendrier!$C$25:$C$267,DO10))</f>
        <v>0</v>
      </c>
      <c r="NA10" s="55">
        <f>IF(DP10="","",COUNTIFS($D$25:$D$267,Parameters!$K$2,$E$25:$E$267,Parameters!$M$5,Calendrier!$C$25:$C$267,DP10)+ COUNTIFS($D$25:$D$267,Parameters!$K$3,$E$25:$E$267,Parameters!$M$5,Calendrier!$C$25:$C$267,DP10))</f>
        <v>0</v>
      </c>
      <c r="NB10" s="55">
        <f>IF(DQ10="","",COUNTIFS($D$25:$D$267,Parameters!$K$2,$E$25:$E$267,Parameters!$M$5,Calendrier!$C$25:$C$267,DQ10)+ COUNTIFS($D$25:$D$267,Parameters!$K$4,$E$25:$E$267,Parameters!$M$5,Calendrier!$C$25:$C$267,DQ10))</f>
        <v>0</v>
      </c>
      <c r="NC10" s="55">
        <f>IF(DR10="","",COUNTIFS($D$25:$D$267,Parameters!$K$2,$E$25:$E$267,Parameters!$M$5,Calendrier!$C$25:$C$267,DR10)+ COUNTIFS($D$25:$D$267,Parameters!$K$3,$E$25:$E$267,Parameters!$M$5,Calendrier!$C$25:$C$267,DR10))</f>
        <v>0</v>
      </c>
      <c r="ND10" s="55">
        <f>IF(DS10="","",COUNTIFS($D$25:$D$267,Parameters!$K$2,$E$25:$E$267,Parameters!$M$5,Calendrier!$C$25:$C$267,DS10)+ COUNTIFS($D$25:$D$267,Parameters!$K$4,$E$25:$E$267,Parameters!$M$5,Calendrier!$C$25:$C$267,DS10))</f>
        <v>0</v>
      </c>
      <c r="NE10" s="55">
        <f>IF(DT10="","",COUNTIFS($D$25:$D$267,Parameters!$K$2,$E$25:$E$267,Parameters!$M$5,Calendrier!$C$25:$C$267,DT10)+ COUNTIFS($D$25:$D$267,Parameters!$K$3,$E$25:$E$267,Parameters!$M$5,Calendrier!$C$25:$C$267,DT10))</f>
        <v>0</v>
      </c>
      <c r="NF10" s="56">
        <f>IF(DU10="","",COUNTIFS($D$25:$D$267,Parameters!$K$2,$E$25:$E$267,Parameters!$M$5,Calendrier!$C$25:$C$267,DU10)+ COUNTIFS($D$25:$D$267,Parameters!$K$4,$E$25:$E$267,Parameters!$M$5,Calendrier!$C$25:$C$267,DU10))</f>
        <v>0</v>
      </c>
      <c r="NI10" s="54" t="str">
        <f>IF(DX10="","",COUNTIFS($D$25:$D$267,Parameters!$K$2,$E$25:$E$267,Parameters!$M$5,Calendrier!$C$25:$C$267,DX10)+ COUNTIFS($D$25:$D$267,Parameters!$K$3,$E$25:$E$267,Parameters!$M$5,Calendrier!$C$25:$C$267,DX10))</f>
        <v/>
      </c>
      <c r="NJ10" s="55" t="str">
        <f>IF(DY10="","",COUNTIFS($D$25:$D$267,Parameters!$K$2,$E$25:$E$267,Parameters!$M$5,Calendrier!$C$25:$C$267,DY10)+ COUNTIFS($D$25:$D$267,Parameters!$K$4,$E$25:$E$267,Parameters!$M$5,Calendrier!$C$25:$C$267,DY10))</f>
        <v/>
      </c>
      <c r="NK10" s="55" t="str">
        <f>IF(DZ10="","",COUNTIFS($D$25:$D$267,Parameters!$K$2,$E$25:$E$267,Parameters!$M$5,Calendrier!$C$25:$C$267,DZ10)+ COUNTIFS($D$25:$D$267,Parameters!$K$3,$E$25:$E$267,Parameters!$M$5,Calendrier!$C$25:$C$267,DZ10))</f>
        <v/>
      </c>
      <c r="NL10" s="55" t="str">
        <f>IF(EA10="","",COUNTIFS($D$25:$D$267,Parameters!$K$2,$E$25:$E$267,Parameters!$M$5,Calendrier!$C$25:$C$267,EA10)+ COUNTIFS($D$25:$D$267,Parameters!$K$4,$E$25:$E$267,Parameters!$M$5,Calendrier!$C$25:$C$267,EA10))</f>
        <v/>
      </c>
      <c r="NM10" s="55" t="str">
        <f>IF(EB10="","",COUNTIFS($D$25:$D$267,Parameters!$K$2,$E$25:$E$267,Parameters!$M$5,Calendrier!$C$25:$C$267,EB10)+ COUNTIFS($D$25:$D$267,Parameters!$K$3,$E$25:$E$267,Parameters!$M$5,Calendrier!$C$25:$C$267,EB10))</f>
        <v/>
      </c>
      <c r="NN10" s="55" t="str">
        <f>IF(EC10="","",COUNTIFS($D$25:$D$267,Parameters!$K$2,$E$25:$E$267,Parameters!$M$5,Calendrier!$C$25:$C$267,EC10)+ COUNTIFS($D$25:$D$267,Parameters!$K$4,$E$25:$E$267,Parameters!$M$5,Calendrier!$C$25:$C$267,EC10))</f>
        <v/>
      </c>
      <c r="NO10" s="55" t="str">
        <f>IF(ED10="","",COUNTIFS($D$25:$D$267,Parameters!$K$2,$E$25:$E$267,Parameters!$M$5,Calendrier!$C$25:$C$267,ED10)+ COUNTIFS($D$25:$D$267,Parameters!$K$3,$E$25:$E$267,Parameters!$M$5,Calendrier!$C$25:$C$267,ED10))</f>
        <v/>
      </c>
      <c r="NP10" s="55" t="str">
        <f>IF(EE10="","",COUNTIFS($D$25:$D$267,Parameters!$K$2,$E$25:$E$267,Parameters!$M$5,Calendrier!$C$25:$C$267,EE10)+ COUNTIFS($D$25:$D$267,Parameters!$K$4,$E$25:$E$267,Parameters!$M$5,Calendrier!$C$25:$C$267,EE10))</f>
        <v/>
      </c>
      <c r="NQ10" s="55" t="str">
        <f>IF(EF10="","",COUNTIFS($D$25:$D$267,Parameters!$K$2,$E$25:$E$267,Parameters!$M$5,Calendrier!$C$25:$C$267,EF10)+ COUNTIFS($D$25:$D$267,Parameters!$K$3,$E$25:$E$267,Parameters!$M$5,Calendrier!$C$25:$C$267,EF10))</f>
        <v/>
      </c>
      <c r="NR10" s="55" t="str">
        <f>IF(EG10="","",COUNTIFS($D$25:$D$267,Parameters!$K$2,$E$25:$E$267,Parameters!$M$5,Calendrier!$C$25:$C$267,EG10)+ COUNTIFS($D$25:$D$267,Parameters!$K$4,$E$25:$E$267,Parameters!$M$5,Calendrier!$C$25:$C$267,EG10))</f>
        <v/>
      </c>
      <c r="NS10" s="55" t="str">
        <f>IF(EH10="","",COUNTIFS($D$25:$D$267,Parameters!$K$2,$E$25:$E$267,Parameters!$M$5,Calendrier!$C$25:$C$267,EH10)+ COUNTIFS($D$25:$D$267,Parameters!$K$3,$E$25:$E$267,Parameters!$M$5,Calendrier!$C$25:$C$267,EH10))</f>
        <v/>
      </c>
      <c r="NT10" s="55" t="str">
        <f>IF(EI10="","",COUNTIFS($D$25:$D$267,Parameters!$K$2,$E$25:$E$267,Parameters!$M$5,Calendrier!$C$25:$C$267,EI10)+ COUNTIFS($D$25:$D$267,Parameters!$K$4,$E$25:$E$267,Parameters!$M$5,Calendrier!$C$25:$C$267,EI10))</f>
        <v/>
      </c>
      <c r="NU10" s="55">
        <f>IF(EJ10="","",COUNTIFS($D$25:$D$267,Parameters!$K$2,$E$25:$E$267,Parameters!$M$5,Calendrier!$C$25:$C$267,EJ10)+ COUNTIFS($D$25:$D$267,Parameters!$K$3,$E$25:$E$267,Parameters!$M$5,Calendrier!$C$25:$C$267,EJ10))</f>
        <v>0</v>
      </c>
      <c r="NV10" s="56">
        <f>IF(EK10="","",COUNTIFS($D$25:$D$267,Parameters!$K$2,$E$25:$E$267,Parameters!$M$5,Calendrier!$C$25:$C$267,EK10)+ COUNTIFS($D$25:$D$267,Parameters!$K$4,$E$25:$E$267,Parameters!$M$5,Calendrier!$C$25:$C$267,EK10))</f>
        <v>0</v>
      </c>
      <c r="NY10" s="54" t="str">
        <f>IF(EN10="","",COUNTIFS($D$25:$D$267,Parameters!$K$2,$E$25:$E$267,Parameters!$M$5,Calendrier!$C$25:$C$267,EN10)+ COUNTIFS($D$25:$D$267,Parameters!$K$3,$E$25:$E$267,Parameters!$M$5,Calendrier!$C$25:$C$267,EN10))</f>
        <v/>
      </c>
      <c r="NZ10" s="55" t="str">
        <f>IF(EO10="","",COUNTIFS($D$25:$D$267,Parameters!$K$2,$E$25:$E$267,Parameters!$M$5,Calendrier!$C$25:$C$267,EO10)+ COUNTIFS($D$25:$D$267,Parameters!$K$4,$E$25:$E$267,Parameters!$M$5,Calendrier!$C$25:$C$267,EO10))</f>
        <v/>
      </c>
      <c r="OA10" s="55" t="str">
        <f>IF(EP10="","",COUNTIFS($D$25:$D$267,Parameters!$K$2,$E$25:$E$267,Parameters!$M$5,Calendrier!$C$25:$C$267,EP10)+ COUNTIFS($D$25:$D$267,Parameters!$K$3,$E$25:$E$267,Parameters!$M$5,Calendrier!$C$25:$C$267,EP10))</f>
        <v/>
      </c>
      <c r="OB10" s="55" t="str">
        <f>IF(EQ10="","",COUNTIFS($D$25:$D$267,Parameters!$K$2,$E$25:$E$267,Parameters!$M$5,Calendrier!$C$25:$C$267,EQ10)+ COUNTIFS($D$25:$D$267,Parameters!$K$4,$E$25:$E$267,Parameters!$M$5,Calendrier!$C$25:$C$267,EQ10))</f>
        <v/>
      </c>
      <c r="OC10" s="55" t="str">
        <f>IF(ER10="","",COUNTIFS($D$25:$D$267,Parameters!$K$2,$E$25:$E$267,Parameters!$M$5,Calendrier!$C$25:$C$267,ER10)+ COUNTIFS($D$25:$D$267,Parameters!$K$3,$E$25:$E$267,Parameters!$M$5,Calendrier!$C$25:$C$267,ER10))</f>
        <v/>
      </c>
      <c r="OD10" s="55" t="str">
        <f>IF(ES10="","",COUNTIFS($D$25:$D$267,Parameters!$K$2,$E$25:$E$267,Parameters!$M$5,Calendrier!$C$25:$C$267,ES10)+ COUNTIFS($D$25:$D$267,Parameters!$K$4,$E$25:$E$267,Parameters!$M$5,Calendrier!$C$25:$C$267,ES10))</f>
        <v/>
      </c>
      <c r="OE10" s="55" t="str">
        <f>IF(ET10="","",COUNTIFS($D$25:$D$267,Parameters!$K$2,$E$25:$E$267,Parameters!$M$5,Calendrier!$C$25:$C$267,ET10)+ COUNTIFS($D$25:$D$267,Parameters!$K$3,$E$25:$E$267,Parameters!$M$5,Calendrier!$C$25:$C$267,ET10))</f>
        <v/>
      </c>
      <c r="OF10" s="55" t="str">
        <f>IF(EU10="","",COUNTIFS($D$25:$D$267,Parameters!$K$2,$E$25:$E$267,Parameters!$M$5,Calendrier!$C$25:$C$267,EU10)+ COUNTIFS($D$25:$D$267,Parameters!$K$4,$E$25:$E$267,Parameters!$M$5,Calendrier!$C$25:$C$267,EU10))</f>
        <v/>
      </c>
      <c r="OG10" s="55" t="str">
        <f>IF(EV10="","",COUNTIFS($D$25:$D$267,Parameters!$K$2,$E$25:$E$267,Parameters!$M$5,Calendrier!$C$25:$C$267,EV10)+ COUNTIFS($D$25:$D$267,Parameters!$K$3,$E$25:$E$267,Parameters!$M$5,Calendrier!$C$25:$C$267,EV10))</f>
        <v/>
      </c>
      <c r="OH10" s="55" t="str">
        <f>IF(EW10="","",COUNTIFS($D$25:$D$267,Parameters!$K$2,$E$25:$E$267,Parameters!$M$5,Calendrier!$C$25:$C$267,EW10)+ COUNTIFS($D$25:$D$267,Parameters!$K$4,$E$25:$E$267,Parameters!$M$5,Calendrier!$C$25:$C$267,EW10))</f>
        <v/>
      </c>
      <c r="OI10" s="55" t="str">
        <f>IF(EX10="","",COUNTIFS($D$25:$D$267,Parameters!$K$2,$E$25:$E$267,Parameters!$M$5,Calendrier!$C$25:$C$267,EX10)+ COUNTIFS($D$25:$D$267,Parameters!$K$3,$E$25:$E$267,Parameters!$M$5,Calendrier!$C$25:$C$267,EX10))</f>
        <v/>
      </c>
      <c r="OJ10" s="55" t="str">
        <f>IF(EY10="","",COUNTIFS($D$25:$D$267,Parameters!$K$2,$E$25:$E$267,Parameters!$M$5,Calendrier!$C$25:$C$267,EY10)+ COUNTIFS($D$25:$D$267,Parameters!$K$4,$E$25:$E$267,Parameters!$M$5,Calendrier!$C$25:$C$267,EY10))</f>
        <v/>
      </c>
      <c r="OK10" s="55">
        <f>IF(EZ10="","",COUNTIFS($D$25:$D$267,Parameters!$K$2,$E$25:$E$267,Parameters!$M$5,Calendrier!$C$25:$C$267,EZ10)+ COUNTIFS($D$25:$D$267,Parameters!$K$3,$E$25:$E$267,Parameters!$M$5,Calendrier!$C$25:$C$267,EZ10))</f>
        <v>0</v>
      </c>
      <c r="OL10" s="56">
        <f>IF(FA10="","",COUNTIFS($D$25:$D$267,Parameters!$K$2,$E$25:$E$267,Parameters!$M$5,Calendrier!$C$25:$C$267,FA10)+ COUNTIFS($D$25:$D$267,Parameters!$K$4,$E$25:$E$267,Parameters!$M$5,Calendrier!$C$25:$C$267,FA10))</f>
        <v>0</v>
      </c>
      <c r="OP10" s="54" t="str">
        <f>IF(DH10="","",COUNTIFS(Parameters!$Y:$Y,$BF$4,Parameters!$X:$X,DH10))</f>
        <v/>
      </c>
      <c r="OQ10" s="55" t="str">
        <f>IF(DI10="","",COUNTIFS(Parameters!$Y:$Y,$BF$4,Parameters!$X:$X,DI10))</f>
        <v/>
      </c>
      <c r="OR10" s="55" t="str">
        <f>IF(DJ10="","",COUNTIFS(Parameters!$Y:$Y,$BF$4,Parameters!$X:$X,DJ10))</f>
        <v/>
      </c>
      <c r="OS10" s="55" t="str">
        <f>IF(DK10="","",COUNTIFS(Parameters!$Y:$Y,$BF$4,Parameters!$X:$X,DK10))</f>
        <v/>
      </c>
      <c r="OT10" s="55" t="str">
        <f>IF(DL10="","",COUNTIFS(Parameters!$Y:$Y,$BF$4,Parameters!$X:$X,DL10))</f>
        <v/>
      </c>
      <c r="OU10" s="55" t="str">
        <f>IF(DM10="","",COUNTIFS(Parameters!$Y:$Y,$BF$4,Parameters!$X:$X,DM10))</f>
        <v/>
      </c>
      <c r="OV10" s="55">
        <f>IF(DN10="","",COUNTIFS(Parameters!$Y:$Y,$BF$4,Parameters!$X:$X,DN10))</f>
        <v>1</v>
      </c>
      <c r="OW10" s="55">
        <f>IF(DO10="","",COUNTIFS(Parameters!$Y:$Y,$BF$4,Parameters!$X:$X,DO10))</f>
        <v>1</v>
      </c>
      <c r="OX10" s="55">
        <f>IF(DP10="","",COUNTIFS(Parameters!$Y:$Y,$BF$4,Parameters!$X:$X,DP10))</f>
        <v>1</v>
      </c>
      <c r="OY10" s="55">
        <f>IF(DQ10="","",COUNTIFS(Parameters!$Y:$Y,$BF$4,Parameters!$X:$X,DQ10))</f>
        <v>1</v>
      </c>
      <c r="OZ10" s="55">
        <f>IF(DR10="","",COUNTIFS(Parameters!$Y:$Y,$BF$4,Parameters!$X:$X,DR10))</f>
        <v>1</v>
      </c>
      <c r="PA10" s="55">
        <f>IF(DS10="","",COUNTIFS(Parameters!$Y:$Y,$BF$4,Parameters!$X:$X,DS10))</f>
        <v>1</v>
      </c>
      <c r="PB10" s="55">
        <f>IF(DT10="","",COUNTIFS(Parameters!$Y:$Y,$BF$4,Parameters!$X:$X,DT10))</f>
        <v>1</v>
      </c>
      <c r="PC10" s="56">
        <f>IF(DU10="","",COUNTIFS(Parameters!$Y:$Y,$BF$4,Parameters!$X:$X,DU10))</f>
        <v>1</v>
      </c>
      <c r="PF10" s="54" t="str">
        <f>IF(DX10="","",COUNTIFS(Parameters!$Y:$Y,$BF$4,Parameters!$X:$X,DX10))</f>
        <v/>
      </c>
      <c r="PG10" s="55" t="str">
        <f>IF(DY10="","",COUNTIFS(Parameters!$Y:$Y,$BF$4,Parameters!$X:$X,DY10))</f>
        <v/>
      </c>
      <c r="PH10" s="55" t="str">
        <f>IF(DZ10="","",COUNTIFS(Parameters!$Y:$Y,$BF$4,Parameters!$X:$X,DZ10))</f>
        <v/>
      </c>
      <c r="PI10" s="55" t="str">
        <f>IF(EA10="","",COUNTIFS(Parameters!$Y:$Y,$BF$4,Parameters!$X:$X,EA10))</f>
        <v/>
      </c>
      <c r="PJ10" s="55" t="str">
        <f>IF(EB10="","",COUNTIFS(Parameters!$Y:$Y,$BF$4,Parameters!$X:$X,EB10))</f>
        <v/>
      </c>
      <c r="PK10" s="55" t="str">
        <f>IF(EC10="","",COUNTIFS(Parameters!$Y:$Y,$BF$4,Parameters!$X:$X,EC10))</f>
        <v/>
      </c>
      <c r="PL10" s="55" t="str">
        <f>IF(ED10="","",COUNTIFS(Parameters!$Y:$Y,$BF$4,Parameters!$X:$X,ED10))</f>
        <v/>
      </c>
      <c r="PM10" s="55" t="str">
        <f>IF(EE10="","",COUNTIFS(Parameters!$Y:$Y,$BF$4,Parameters!$X:$X,EE10))</f>
        <v/>
      </c>
      <c r="PN10" s="55" t="str">
        <f>IF(EF10="","",COUNTIFS(Parameters!$Y:$Y,$BF$4,Parameters!$X:$X,EF10))</f>
        <v/>
      </c>
      <c r="PO10" s="55" t="str">
        <f>IF(EG10="","",COUNTIFS(Parameters!$Y:$Y,$BF$4,Parameters!$X:$X,EG10))</f>
        <v/>
      </c>
      <c r="PP10" s="55" t="str">
        <f>IF(EH10="","",COUNTIFS(Parameters!$Y:$Y,$BF$4,Parameters!$X:$X,EH10))</f>
        <v/>
      </c>
      <c r="PQ10" s="55" t="str">
        <f>IF(EI10="","",COUNTIFS(Parameters!$Y:$Y,$BF$4,Parameters!$X:$X,EI10))</f>
        <v/>
      </c>
      <c r="PR10" s="55">
        <f>IF(EJ10="","",COUNTIFS(Parameters!$Y:$Y,$BF$4,Parameters!$X:$X,EJ10))</f>
        <v>0</v>
      </c>
      <c r="PS10" s="56">
        <f>IF(EK10="","",COUNTIFS(Parameters!$Y:$Y,$BF$4,Parameters!$X:$X,EK10))</f>
        <v>0</v>
      </c>
      <c r="PV10" s="54" t="str">
        <f>IF(EN10="","",COUNTIFS(Parameters!$Y:$Y,$BF$4,Parameters!$X:$X,EN10))</f>
        <v/>
      </c>
      <c r="PW10" s="55" t="str">
        <f>IF(EO10="","",COUNTIFS(Parameters!$Y:$Y,$BF$4,Parameters!$X:$X,EO10))</f>
        <v/>
      </c>
      <c r="PX10" s="55" t="str">
        <f>IF(EP10="","",COUNTIFS(Parameters!$Y:$Y,$BF$4,Parameters!$X:$X,EP10))</f>
        <v/>
      </c>
      <c r="PY10" s="55" t="str">
        <f>IF(EQ10="","",COUNTIFS(Parameters!$Y:$Y,$BF$4,Parameters!$X:$X,EQ10))</f>
        <v/>
      </c>
      <c r="PZ10" s="55" t="str">
        <f>IF(ER10="","",COUNTIFS(Parameters!$Y:$Y,$BF$4,Parameters!$X:$X,ER10))</f>
        <v/>
      </c>
      <c r="QA10" s="55" t="str">
        <f>IF(ES10="","",COUNTIFS(Parameters!$Y:$Y,$BF$4,Parameters!$X:$X,ES10))</f>
        <v/>
      </c>
      <c r="QB10" s="55" t="str">
        <f>IF(ET10="","",COUNTIFS(Parameters!$Y:$Y,$BF$4,Parameters!$X:$X,ET10))</f>
        <v/>
      </c>
      <c r="QC10" s="55" t="str">
        <f>IF(EU10="","",COUNTIFS(Parameters!$Y:$Y,$BF$4,Parameters!$X:$X,EU10))</f>
        <v/>
      </c>
      <c r="QD10" s="55" t="str">
        <f>IF(EV10="","",COUNTIFS(Parameters!$Y:$Y,$BF$4,Parameters!$X:$X,EV10))</f>
        <v/>
      </c>
      <c r="QE10" s="55" t="str">
        <f>IF(EW10="","",COUNTIFS(Parameters!$Y:$Y,$BF$4,Parameters!$X:$X,EW10))</f>
        <v/>
      </c>
      <c r="QF10" s="55" t="str">
        <f>IF(EX10="","",COUNTIFS(Parameters!$Y:$Y,$BF$4,Parameters!$X:$X,EX10))</f>
        <v/>
      </c>
      <c r="QG10" s="55" t="str">
        <f>IF(EY10="","",COUNTIFS(Parameters!$Y:$Y,$BF$4,Parameters!$X:$X,EY10))</f>
        <v/>
      </c>
      <c r="QH10" s="55">
        <f>IF(EZ10="","",COUNTIFS(Parameters!$Y:$Y,$BF$4,Parameters!$X:$X,EZ10))</f>
        <v>1</v>
      </c>
      <c r="QI10" s="56">
        <f>IF(FA10="","",COUNTIFS(Parameters!$Y:$Y,$BF$4,Parameters!$X:$X,FA10))</f>
        <v>1</v>
      </c>
      <c r="QN10" s="54" t="str">
        <f>IF(DH10="","",COUNTIFS($D$25:$D$267,Parameters!$K$2,$E$25:$E$267,Parameters!$M$6,Calendrier!$C$25:$C$267,DH10)+ COUNTIFS($D$25:$D$267,Parameters!$K$3,$E$25:$E$267,Parameters!$M$6,Calendrier!$C$25:$C$267,DH10))</f>
        <v/>
      </c>
      <c r="QO10" s="55" t="str">
        <f>IF(DI10="","",COUNTIFS($D$25:$D$267,Parameters!$K$2,$E$25:$E$267,Parameters!$M$6,Calendrier!$C$25:$C$267,DI10)+ COUNTIFS($D$25:$D$267,Parameters!$K$4,$E$25:$E$267,Parameters!$M$6,Calendrier!$C$25:$C$267,DI10))</f>
        <v/>
      </c>
      <c r="QP10" s="55" t="str">
        <f>IF(DJ10="","",COUNTIFS($D$25:$D$267,Parameters!$K$2,$E$25:$E$267,Parameters!$M$6,Calendrier!$C$25:$C$267,DJ10)+ COUNTIFS($D$25:$D$267,Parameters!$K$3,$E$25:$E$267,Parameters!$M$6,Calendrier!$C$25:$C$267,DJ10))</f>
        <v/>
      </c>
      <c r="QQ10" s="55" t="str">
        <f>IF(DK10="","",COUNTIFS($D$25:$D$267,Parameters!$K$2,$E$25:$E$267,Parameters!$M$6,Calendrier!$C$25:$C$267,DK10)+ COUNTIFS($D$25:$D$267,Parameters!$K$4,$E$25:$E$267,Parameters!$M$6,Calendrier!$C$25:$C$267,DK10))</f>
        <v/>
      </c>
      <c r="QR10" s="55" t="str">
        <f>IF(DL10="","",COUNTIFS($D$25:$D$267,Parameters!$K$2,$E$25:$E$267,Parameters!$M$6,Calendrier!$C$25:$C$267,DL10)+ COUNTIFS($D$25:$D$267,Parameters!$K$3,$E$25:$E$267,Parameters!$M$6,Calendrier!$C$25:$C$267,DL10))</f>
        <v/>
      </c>
      <c r="QS10" s="55" t="str">
        <f>IF(DM10="","",COUNTIFS($D$25:$D$267,Parameters!$K$2,$E$25:$E$267,Parameters!$M$6,Calendrier!$C$25:$C$267,DM10)+ COUNTIFS($D$25:$D$267,Parameters!$K$4,$E$25:$E$267,Parameters!$M$6,Calendrier!$C$25:$C$267,DM10))</f>
        <v/>
      </c>
      <c r="QT10" s="55">
        <f>IF(DN10="","",COUNTIFS($D$25:$D$267,Parameters!$K$2,$E$25:$E$267,Parameters!$M$6,Calendrier!$C$25:$C$267,DN10)+ COUNTIFS($D$25:$D$267,Parameters!$K$3,$E$25:$E$267,Parameters!$M$6,Calendrier!$C$25:$C$267,DN10))</f>
        <v>0</v>
      </c>
      <c r="QU10" s="55">
        <f>IF(DO10="","",COUNTIFS($D$25:$D$267,Parameters!$K$2,$E$25:$E$267,Parameters!$M$6,Calendrier!$C$25:$C$267,DO10)+ COUNTIFS($D$25:$D$267,Parameters!$K$4,$E$25:$E$267,Parameters!$M$6,Calendrier!$C$25:$C$267,DO10))</f>
        <v>0</v>
      </c>
      <c r="QV10" s="55">
        <f>IF(DP10="","",COUNTIFS($D$25:$D$267,Parameters!$K$2,$E$25:$E$267,Parameters!$M$6,Calendrier!$C$25:$C$267,DP10)+ COUNTIFS($D$25:$D$267,Parameters!$K$3,$E$25:$E$267,Parameters!$M$6,Calendrier!$C$25:$C$267,DP10))</f>
        <v>0</v>
      </c>
      <c r="QW10" s="55">
        <f>IF(DQ10="","",COUNTIFS($D$25:$D$267,Parameters!$K$2,$E$25:$E$267,Parameters!$M$6,Calendrier!$C$25:$C$267,DQ10)+ COUNTIFS($D$25:$D$267,Parameters!$K$4,$E$25:$E$267,Parameters!$M$6,Calendrier!$C$25:$C$267,DQ10))</f>
        <v>0</v>
      </c>
      <c r="QX10" s="55">
        <f>IF(DR10="","",COUNTIFS($D$25:$D$267,Parameters!$K$2,$E$25:$E$267,Parameters!$M$6,Calendrier!$C$25:$C$267,DR10)+ COUNTIFS($D$25:$D$267,Parameters!$K$3,$E$25:$E$267,Parameters!$M$6,Calendrier!$C$25:$C$267,DR10))</f>
        <v>0</v>
      </c>
      <c r="QY10" s="55">
        <f>IF(DS10="","",COUNTIFS($D$25:$D$267,Parameters!$K$2,$E$25:$E$267,Parameters!$M$6,Calendrier!$C$25:$C$267,DS10)+ COUNTIFS($D$25:$D$267,Parameters!$K$4,$E$25:$E$267,Parameters!$M$6,Calendrier!$C$25:$C$267,DS10))</f>
        <v>0</v>
      </c>
      <c r="QZ10" s="55">
        <f>IF(DT10="","",COUNTIFS($D$25:$D$267,Parameters!$K$2,$E$25:$E$267,Parameters!$M$6,Calendrier!$C$25:$C$267,DT10)+ COUNTIFS($D$25:$D$267,Parameters!$K$3,$E$25:$E$267,Parameters!$M$6,Calendrier!$C$25:$C$267,DT10))</f>
        <v>0</v>
      </c>
      <c r="RA10" s="56">
        <f>IF(DU10="","",COUNTIFS($D$25:$D$267,Parameters!$K$2,$E$25:$E$267,Parameters!$M$6,Calendrier!$C$25:$C$267,DU10)+ COUNTIFS($D$25:$D$267,Parameters!$K$4,$E$25:$E$267,Parameters!$M$6,Calendrier!$C$25:$C$267,DU10))</f>
        <v>0</v>
      </c>
      <c r="RD10" s="54" t="str">
        <f>IF(DX10="","",COUNTIFS($D$25:$D$267,Parameters!$K$2,$E$25:$E$267,Parameters!$M$6,Calendrier!$C$25:$C$267,DX10)+ COUNTIFS($D$25:$D$267,Parameters!$K$3,$E$25:$E$267,Parameters!$M$6,Calendrier!$C$25:$C$267,DX10))</f>
        <v/>
      </c>
      <c r="RE10" s="55" t="str">
        <f>IF(DY10="","",COUNTIFS($D$25:$D$267,Parameters!$K$2,$E$25:$E$267,Parameters!$M$6,Calendrier!$C$25:$C$267,DY10)+ COUNTIFS($D$25:$D$267,Parameters!$K$4,$E$25:$E$267,Parameters!$M$6,Calendrier!$C$25:$C$267,DY10))</f>
        <v/>
      </c>
      <c r="RF10" s="55" t="str">
        <f>IF(DZ10="","",COUNTIFS($D$25:$D$267,Parameters!$K$2,$E$25:$E$267,Parameters!$M$6,Calendrier!$C$25:$C$267,DZ10)+ COUNTIFS($D$25:$D$267,Parameters!$K$3,$E$25:$E$267,Parameters!$M$6,Calendrier!$C$25:$C$267,DZ10))</f>
        <v/>
      </c>
      <c r="RG10" s="55" t="str">
        <f>IF(EA10="","",COUNTIFS($D$25:$D$267,Parameters!$K$2,$E$25:$E$267,Parameters!$M$6,Calendrier!$C$25:$C$267,EA10)+ COUNTIFS($D$25:$D$267,Parameters!$K$4,$E$25:$E$267,Parameters!$M$6,Calendrier!$C$25:$C$267,EA10))</f>
        <v/>
      </c>
      <c r="RH10" s="55" t="str">
        <f>IF(EB10="","",COUNTIFS($D$25:$D$267,Parameters!$K$2,$E$25:$E$267,Parameters!$M$6,Calendrier!$C$25:$C$267,EB10)+ COUNTIFS($D$25:$D$267,Parameters!$K$3,$E$25:$E$267,Parameters!$M$6,Calendrier!$C$25:$C$267,EB10))</f>
        <v/>
      </c>
      <c r="RI10" s="55" t="str">
        <f>IF(EC10="","",COUNTIFS($D$25:$D$267,Parameters!$K$2,$E$25:$E$267,Parameters!$M$6,Calendrier!$C$25:$C$267,EC10)+ COUNTIFS($D$25:$D$267,Parameters!$K$4,$E$25:$E$267,Parameters!$M$6,Calendrier!$C$25:$C$267,EC10))</f>
        <v/>
      </c>
      <c r="RJ10" s="55" t="str">
        <f>IF(ED10="","",COUNTIFS($D$25:$D$267,Parameters!$K$2,$E$25:$E$267,Parameters!$M$6,Calendrier!$C$25:$C$267,ED10)+ COUNTIFS($D$25:$D$267,Parameters!$K$3,$E$25:$E$267,Parameters!$M$6,Calendrier!$C$25:$C$267,ED10))</f>
        <v/>
      </c>
      <c r="RK10" s="55" t="str">
        <f>IF(EE10="","",COUNTIFS($D$25:$D$267,Parameters!$K$2,$E$25:$E$267,Parameters!$M$6,Calendrier!$C$25:$C$267,EE10)+ COUNTIFS($D$25:$D$267,Parameters!$K$4,$E$25:$E$267,Parameters!$M$6,Calendrier!$C$25:$C$267,EE10))</f>
        <v/>
      </c>
      <c r="RL10" s="55" t="str">
        <f>IF(EF10="","",COUNTIFS($D$25:$D$267,Parameters!$K$2,$E$25:$E$267,Parameters!$M$6,Calendrier!$C$25:$C$267,EF10)+ COUNTIFS($D$25:$D$267,Parameters!$K$3,$E$25:$E$267,Parameters!$M$6,Calendrier!$C$25:$C$267,EF10))</f>
        <v/>
      </c>
      <c r="RM10" s="55" t="str">
        <f>IF(EG10="","",COUNTIFS($D$25:$D$267,Parameters!$K$2,$E$25:$E$267,Parameters!$M$6,Calendrier!$C$25:$C$267,EG10)+ COUNTIFS($D$25:$D$267,Parameters!$K$4,$E$25:$E$267,Parameters!$M$6,Calendrier!$C$25:$C$267,EG10))</f>
        <v/>
      </c>
      <c r="RN10" s="55" t="str">
        <f>IF(EH10="","",COUNTIFS($D$25:$D$267,Parameters!$K$2,$E$25:$E$267,Parameters!$M$6,Calendrier!$C$25:$C$267,EH10)+ COUNTIFS($D$25:$D$267,Parameters!$K$3,$E$25:$E$267,Parameters!$M$6,Calendrier!$C$25:$C$267,EH10))</f>
        <v/>
      </c>
      <c r="RO10" s="55" t="str">
        <f>IF(EI10="","",COUNTIFS($D$25:$D$267,Parameters!$K$2,$E$25:$E$267,Parameters!$M$6,Calendrier!$C$25:$C$267,EI10)+ COUNTIFS($D$25:$D$267,Parameters!$K$4,$E$25:$E$267,Parameters!$M$6,Calendrier!$C$25:$C$267,EI10))</f>
        <v/>
      </c>
      <c r="RP10" s="55">
        <f>IF(EJ10="","",COUNTIFS($D$25:$D$267,Parameters!$K$2,$E$25:$E$267,Parameters!$M$6,Calendrier!$C$25:$C$267,EJ10)+ COUNTIFS($D$25:$D$267,Parameters!$K$3,$E$25:$E$267,Parameters!$M$6,Calendrier!$C$25:$C$267,EJ10))</f>
        <v>0</v>
      </c>
      <c r="RQ10" s="56">
        <f>IF(EK10="","",COUNTIFS($D$25:$D$267,Parameters!$K$2,$E$25:$E$267,Parameters!$M$6,Calendrier!$C$25:$C$267,EK10)+ COUNTIFS($D$25:$D$267,Parameters!$K$4,$E$25:$E$267,Parameters!$M$6,Calendrier!$C$25:$C$267,EK10))</f>
        <v>0</v>
      </c>
      <c r="RT10" s="54" t="str">
        <f>IF(EN10="","",COUNTIFS($D$25:$D$267,Parameters!$K$2,$E$25:$E$267,Parameters!$M$6,Calendrier!$C$25:$C$267,EN10)+ COUNTIFS($D$25:$D$267,Parameters!$K$3,$E$25:$E$267,Parameters!$M$6,Calendrier!$C$25:$C$267,EN10))</f>
        <v/>
      </c>
      <c r="RU10" s="55" t="str">
        <f>IF(EO10="","",COUNTIFS($D$25:$D$267,Parameters!$K$2,$E$25:$E$267,Parameters!$M$6,Calendrier!$C$25:$C$267,EO10)+ COUNTIFS($D$25:$D$267,Parameters!$K$4,$E$25:$E$267,Parameters!$M$6,Calendrier!$C$25:$C$267,EO10))</f>
        <v/>
      </c>
      <c r="RV10" s="55" t="str">
        <f>IF(EP10="","",COUNTIFS($D$25:$D$267,Parameters!$K$2,$E$25:$E$267,Parameters!$M$6,Calendrier!$C$25:$C$267,EP10)+ COUNTIFS($D$25:$D$267,Parameters!$K$3,$E$25:$E$267,Parameters!$M$6,Calendrier!$C$25:$C$267,EP10))</f>
        <v/>
      </c>
      <c r="RW10" s="55" t="str">
        <f>IF(EQ10="","",COUNTIFS($D$25:$D$267,Parameters!$K$2,$E$25:$E$267,Parameters!$M$6,Calendrier!$C$25:$C$267,EQ10)+ COUNTIFS($D$25:$D$267,Parameters!$K$4,$E$25:$E$267,Parameters!$M$6,Calendrier!$C$25:$C$267,EQ10))</f>
        <v/>
      </c>
      <c r="RX10" s="55" t="str">
        <f>IF(ER10="","",COUNTIFS($D$25:$D$267,Parameters!$K$2,$E$25:$E$267,Parameters!$M$6,Calendrier!$C$25:$C$267,ER10)+ COUNTIFS($D$25:$D$267,Parameters!$K$3,$E$25:$E$267,Parameters!$M$6,Calendrier!$C$25:$C$267,ER10))</f>
        <v/>
      </c>
      <c r="RY10" s="55" t="str">
        <f>IF(ES10="","",COUNTIFS($D$25:$D$267,Parameters!$K$2,$E$25:$E$267,Parameters!$M$6,Calendrier!$C$25:$C$267,ES10)+ COUNTIFS($D$25:$D$267,Parameters!$K$4,$E$25:$E$267,Parameters!$M$6,Calendrier!$C$25:$C$267,ES10))</f>
        <v/>
      </c>
      <c r="RZ10" s="55" t="str">
        <f>IF(ET10="","",COUNTIFS($D$25:$D$267,Parameters!$K$2,$E$25:$E$267,Parameters!$M$6,Calendrier!$C$25:$C$267,ET10)+ COUNTIFS($D$25:$D$267,Parameters!$K$3,$E$25:$E$267,Parameters!$M$6,Calendrier!$C$25:$C$267,ET10))</f>
        <v/>
      </c>
      <c r="SA10" s="55" t="str">
        <f>IF(EU10="","",COUNTIFS($D$25:$D$267,Parameters!$K$2,$E$25:$E$267,Parameters!$M$6,Calendrier!$C$25:$C$267,EU10)+ COUNTIFS($D$25:$D$267,Parameters!$K$4,$E$25:$E$267,Parameters!$M$6,Calendrier!$C$25:$C$267,EU10))</f>
        <v/>
      </c>
      <c r="SB10" s="55" t="str">
        <f>IF(EV10="","",COUNTIFS($D$25:$D$267,Parameters!$K$2,$E$25:$E$267,Parameters!$M$6,Calendrier!$C$25:$C$267,EV10)+ COUNTIFS($D$25:$D$267,Parameters!$K$3,$E$25:$E$267,Parameters!$M$6,Calendrier!$C$25:$C$267,EV10))</f>
        <v/>
      </c>
      <c r="SC10" s="55" t="str">
        <f>IF(EW10="","",COUNTIFS($D$25:$D$267,Parameters!$K$2,$E$25:$E$267,Parameters!$M$6,Calendrier!$C$25:$C$267,EW10)+ COUNTIFS($D$25:$D$267,Parameters!$K$4,$E$25:$E$267,Parameters!$M$6,Calendrier!$C$25:$C$267,EW10))</f>
        <v/>
      </c>
      <c r="SD10" s="55" t="str">
        <f>IF(EX10="","",COUNTIFS($D$25:$D$267,Parameters!$K$2,$E$25:$E$267,Parameters!$M$6,Calendrier!$C$25:$C$267,EX10)+ COUNTIFS($D$25:$D$267,Parameters!$K$3,$E$25:$E$267,Parameters!$M$6,Calendrier!$C$25:$C$267,EX10))</f>
        <v/>
      </c>
      <c r="SE10" s="55" t="str">
        <f>IF(EY10="","",COUNTIFS($D$25:$D$267,Parameters!$K$2,$E$25:$E$267,Parameters!$M$6,Calendrier!$C$25:$C$267,EY10)+ COUNTIFS($D$25:$D$267,Parameters!$K$4,$E$25:$E$267,Parameters!$M$6,Calendrier!$C$25:$C$267,EY10))</f>
        <v/>
      </c>
      <c r="SF10" s="55">
        <f>IF(EZ10="","",COUNTIFS($D$25:$D$267,Parameters!$K$2,$E$25:$E$267,Parameters!$M$6,Calendrier!$C$25:$C$267,EZ10)+ COUNTIFS($D$25:$D$267,Parameters!$K$3,$E$25:$E$267,Parameters!$M$6,Calendrier!$C$25:$C$267,EZ10))</f>
        <v>0</v>
      </c>
      <c r="SG10" s="56">
        <f>IF(FA10="","",COUNTIFS($D$25:$D$267,Parameters!$K$2,$E$25:$E$267,Parameters!$M$6,Calendrier!$C$25:$C$267,FA10)+ COUNTIFS($D$25:$D$267,Parameters!$K$4,$E$25:$E$267,Parameters!$M$6,Calendrier!$C$25:$C$267,FA10))</f>
        <v>0</v>
      </c>
      <c r="SL10" s="54" t="str">
        <f>IF(DH10="","",COUNTIFS($D$25:$D$267,Parameters!$K$2,$E$25:$E$267,Parameters!$M$7,Calendrier!$C$25:$C$267,DH10)+ COUNTIFS($D$25:$D$267,Parameters!$K$3,$E$25:$E$267,Parameters!$M$7,Calendrier!$C$25:$C$267,DH10))</f>
        <v/>
      </c>
      <c r="SM10" s="55" t="str">
        <f>IF(DI10="","",COUNTIFS($D$25:$D$267,Parameters!$K$2,$E$25:$E$267,Parameters!$M$7,Calendrier!$C$25:$C$267,DI10)+ COUNTIFS($D$25:$D$267,Parameters!$K$4,$E$25:$E$267,Parameters!$M$7,Calendrier!$C$25:$C$267,DI10))</f>
        <v/>
      </c>
      <c r="SN10" s="55" t="str">
        <f>IF(DJ10="","",COUNTIFS($D$25:$D$267,Parameters!$K$2,$E$25:$E$267,Parameters!$M$7,Calendrier!$C$25:$C$267,DJ10)+ COUNTIFS($D$25:$D$267,Parameters!$K$3,$E$25:$E$267,Parameters!$M$7,Calendrier!$C$25:$C$267,DJ10))</f>
        <v/>
      </c>
      <c r="SO10" s="55" t="str">
        <f>IF(DK10="","",COUNTIFS($D$25:$D$267,Parameters!$K$2,$E$25:$E$267,Parameters!$M$7,Calendrier!$C$25:$C$267,DK10)+ COUNTIFS($D$25:$D$267,Parameters!$K$4,$E$25:$E$267,Parameters!$M$7,Calendrier!$C$25:$C$267,DK10))</f>
        <v/>
      </c>
      <c r="SP10" s="55" t="str">
        <f>IF(DL10="","",COUNTIFS($D$25:$D$267,Parameters!$K$2,$E$25:$E$267,Parameters!$M$7,Calendrier!$C$25:$C$267,DL10)+ COUNTIFS($D$25:$D$267,Parameters!$K$3,$E$25:$E$267,Parameters!$M$7,Calendrier!$C$25:$C$267,DL10))</f>
        <v/>
      </c>
      <c r="SQ10" s="55" t="str">
        <f>IF(DM10="","",COUNTIFS($D$25:$D$267,Parameters!$K$2,$E$25:$E$267,Parameters!$M$7,Calendrier!$C$25:$C$267,DM10)+ COUNTIFS($D$25:$D$267,Parameters!$K$4,$E$25:$E$267,Parameters!$M$7,Calendrier!$C$25:$C$267,DM10))</f>
        <v/>
      </c>
      <c r="SR10" s="55">
        <f>IF(DN10="","",COUNTIFS($D$25:$D$267,Parameters!$K$2,$E$25:$E$267,Parameters!$M$7,Calendrier!$C$25:$C$267,DN10)+ COUNTIFS($D$25:$D$267,Parameters!$K$3,$E$25:$E$267,Parameters!$M$7,Calendrier!$C$25:$C$267,DN10))</f>
        <v>0</v>
      </c>
      <c r="SS10" s="55">
        <f>IF(DO10="","",COUNTIFS($D$25:$D$267,Parameters!$K$2,$E$25:$E$267,Parameters!$M$7,Calendrier!$C$25:$C$267,DO10)+ COUNTIFS($D$25:$D$267,Parameters!$K$4,$E$25:$E$267,Parameters!$M$7,Calendrier!$C$25:$C$267,DO10))</f>
        <v>0</v>
      </c>
      <c r="ST10" s="55">
        <f>IF(DP10="","",COUNTIFS($D$25:$D$267,Parameters!$K$2,$E$25:$E$267,Parameters!$M$7,Calendrier!$C$25:$C$267,DP10)+ COUNTIFS($D$25:$D$267,Parameters!$K$3,$E$25:$E$267,Parameters!$M$7,Calendrier!$C$25:$C$267,DP10))</f>
        <v>0</v>
      </c>
      <c r="SU10" s="55">
        <f>IF(DQ10="","",COUNTIFS($D$25:$D$267,Parameters!$K$2,$E$25:$E$267,Parameters!$M$7,Calendrier!$C$25:$C$267,DQ10)+ COUNTIFS($D$25:$D$267,Parameters!$K$4,$E$25:$E$267,Parameters!$M$7,Calendrier!$C$25:$C$267,DQ10))</f>
        <v>0</v>
      </c>
      <c r="SV10" s="55">
        <f>IF(DR10="","",COUNTIFS($D$25:$D$267,Parameters!$K$2,$E$25:$E$267,Parameters!$M$7,Calendrier!$C$25:$C$267,DR10)+ COUNTIFS($D$25:$D$267,Parameters!$K$3,$E$25:$E$267,Parameters!$M$7,Calendrier!$C$25:$C$267,DR10))</f>
        <v>0</v>
      </c>
      <c r="SW10" s="55">
        <f>IF(DS10="","",COUNTIFS($D$25:$D$267,Parameters!$K$2,$E$25:$E$267,Parameters!$M$7,Calendrier!$C$25:$C$267,DS10)+ COUNTIFS($D$25:$D$267,Parameters!$K$4,$E$25:$E$267,Parameters!$M$7,Calendrier!$C$25:$C$267,DS10))</f>
        <v>0</v>
      </c>
      <c r="SX10" s="55">
        <f>IF(DT10="","",COUNTIFS($D$25:$D$267,Parameters!$K$2,$E$25:$E$267,Parameters!$M$7,Calendrier!$C$25:$C$267,DT10)+ COUNTIFS($D$25:$D$267,Parameters!$K$3,$E$25:$E$267,Parameters!$M$7,Calendrier!$C$25:$C$267,DT10))</f>
        <v>0</v>
      </c>
      <c r="SY10" s="56">
        <f>IF(DU10="","",COUNTIFS($D$25:$D$267,Parameters!$K$2,$E$25:$E$267,Parameters!$M$7,Calendrier!$C$25:$C$267,DU10)+ COUNTIFS($D$25:$D$267,Parameters!$K$4,$E$25:$E$267,Parameters!$M$7,Calendrier!$C$25:$C$267,DU10))</f>
        <v>0</v>
      </c>
      <c r="TB10" s="54" t="str">
        <f>IF(DX10="","",COUNTIFS($D$25:$D$267,Parameters!$K$2,$E$25:$E$267,Parameters!$M$7,Calendrier!$C$25:$C$267,DX10)+ COUNTIFS($D$25:$D$267,Parameters!$K$3,$E$25:$E$267,Parameters!$M$7,Calendrier!$C$25:$C$267,DX10))</f>
        <v/>
      </c>
      <c r="TC10" s="55" t="str">
        <f>IF(DY10="","",COUNTIFS($D$25:$D$267,Parameters!$K$2,$E$25:$E$267,Parameters!$M$7,Calendrier!$C$25:$C$267,DY10)+ COUNTIFS($D$25:$D$267,Parameters!$K$4,$E$25:$E$267,Parameters!$M$7,Calendrier!$C$25:$C$267,DY10))</f>
        <v/>
      </c>
      <c r="TD10" s="55" t="str">
        <f>IF(DZ10="","",COUNTIFS($D$25:$D$267,Parameters!$K$2,$E$25:$E$267,Parameters!$M$7,Calendrier!$C$25:$C$267,DZ10)+ COUNTIFS($D$25:$D$267,Parameters!$K$3,$E$25:$E$267,Parameters!$M$7,Calendrier!$C$25:$C$267,DZ10))</f>
        <v/>
      </c>
      <c r="TE10" s="55" t="str">
        <f>IF(EA10="","",COUNTIFS($D$25:$D$267,Parameters!$K$2,$E$25:$E$267,Parameters!$M$7,Calendrier!$C$25:$C$267,EA10)+ COUNTIFS($D$25:$D$267,Parameters!$K$4,$E$25:$E$267,Parameters!$M$7,Calendrier!$C$25:$C$267,EA10))</f>
        <v/>
      </c>
      <c r="TF10" s="55" t="str">
        <f>IF(EB10="","",COUNTIFS($D$25:$D$267,Parameters!$K$2,$E$25:$E$267,Parameters!$M$7,Calendrier!$C$25:$C$267,EB10)+ COUNTIFS($D$25:$D$267,Parameters!$K$3,$E$25:$E$267,Parameters!$M$7,Calendrier!$C$25:$C$267,EB10))</f>
        <v/>
      </c>
      <c r="TG10" s="55" t="str">
        <f>IF(EC10="","",COUNTIFS($D$25:$D$267,Parameters!$K$2,$E$25:$E$267,Parameters!$M$7,Calendrier!$C$25:$C$267,EC10)+ COUNTIFS($D$25:$D$267,Parameters!$K$4,$E$25:$E$267,Parameters!$M$7,Calendrier!$C$25:$C$267,EC10))</f>
        <v/>
      </c>
      <c r="TH10" s="55" t="str">
        <f>IF(ED10="","",COUNTIFS($D$25:$D$267,Parameters!$K$2,$E$25:$E$267,Parameters!$M$7,Calendrier!$C$25:$C$267,ED10)+ COUNTIFS($D$25:$D$267,Parameters!$K$3,$E$25:$E$267,Parameters!$M$7,Calendrier!$C$25:$C$267,ED10))</f>
        <v/>
      </c>
      <c r="TI10" s="55" t="str">
        <f>IF(EE10="","",COUNTIFS($D$25:$D$267,Parameters!$K$2,$E$25:$E$267,Parameters!$M$7,Calendrier!$C$25:$C$267,EE10)+ COUNTIFS($D$25:$D$267,Parameters!$K$4,$E$25:$E$267,Parameters!$M$7,Calendrier!$C$25:$C$267,EE10))</f>
        <v/>
      </c>
      <c r="TJ10" s="55" t="str">
        <f>IF(EF10="","",COUNTIFS($D$25:$D$267,Parameters!$K$2,$E$25:$E$267,Parameters!$M$7,Calendrier!$C$25:$C$267,EF10)+ COUNTIFS($D$25:$D$267,Parameters!$K$3,$E$25:$E$267,Parameters!$M$7,Calendrier!$C$25:$C$267,EF10))</f>
        <v/>
      </c>
      <c r="TK10" s="55" t="str">
        <f>IF(EG10="","",COUNTIFS($D$25:$D$267,Parameters!$K$2,$E$25:$E$267,Parameters!$M$7,Calendrier!$C$25:$C$267,EG10)+ COUNTIFS($D$25:$D$267,Parameters!$K$4,$E$25:$E$267,Parameters!$M$7,Calendrier!$C$25:$C$267,EG10))</f>
        <v/>
      </c>
      <c r="TL10" s="55" t="str">
        <f>IF(EH10="","",COUNTIFS($D$25:$D$267,Parameters!$K$2,$E$25:$E$267,Parameters!$M$7,Calendrier!$C$25:$C$267,EH10)+ COUNTIFS($D$25:$D$267,Parameters!$K$3,$E$25:$E$267,Parameters!$M$7,Calendrier!$C$25:$C$267,EH10))</f>
        <v/>
      </c>
      <c r="TM10" s="55" t="str">
        <f>IF(EI10="","",COUNTIFS($D$25:$D$267,Parameters!$K$2,$E$25:$E$267,Parameters!$M$7,Calendrier!$C$25:$C$267,EI10)+ COUNTIFS($D$25:$D$267,Parameters!$K$4,$E$25:$E$267,Parameters!$M$7,Calendrier!$C$25:$C$267,EI10))</f>
        <v/>
      </c>
      <c r="TN10" s="55">
        <f>IF(EJ10="","",COUNTIFS($D$25:$D$267,Parameters!$K$2,$E$25:$E$267,Parameters!$M$7,Calendrier!$C$25:$C$267,EJ10)+ COUNTIFS($D$25:$D$267,Parameters!$K$3,$E$25:$E$267,Parameters!$M$7,Calendrier!$C$25:$C$267,EJ10))</f>
        <v>0</v>
      </c>
      <c r="TO10" s="56">
        <f>IF(EK10="","",COUNTIFS($D$25:$D$267,Parameters!$K$2,$E$25:$E$267,Parameters!$M$7,Calendrier!$C$25:$C$267,EK10)+ COUNTIFS($D$25:$D$267,Parameters!$K$4,$E$25:$E$267,Parameters!$M$7,Calendrier!$C$25:$C$267,EK10))</f>
        <v>0</v>
      </c>
      <c r="TR10" s="54" t="str">
        <f>IF(EN10="","",COUNTIFS($D$25:$D$267,Parameters!$K$2,$E$25:$E$267,Parameters!$M$7,Calendrier!$C$25:$C$267,EN10)+ COUNTIFS($D$25:$D$267,Parameters!$K$3,$E$25:$E$267,Parameters!$M$7,Calendrier!$C$25:$C$267,EN10))</f>
        <v/>
      </c>
      <c r="TS10" s="55" t="str">
        <f>IF(EO10="","",COUNTIFS($D$25:$D$267,Parameters!$K$2,$E$25:$E$267,Parameters!$M$7,Calendrier!$C$25:$C$267,EO10)+ COUNTIFS($D$25:$D$267,Parameters!$K$4,$E$25:$E$267,Parameters!$M$7,Calendrier!$C$25:$C$267,EO10))</f>
        <v/>
      </c>
      <c r="TT10" s="55" t="str">
        <f>IF(EP10="","",COUNTIFS($D$25:$D$267,Parameters!$K$2,$E$25:$E$267,Parameters!$M$7,Calendrier!$C$25:$C$267,EP10)+ COUNTIFS($D$25:$D$267,Parameters!$K$3,$E$25:$E$267,Parameters!$M$7,Calendrier!$C$25:$C$267,EP10))</f>
        <v/>
      </c>
      <c r="TU10" s="55" t="str">
        <f>IF(EQ10="","",COUNTIFS($D$25:$D$267,Parameters!$K$2,$E$25:$E$267,Parameters!$M$7,Calendrier!$C$25:$C$267,EQ10)+ COUNTIFS($D$25:$D$267,Parameters!$K$4,$E$25:$E$267,Parameters!$M$7,Calendrier!$C$25:$C$267,EQ10))</f>
        <v/>
      </c>
      <c r="TV10" s="55" t="str">
        <f>IF(ER10="","",COUNTIFS($D$25:$D$267,Parameters!$K$2,$E$25:$E$267,Parameters!$M$7,Calendrier!$C$25:$C$267,ER10)+ COUNTIFS($D$25:$D$267,Parameters!$K$3,$E$25:$E$267,Parameters!$M$7,Calendrier!$C$25:$C$267,ER10))</f>
        <v/>
      </c>
      <c r="TW10" s="55" t="str">
        <f>IF(ES10="","",COUNTIFS($D$25:$D$267,Parameters!$K$2,$E$25:$E$267,Parameters!$M$7,Calendrier!$C$25:$C$267,ES10)+ COUNTIFS($D$25:$D$267,Parameters!$K$4,$E$25:$E$267,Parameters!$M$7,Calendrier!$C$25:$C$267,ES10))</f>
        <v/>
      </c>
      <c r="TX10" s="55" t="str">
        <f>IF(ET10="","",COUNTIFS($D$25:$D$267,Parameters!$K$2,$E$25:$E$267,Parameters!$M$7,Calendrier!$C$25:$C$267,ET10)+ COUNTIFS($D$25:$D$267,Parameters!$K$3,$E$25:$E$267,Parameters!$M$7,Calendrier!$C$25:$C$267,ET10))</f>
        <v/>
      </c>
      <c r="TY10" s="55" t="str">
        <f>IF(EU10="","",COUNTIFS($D$25:$D$267,Parameters!$K$2,$E$25:$E$267,Parameters!$M$7,Calendrier!$C$25:$C$267,EU10)+ COUNTIFS($D$25:$D$267,Parameters!$K$4,$E$25:$E$267,Parameters!$M$7,Calendrier!$C$25:$C$267,EU10))</f>
        <v/>
      </c>
      <c r="TZ10" s="55" t="str">
        <f>IF(EV10="","",COUNTIFS($D$25:$D$267,Parameters!$K$2,$E$25:$E$267,Parameters!$M$7,Calendrier!$C$25:$C$267,EV10)+ COUNTIFS($D$25:$D$267,Parameters!$K$3,$E$25:$E$267,Parameters!$M$7,Calendrier!$C$25:$C$267,EV10))</f>
        <v/>
      </c>
      <c r="UA10" s="55" t="str">
        <f>IF(EW10="","",COUNTIFS($D$25:$D$267,Parameters!$K$2,$E$25:$E$267,Parameters!$M$7,Calendrier!$C$25:$C$267,EW10)+ COUNTIFS($D$25:$D$267,Parameters!$K$4,$E$25:$E$267,Parameters!$M$7,Calendrier!$C$25:$C$267,EW10))</f>
        <v/>
      </c>
      <c r="UB10" s="55" t="str">
        <f>IF(EX10="","",COUNTIFS($D$25:$D$267,Parameters!$K$2,$E$25:$E$267,Parameters!$M$7,Calendrier!$C$25:$C$267,EX10)+ COUNTIFS($D$25:$D$267,Parameters!$K$3,$E$25:$E$267,Parameters!$M$7,Calendrier!$C$25:$C$267,EX10))</f>
        <v/>
      </c>
      <c r="UC10" s="55" t="str">
        <f>IF(EY10="","",COUNTIFS($D$25:$D$267,Parameters!$K$2,$E$25:$E$267,Parameters!$M$7,Calendrier!$C$25:$C$267,EY10)+ COUNTIFS($D$25:$D$267,Parameters!$K$4,$E$25:$E$267,Parameters!$M$7,Calendrier!$C$25:$C$267,EY10))</f>
        <v/>
      </c>
      <c r="UD10" s="55">
        <f>IF(EZ10="","",COUNTIFS($D$25:$D$267,Parameters!$K$2,$E$25:$E$267,Parameters!$M$7,Calendrier!$C$25:$C$267,EZ10)+ COUNTIFS($D$25:$D$267,Parameters!$K$3,$E$25:$E$267,Parameters!$M$7,Calendrier!$C$25:$C$267,EZ10))</f>
        <v>0</v>
      </c>
      <c r="UE10" s="56">
        <f>IF(FA10="","",COUNTIFS($D$25:$D$267,Parameters!$K$2,$E$25:$E$267,Parameters!$M$7,Calendrier!$C$25:$C$267,FA10)+ COUNTIFS($D$25:$D$267,Parameters!$K$4,$E$25:$E$267,Parameters!$M$7,Calendrier!$C$25:$C$267,FA10))</f>
        <v>0</v>
      </c>
    </row>
    <row r="11" spans="2:551" ht="15" thickBot="1" x14ac:dyDescent="0.35">
      <c r="B11" s="11"/>
      <c r="C11" s="5"/>
      <c r="D11"/>
      <c r="G11" s="12"/>
      <c r="K11" s="31"/>
      <c r="L11" s="22">
        <f>X10+1</f>
        <v>5</v>
      </c>
      <c r="M11" s="23"/>
      <c r="N11" s="22">
        <f>L11+1</f>
        <v>6</v>
      </c>
      <c r="O11" s="23"/>
      <c r="P11" s="22">
        <f>N11+1</f>
        <v>7</v>
      </c>
      <c r="Q11" s="23"/>
      <c r="R11" s="22">
        <f>P11+1</f>
        <v>8</v>
      </c>
      <c r="S11" s="23"/>
      <c r="T11" s="22">
        <f>R11+1</f>
        <v>9</v>
      </c>
      <c r="U11" s="23"/>
      <c r="V11" s="22">
        <f>T11+1</f>
        <v>10</v>
      </c>
      <c r="W11" s="23"/>
      <c r="X11" s="22">
        <f>V11+1</f>
        <v>11</v>
      </c>
      <c r="Y11" s="23"/>
      <c r="Z11" s="31"/>
      <c r="AA11" s="31"/>
      <c r="AB11" s="22">
        <f t="shared" ref="AB11:AB13" si="36">AN10+1</f>
        <v>2</v>
      </c>
      <c r="AC11" s="23"/>
      <c r="AD11" s="22">
        <f>AB11+1</f>
        <v>3</v>
      </c>
      <c r="AE11" s="23"/>
      <c r="AF11" s="22">
        <f>AD11+1</f>
        <v>4</v>
      </c>
      <c r="AG11" s="23"/>
      <c r="AH11" s="22">
        <f>AF11+1</f>
        <v>5</v>
      </c>
      <c r="AI11" s="23"/>
      <c r="AJ11" s="22">
        <f>AH11+1</f>
        <v>6</v>
      </c>
      <c r="AK11" s="23"/>
      <c r="AL11" s="22">
        <f>AJ11+1</f>
        <v>7</v>
      </c>
      <c r="AM11" s="23"/>
      <c r="AN11" s="22">
        <f>AL11+1</f>
        <v>8</v>
      </c>
      <c r="AO11" s="23"/>
      <c r="AP11" s="31"/>
      <c r="AQ11" s="31"/>
      <c r="AR11" s="22">
        <f>BD10+1</f>
        <v>2</v>
      </c>
      <c r="AS11" s="23"/>
      <c r="AT11" s="22">
        <f>AR11+1</f>
        <v>3</v>
      </c>
      <c r="AU11" s="23"/>
      <c r="AV11" s="22">
        <f>AT11+1</f>
        <v>4</v>
      </c>
      <c r="AW11" s="23"/>
      <c r="AX11" s="22">
        <f>AV11+1</f>
        <v>5</v>
      </c>
      <c r="AY11" s="23"/>
      <c r="AZ11" s="22">
        <f>AX11+1</f>
        <v>6</v>
      </c>
      <c r="BA11" s="23"/>
      <c r="BB11" s="22">
        <f>AZ11+1</f>
        <v>7</v>
      </c>
      <c r="BC11" s="23"/>
      <c r="BD11" s="22">
        <f>BB11+1</f>
        <v>8</v>
      </c>
      <c r="BE11" s="23"/>
      <c r="BF11" s="31"/>
      <c r="BG11" s="31"/>
      <c r="BJ11" s="42"/>
      <c r="BK11" s="6">
        <v>1</v>
      </c>
      <c r="BL11" s="6">
        <v>1</v>
      </c>
      <c r="BM11" s="6">
        <v>1</v>
      </c>
      <c r="BN11" s="6">
        <v>1</v>
      </c>
      <c r="BO11" s="6">
        <v>1</v>
      </c>
      <c r="BP11" s="6">
        <v>1</v>
      </c>
      <c r="BQ11" s="6">
        <v>1</v>
      </c>
      <c r="BR11" s="6">
        <v>1</v>
      </c>
      <c r="BS11" s="6">
        <v>1</v>
      </c>
      <c r="BT11" s="6">
        <v>1</v>
      </c>
      <c r="BU11" s="6">
        <v>1</v>
      </c>
      <c r="BV11" s="6">
        <v>1</v>
      </c>
      <c r="BW11" s="6">
        <v>1</v>
      </c>
      <c r="CA11" s="6">
        <v>2</v>
      </c>
      <c r="CB11" s="6">
        <v>2</v>
      </c>
      <c r="CC11" s="6">
        <v>2</v>
      </c>
      <c r="CD11" s="6">
        <v>2</v>
      </c>
      <c r="CE11" s="6">
        <v>2</v>
      </c>
      <c r="CF11" s="6">
        <v>2</v>
      </c>
      <c r="CG11" s="6">
        <v>2</v>
      </c>
      <c r="CH11" s="6">
        <v>2</v>
      </c>
      <c r="CI11" s="6">
        <v>2</v>
      </c>
      <c r="CJ11" s="6">
        <v>2</v>
      </c>
      <c r="CK11" s="6">
        <v>2</v>
      </c>
      <c r="CL11" s="6">
        <v>2</v>
      </c>
      <c r="CM11" s="6">
        <v>2</v>
      </c>
      <c r="CQ11" s="6">
        <v>3</v>
      </c>
      <c r="CR11" s="6">
        <v>3</v>
      </c>
      <c r="CS11" s="6">
        <v>3</v>
      </c>
      <c r="CT11" s="6">
        <v>3</v>
      </c>
      <c r="CU11" s="6">
        <v>3</v>
      </c>
      <c r="CV11" s="6">
        <v>3</v>
      </c>
      <c r="CW11" s="6">
        <v>3</v>
      </c>
      <c r="CX11" s="6">
        <v>3</v>
      </c>
      <c r="CY11" s="6">
        <v>3</v>
      </c>
      <c r="CZ11" s="6">
        <v>3</v>
      </c>
      <c r="DA11" s="6">
        <v>3</v>
      </c>
      <c r="DB11" s="6">
        <v>3</v>
      </c>
      <c r="DC11" s="6">
        <v>3</v>
      </c>
      <c r="DG11" s="42"/>
      <c r="DH11" s="43">
        <f t="shared" ref="DH11:DH15" si="37">IF(L11="","",DATE($K$2,BK11,L11))</f>
        <v>46027</v>
      </c>
      <c r="DI11" s="44">
        <f t="shared" ref="DI11" si="38">DH11</f>
        <v>46027</v>
      </c>
      <c r="DJ11" s="44">
        <f t="shared" si="0"/>
        <v>46028</v>
      </c>
      <c r="DK11" s="44">
        <f t="shared" ref="DK11" si="39">DJ11</f>
        <v>46028</v>
      </c>
      <c r="DL11" s="44">
        <f t="shared" si="2"/>
        <v>46029</v>
      </c>
      <c r="DM11" s="44">
        <f t="shared" ref="DM11" si="40">DL11</f>
        <v>46029</v>
      </c>
      <c r="DN11" s="44">
        <f t="shared" si="4"/>
        <v>46030</v>
      </c>
      <c r="DO11" s="44">
        <f t="shared" ref="DO11" si="41">DN11</f>
        <v>46030</v>
      </c>
      <c r="DP11" s="44">
        <f t="shared" si="6"/>
        <v>46031</v>
      </c>
      <c r="DQ11" s="44">
        <f t="shared" ref="DQ11" si="42">DP11</f>
        <v>46031</v>
      </c>
      <c r="DR11" s="44">
        <f t="shared" si="8"/>
        <v>46032</v>
      </c>
      <c r="DS11" s="44">
        <f t="shared" ref="DS11" si="43">DR11</f>
        <v>46032</v>
      </c>
      <c r="DT11" s="44">
        <f t="shared" si="10"/>
        <v>46033</v>
      </c>
      <c r="DU11" s="45">
        <f t="shared" si="11"/>
        <v>46033</v>
      </c>
      <c r="DX11" s="43">
        <f t="shared" ref="DX11:DX15" si="44">IF(AB11="","",DATE($K$2,CA11,AB11))</f>
        <v>46055</v>
      </c>
      <c r="DY11" s="44">
        <f t="shared" ref="DY11" si="45">DX11</f>
        <v>46055</v>
      </c>
      <c r="DZ11" s="44">
        <f t="shared" si="12"/>
        <v>46056</v>
      </c>
      <c r="EA11" s="44">
        <f t="shared" ref="EA11" si="46">DZ11</f>
        <v>46056</v>
      </c>
      <c r="EB11" s="44">
        <f t="shared" si="14"/>
        <v>46057</v>
      </c>
      <c r="EC11" s="44">
        <f t="shared" ref="EC11" si="47">EB11</f>
        <v>46057</v>
      </c>
      <c r="ED11" s="44">
        <f t="shared" si="16"/>
        <v>46058</v>
      </c>
      <c r="EE11" s="44">
        <f t="shared" ref="EE11" si="48">ED11</f>
        <v>46058</v>
      </c>
      <c r="EF11" s="44">
        <f t="shared" si="18"/>
        <v>46059</v>
      </c>
      <c r="EG11" s="44">
        <f t="shared" ref="EG11" si="49">EF11</f>
        <v>46059</v>
      </c>
      <c r="EH11" s="44">
        <f t="shared" si="20"/>
        <v>46060</v>
      </c>
      <c r="EI11" s="44">
        <f t="shared" ref="EI11" si="50">EH11</f>
        <v>46060</v>
      </c>
      <c r="EJ11" s="44">
        <f t="shared" si="22"/>
        <v>46061</v>
      </c>
      <c r="EK11" s="45">
        <f t="shared" si="23"/>
        <v>46061</v>
      </c>
      <c r="EN11" s="43">
        <f t="shared" ref="EN11:EN15" si="51">IF(AR11="","",DATE($K$2,CQ11,AR11))</f>
        <v>46083</v>
      </c>
      <c r="EO11" s="44">
        <f t="shared" ref="EO11" si="52">EN11</f>
        <v>46083</v>
      </c>
      <c r="EP11" s="44">
        <f t="shared" si="24"/>
        <v>46084</v>
      </c>
      <c r="EQ11" s="44">
        <f t="shared" ref="EQ11" si="53">EP11</f>
        <v>46084</v>
      </c>
      <c r="ER11" s="44">
        <f t="shared" si="26"/>
        <v>46085</v>
      </c>
      <c r="ES11" s="44">
        <f t="shared" ref="ES11" si="54">ER11</f>
        <v>46085</v>
      </c>
      <c r="ET11" s="44">
        <f t="shared" si="28"/>
        <v>46086</v>
      </c>
      <c r="EU11" s="44">
        <f t="shared" ref="EU11" si="55">ET11</f>
        <v>46086</v>
      </c>
      <c r="EV11" s="44">
        <f t="shared" si="30"/>
        <v>46087</v>
      </c>
      <c r="EW11" s="44">
        <f t="shared" ref="EW11" si="56">EV11</f>
        <v>46087</v>
      </c>
      <c r="EX11" s="44">
        <f t="shared" si="32"/>
        <v>46088</v>
      </c>
      <c r="EY11" s="44">
        <f t="shared" ref="EY11" si="57">EX11</f>
        <v>46088</v>
      </c>
      <c r="EZ11" s="44">
        <f t="shared" si="34"/>
        <v>46089</v>
      </c>
      <c r="FA11" s="45">
        <f t="shared" si="35"/>
        <v>46089</v>
      </c>
      <c r="FB11" s="44"/>
      <c r="FE11" s="49">
        <f>COUNTIFS(Parameters!$S:$S,$D$4,Parameters!$Q:$Q,DH11)</f>
        <v>0</v>
      </c>
      <c r="FF11" s="50">
        <f>COUNTIFS(Parameters!$S:$S,$D$4,Parameters!$Q:$Q,DI11)</f>
        <v>0</v>
      </c>
      <c r="FG11" s="50">
        <f>COUNTIFS(Parameters!$S:$S,$D$4,Parameters!$Q:$Q,DJ11)</f>
        <v>0</v>
      </c>
      <c r="FH11" s="50">
        <f>COUNTIFS(Parameters!$S:$S,$D$4,Parameters!$Q:$Q,DK11)</f>
        <v>0</v>
      </c>
      <c r="FI11" s="50">
        <f>COUNTIFS(Parameters!$S:$S,$D$4,Parameters!$Q:$Q,DL11)</f>
        <v>0</v>
      </c>
      <c r="FJ11" s="50">
        <f>COUNTIFS(Parameters!$S:$S,$D$4,Parameters!$Q:$Q,DM11)</f>
        <v>0</v>
      </c>
      <c r="FK11" s="50">
        <f>COUNTIFS(Parameters!$S:$S,$D$4,Parameters!$Q:$Q,DN11)</f>
        <v>0</v>
      </c>
      <c r="FL11" s="50">
        <f>COUNTIFS(Parameters!$S:$S,$D$4,Parameters!$Q:$Q,DO11)</f>
        <v>0</v>
      </c>
      <c r="FM11" s="50">
        <f>COUNTIFS(Parameters!$S:$S,$D$4,Parameters!$Q:$Q,DP11)</f>
        <v>0</v>
      </c>
      <c r="FN11" s="50">
        <f>COUNTIFS(Parameters!$S:$S,$D$4,Parameters!$Q:$Q,DQ11)</f>
        <v>0</v>
      </c>
      <c r="FO11" s="50">
        <f>COUNTIFS(Parameters!$S:$S,$D$4,Parameters!$Q:$Q,DR11)</f>
        <v>0</v>
      </c>
      <c r="FP11" s="50">
        <f>COUNTIFS(Parameters!$S:$S,$D$4,Parameters!$Q:$Q,DS11)</f>
        <v>0</v>
      </c>
      <c r="FQ11" s="50">
        <f>COUNTIFS(Parameters!$S:$S,$D$4,Parameters!$Q:$Q,DT11)</f>
        <v>0</v>
      </c>
      <c r="FR11" s="57">
        <f>COUNTIFS(Parameters!$S:$S,$D$4,Parameters!$Q:$Q,DU11)</f>
        <v>0</v>
      </c>
      <c r="FU11" s="49">
        <f>COUNTIFS(Parameters!$S:$S,$D$4,Parameters!$Q:$Q,DX11)</f>
        <v>0</v>
      </c>
      <c r="FV11" s="50">
        <f>COUNTIFS(Parameters!$S:$S,$D$4,Parameters!$Q:$Q,DY11)</f>
        <v>0</v>
      </c>
      <c r="FW11" s="50">
        <f>COUNTIFS(Parameters!$S:$S,$D$4,Parameters!$Q:$Q,DZ11)</f>
        <v>0</v>
      </c>
      <c r="FX11" s="50">
        <f>COUNTIFS(Parameters!$S:$S,$D$4,Parameters!$Q:$Q,EA11)</f>
        <v>0</v>
      </c>
      <c r="FY11" s="50">
        <f>COUNTIFS(Parameters!$S:$S,$D$4,Parameters!$Q:$Q,EB11)</f>
        <v>0</v>
      </c>
      <c r="FZ11" s="50">
        <f>COUNTIFS(Parameters!$S:$S,$D$4,Parameters!$Q:$Q,EC11)</f>
        <v>0</v>
      </c>
      <c r="GA11" s="50">
        <f>COUNTIFS(Parameters!$S:$S,$D$4,Parameters!$Q:$Q,ED11)</f>
        <v>0</v>
      </c>
      <c r="GB11" s="50">
        <f>COUNTIFS(Parameters!$S:$S,$D$4,Parameters!$Q:$Q,EE11)</f>
        <v>0</v>
      </c>
      <c r="GC11" s="50">
        <f>COUNTIFS(Parameters!$S:$S,$D$4,Parameters!$Q:$Q,EF11)</f>
        <v>0</v>
      </c>
      <c r="GD11" s="50">
        <f>COUNTIFS(Parameters!$S:$S,$D$4,Parameters!$Q:$Q,EG11)</f>
        <v>0</v>
      </c>
      <c r="GE11" s="50">
        <f>COUNTIFS(Parameters!$S:$S,$D$4,Parameters!$Q:$Q,EH11)</f>
        <v>0</v>
      </c>
      <c r="GF11" s="50">
        <f>COUNTIFS(Parameters!$S:$S,$D$4,Parameters!$Q:$Q,EI11)</f>
        <v>0</v>
      </c>
      <c r="GG11" s="50">
        <f>COUNTIFS(Parameters!$S:$S,$D$4,Parameters!$Q:$Q,EJ11)</f>
        <v>0</v>
      </c>
      <c r="GH11" s="57">
        <f>COUNTIFS(Parameters!$S:$S,$D$4,Parameters!$Q:$Q,EK11)</f>
        <v>0</v>
      </c>
      <c r="GK11" s="49">
        <f>COUNTIFS(Parameters!$S:$S,$D$4,Parameters!$Q:$Q,EN11)</f>
        <v>0</v>
      </c>
      <c r="GL11" s="50">
        <f>COUNTIFS(Parameters!$S:$S,$D$4,Parameters!$Q:$Q,EO11)</f>
        <v>0</v>
      </c>
      <c r="GM11" s="50">
        <f>COUNTIFS(Parameters!$S:$S,$D$4,Parameters!$Q:$Q,EP11)</f>
        <v>0</v>
      </c>
      <c r="GN11" s="50">
        <f>COUNTIFS(Parameters!$S:$S,$D$4,Parameters!$Q:$Q,EQ11)</f>
        <v>0</v>
      </c>
      <c r="GO11" s="50">
        <f>COUNTIFS(Parameters!$S:$S,$D$4,Parameters!$Q:$Q,ER11)</f>
        <v>0</v>
      </c>
      <c r="GP11" s="50">
        <f>COUNTIFS(Parameters!$S:$S,$D$4,Parameters!$Q:$Q,ES11)</f>
        <v>0</v>
      </c>
      <c r="GQ11" s="50">
        <f>COUNTIFS(Parameters!$S:$S,$D$4,Parameters!$Q:$Q,ET11)</f>
        <v>0</v>
      </c>
      <c r="GR11" s="50">
        <f>COUNTIFS(Parameters!$S:$S,$D$4,Parameters!$Q:$Q,EU11)</f>
        <v>0</v>
      </c>
      <c r="GS11" s="50">
        <f>COUNTIFS(Parameters!$S:$S,$D$4,Parameters!$Q:$Q,EV11)</f>
        <v>0</v>
      </c>
      <c r="GT11" s="50">
        <f>COUNTIFS(Parameters!$S:$S,$D$4,Parameters!$Q:$Q,EW11)</f>
        <v>0</v>
      </c>
      <c r="GU11" s="50">
        <f>COUNTIFS(Parameters!$S:$S,$D$4,Parameters!$Q:$Q,EX11)</f>
        <v>0</v>
      </c>
      <c r="GV11" s="50">
        <f>COUNTIFS(Parameters!$S:$S,$D$4,Parameters!$Q:$Q,EY11)</f>
        <v>0</v>
      </c>
      <c r="GW11" s="50">
        <f>COUNTIFS(Parameters!$S:$S,$D$4,Parameters!$Q:$Q,EZ11)</f>
        <v>0</v>
      </c>
      <c r="GX11" s="57">
        <f>COUNTIFS(Parameters!$S:$S,$D$4,Parameters!$Q:$Q,FA11)</f>
        <v>0</v>
      </c>
      <c r="HB11" s="49">
        <f>IF(DH11="","",COUNTIFS($D$25:$D$267,Parameters!$K$2,$E$25:$E$267,Parameters!$M$2,Calendrier!$C$25:$C$267,DH11)+ COUNTIFS($D$25:$D$267,Parameters!$K$3,$E$25:$E$267,Parameters!$M$2,Calendrier!$C$25:$C$267,DH11))</f>
        <v>0</v>
      </c>
      <c r="HC11" s="50">
        <f>IF(DI11="","",COUNTIFS($D$25:$D$267,Parameters!$K$2,$E$25:$E$267,Parameters!$M$2,Calendrier!$C$25:$C$267,DI11)+ COUNTIFS($D$25:$D$267,Parameters!$K$4,$E$25:$E$267,Parameters!$M$2,Calendrier!$C$25:$C$267,DI11))</f>
        <v>0</v>
      </c>
      <c r="HD11" s="50">
        <f>IF(DJ11="","",COUNTIFS($D$25:$D$267,Parameters!$K$2,$E$25:$E$267,Parameters!$M$2,Calendrier!$C$25:$C$267,DJ11)+ COUNTIFS($D$25:$D$267,Parameters!$K$3,$E$25:$E$267,Parameters!$M$2,Calendrier!$C$25:$C$267,DJ11))</f>
        <v>0</v>
      </c>
      <c r="HE11" s="50">
        <f>IF(DK11="","",COUNTIFS($D$25:$D$267,Parameters!$K$2,$E$25:$E$267,Parameters!$M$2,Calendrier!$C$25:$C$267,DK11)+ COUNTIFS($D$25:$D$267,Parameters!$K$4,$E$25:$E$267,Parameters!$M$2,Calendrier!$C$25:$C$267,DK11))</f>
        <v>0</v>
      </c>
      <c r="HF11" s="50">
        <f>IF(DL11="","",COUNTIFS($D$25:$D$267,Parameters!$K$2,$E$25:$E$267,Parameters!$M$2,Calendrier!$C$25:$C$267,DL11)+ COUNTIFS($D$25:$D$267,Parameters!$K$3,$E$25:$E$267,Parameters!$M$2,Calendrier!$C$25:$C$267,DL11))</f>
        <v>0</v>
      </c>
      <c r="HG11" s="50">
        <f>IF(DM11="","",COUNTIFS($D$25:$D$267,Parameters!$K$2,$E$25:$E$267,Parameters!$M$2,Calendrier!$C$25:$C$267,DM11)+ COUNTIFS($D$25:$D$267,Parameters!$K$4,$E$25:$E$267,Parameters!$M$2,Calendrier!$C$25:$C$267,DM11))</f>
        <v>0</v>
      </c>
      <c r="HH11" s="50">
        <f>IF(DN11="","",COUNTIFS($D$25:$D$267,Parameters!$K$2,$E$25:$E$267,Parameters!$M$2,Calendrier!$C$25:$C$267,DN11)+ COUNTIFS($D$25:$D$267,Parameters!$K$3,$E$25:$E$267,Parameters!$M$2,Calendrier!$C$25:$C$267,DN11))</f>
        <v>0</v>
      </c>
      <c r="HI11" s="50">
        <f>IF(DO11="","",COUNTIFS($D$25:$D$267,Parameters!$K$2,$E$25:$E$267,Parameters!$M$2,Calendrier!$C$25:$C$267,DO11)+ COUNTIFS($D$25:$D$267,Parameters!$K$4,$E$25:$E$267,Parameters!$M$2,Calendrier!$C$25:$C$267,DO11))</f>
        <v>0</v>
      </c>
      <c r="HJ11" s="50">
        <f>IF(DP11="","",COUNTIFS($D$25:$D$267,Parameters!$K$2,$E$25:$E$267,Parameters!$M$2,Calendrier!$C$25:$C$267,DP11)+ COUNTIFS($D$25:$D$267,Parameters!$K$3,$E$25:$E$267,Parameters!$M$2,Calendrier!$C$25:$C$267,DP11))</f>
        <v>0</v>
      </c>
      <c r="HK11" s="50">
        <f>IF(DQ11="","",COUNTIFS($D$25:$D$267,Parameters!$K$2,$E$25:$E$267,Parameters!$M$2,Calendrier!$C$25:$C$267,DQ11)+ COUNTIFS($D$25:$D$267,Parameters!$K$4,$E$25:$E$267,Parameters!$M$2,Calendrier!$C$25:$C$267,DQ11))</f>
        <v>0</v>
      </c>
      <c r="HL11" s="50">
        <f>IF(DR11="","",COUNTIFS($D$25:$D$267,Parameters!$K$2,$E$25:$E$267,Parameters!$M$2,Calendrier!$C$25:$C$267,DR11)+ COUNTIFS($D$25:$D$267,Parameters!$K$3,$E$25:$E$267,Parameters!$M$2,Calendrier!$C$25:$C$267,DR11))</f>
        <v>0</v>
      </c>
      <c r="HM11" s="50">
        <f>IF(DS11="","",COUNTIFS($D$25:$D$267,Parameters!$K$2,$E$25:$E$267,Parameters!$M$2,Calendrier!$C$25:$C$267,DS11)+ COUNTIFS($D$25:$D$267,Parameters!$K$4,$E$25:$E$267,Parameters!$M$2,Calendrier!$C$25:$C$267,DS11))</f>
        <v>0</v>
      </c>
      <c r="HN11" s="50">
        <f>IF(DT11="","",COUNTIFS($D$25:$D$267,Parameters!$K$2,$E$25:$E$267,Parameters!$M$2,Calendrier!$C$25:$C$267,DT11)+ COUNTIFS($D$25:$D$267,Parameters!$K$3,$E$25:$E$267,Parameters!$M$2,Calendrier!$C$25:$C$267,DT11))</f>
        <v>0</v>
      </c>
      <c r="HO11" s="57">
        <f>IF(DU11="","",COUNTIFS($D$25:$D$267,Parameters!$K$2,$E$25:$E$267,Parameters!$M$2,Calendrier!$C$25:$C$267,DU11)+ COUNTIFS($D$25:$D$267,Parameters!$K$4,$E$25:$E$267,Parameters!$M$2,Calendrier!$C$25:$C$267,DU11))</f>
        <v>0</v>
      </c>
      <c r="HR11" s="49">
        <f>IF(DX11="","",COUNTIFS($D$25:$D$267,Parameters!$K$2,$E$25:$E$267,Parameters!$M$2,Calendrier!$C$25:$C$267,DX11)+ COUNTIFS($D$25:$D$267,Parameters!$K$3,$E$25:$E$267,Parameters!$M$2,Calendrier!$C$25:$C$267,DX11))</f>
        <v>0</v>
      </c>
      <c r="HS11" s="50">
        <f>IF(DY11="","",COUNTIFS($D$25:$D$267,Parameters!$K$2,$E$25:$E$267,Parameters!$M$2,Calendrier!$C$25:$C$267,DY11)+ COUNTIFS($D$25:$D$267,Parameters!$K$4,$E$25:$E$267,Parameters!$M$2,Calendrier!$C$25:$C$267,DY11))</f>
        <v>0</v>
      </c>
      <c r="HT11" s="50">
        <f>IF(DZ11="","",COUNTIFS($D$25:$D$267,Parameters!$K$2,$E$25:$E$267,Parameters!$M$2,Calendrier!$C$25:$C$267,DZ11)+ COUNTIFS($D$25:$D$267,Parameters!$K$3,$E$25:$E$267,Parameters!$M$2,Calendrier!$C$25:$C$267,DZ11))</f>
        <v>0</v>
      </c>
      <c r="HU11" s="50">
        <f>IF(EA11="","",COUNTIFS($D$25:$D$267,Parameters!$K$2,$E$25:$E$267,Parameters!$M$2,Calendrier!$C$25:$C$267,EA11)+ COUNTIFS($D$25:$D$267,Parameters!$K$4,$E$25:$E$267,Parameters!$M$2,Calendrier!$C$25:$C$267,EA11))</f>
        <v>0</v>
      </c>
      <c r="HV11" s="50">
        <f>IF(EB11="","",COUNTIFS($D$25:$D$267,Parameters!$K$2,$E$25:$E$267,Parameters!$M$2,Calendrier!$C$25:$C$267,EB11)+ COUNTIFS($D$25:$D$267,Parameters!$K$3,$E$25:$E$267,Parameters!$M$2,Calendrier!$C$25:$C$267,EB11))</f>
        <v>0</v>
      </c>
      <c r="HW11" s="50">
        <f>IF(EC11="","",COUNTIFS($D$25:$D$267,Parameters!$K$2,$E$25:$E$267,Parameters!$M$2,Calendrier!$C$25:$C$267,EC11)+ COUNTIFS($D$25:$D$267,Parameters!$K$4,$E$25:$E$267,Parameters!$M$2,Calendrier!$C$25:$C$267,EC11))</f>
        <v>0</v>
      </c>
      <c r="HX11" s="50">
        <f>IF(ED11="","",COUNTIFS($D$25:$D$267,Parameters!$K$2,$E$25:$E$267,Parameters!$M$2,Calendrier!$C$25:$C$267,ED11)+ COUNTIFS($D$25:$D$267,Parameters!$K$3,$E$25:$E$267,Parameters!$M$2,Calendrier!$C$25:$C$267,ED11))</f>
        <v>0</v>
      </c>
      <c r="HY11" s="50">
        <f>IF(EE11="","",COUNTIFS($D$25:$D$267,Parameters!$K$2,$E$25:$E$267,Parameters!$M$2,Calendrier!$C$25:$C$267,EE11)+ COUNTIFS($D$25:$D$267,Parameters!$K$4,$E$25:$E$267,Parameters!$M$2,Calendrier!$C$25:$C$267,EE11))</f>
        <v>0</v>
      </c>
      <c r="HZ11" s="50">
        <f>IF(EF11="","",COUNTIFS($D$25:$D$267,Parameters!$K$2,$E$25:$E$267,Parameters!$M$2,Calendrier!$C$25:$C$267,EF11)+ COUNTIFS($D$25:$D$267,Parameters!$K$3,$E$25:$E$267,Parameters!$M$2,Calendrier!$C$25:$C$267,EF11))</f>
        <v>0</v>
      </c>
      <c r="IA11" s="50">
        <f>IF(EG11="","",COUNTIFS($D$25:$D$267,Parameters!$K$2,$E$25:$E$267,Parameters!$M$2,Calendrier!$C$25:$C$267,EG11)+ COUNTIFS($D$25:$D$267,Parameters!$K$4,$E$25:$E$267,Parameters!$M$2,Calendrier!$C$25:$C$267,EG11))</f>
        <v>0</v>
      </c>
      <c r="IB11" s="50">
        <f>IF(EH11="","",COUNTIFS($D$25:$D$267,Parameters!$K$2,$E$25:$E$267,Parameters!$M$2,Calendrier!$C$25:$C$267,EH11)+ COUNTIFS($D$25:$D$267,Parameters!$K$3,$E$25:$E$267,Parameters!$M$2,Calendrier!$C$25:$C$267,EH11))</f>
        <v>0</v>
      </c>
      <c r="IC11" s="50">
        <f>IF(EI11="","",COUNTIFS($D$25:$D$267,Parameters!$K$2,$E$25:$E$267,Parameters!$M$2,Calendrier!$C$25:$C$267,EI11)+ COUNTIFS($D$25:$D$267,Parameters!$K$4,$E$25:$E$267,Parameters!$M$2,Calendrier!$C$25:$C$267,EI11))</f>
        <v>0</v>
      </c>
      <c r="ID11" s="50">
        <f>IF(EJ11="","",COUNTIFS($D$25:$D$267,Parameters!$K$2,$E$25:$E$267,Parameters!$M$2,Calendrier!$C$25:$C$267,EJ11)+ COUNTIFS($D$25:$D$267,Parameters!$K$3,$E$25:$E$267,Parameters!$M$2,Calendrier!$C$25:$C$267,EJ11))</f>
        <v>0</v>
      </c>
      <c r="IE11" s="57">
        <f>IF(EK11="","",COUNTIFS($D$25:$D$267,Parameters!$K$2,$E$25:$E$267,Parameters!$M$2,Calendrier!$C$25:$C$267,EK11)+ COUNTIFS($D$25:$D$267,Parameters!$K$4,$E$25:$E$267,Parameters!$M$2,Calendrier!$C$25:$C$267,EK11))</f>
        <v>0</v>
      </c>
      <c r="IH11" s="49">
        <f>IF(EN11="","",COUNTIFS($D$25:$D$267,Parameters!$K$2,$E$25:$E$267,Parameters!$M$2,Calendrier!$C$25:$C$267,EN11)+ COUNTIFS($D$25:$D$267,Parameters!$K$3,$E$25:$E$267,Parameters!$M$2,Calendrier!$C$25:$C$267,EN11))</f>
        <v>0</v>
      </c>
      <c r="II11" s="50">
        <f>IF(EO11="","",COUNTIFS($D$25:$D$267,Parameters!$K$2,$E$25:$E$267,Parameters!$M$2,Calendrier!$C$25:$C$267,EO11)+ COUNTIFS($D$25:$D$267,Parameters!$K$4,$E$25:$E$267,Parameters!$M$2,Calendrier!$C$25:$C$267,EO11))</f>
        <v>0</v>
      </c>
      <c r="IJ11" s="50">
        <f>IF(EP11="","",COUNTIFS($D$25:$D$267,Parameters!$K$2,$E$25:$E$267,Parameters!$M$2,Calendrier!$C$25:$C$267,EP11)+ COUNTIFS($D$25:$D$267,Parameters!$K$3,$E$25:$E$267,Parameters!$M$2,Calendrier!$C$25:$C$267,EP11))</f>
        <v>0</v>
      </c>
      <c r="IK11" s="50">
        <f>IF(EQ11="","",COUNTIFS($D$25:$D$267,Parameters!$K$2,$E$25:$E$267,Parameters!$M$2,Calendrier!$C$25:$C$267,EQ11)+ COUNTIFS($D$25:$D$267,Parameters!$K$4,$E$25:$E$267,Parameters!$M$2,Calendrier!$C$25:$C$267,EQ11))</f>
        <v>0</v>
      </c>
      <c r="IL11" s="50">
        <f>IF(ER11="","",COUNTIFS($D$25:$D$267,Parameters!$K$2,$E$25:$E$267,Parameters!$M$2,Calendrier!$C$25:$C$267,ER11)+ COUNTIFS($D$25:$D$267,Parameters!$K$3,$E$25:$E$267,Parameters!$M$2,Calendrier!$C$25:$C$267,ER11))</f>
        <v>0</v>
      </c>
      <c r="IM11" s="50">
        <f>IF(ES11="","",COUNTIFS($D$25:$D$267,Parameters!$K$2,$E$25:$E$267,Parameters!$M$2,Calendrier!$C$25:$C$267,ES11)+ COUNTIFS($D$25:$D$267,Parameters!$K$4,$E$25:$E$267,Parameters!$M$2,Calendrier!$C$25:$C$267,ES11))</f>
        <v>0</v>
      </c>
      <c r="IN11" s="50">
        <f>IF(ET11="","",COUNTIFS($D$25:$D$267,Parameters!$K$2,$E$25:$E$267,Parameters!$M$2,Calendrier!$C$25:$C$267,ET11)+ COUNTIFS($D$25:$D$267,Parameters!$K$3,$E$25:$E$267,Parameters!$M$2,Calendrier!$C$25:$C$267,ET11))</f>
        <v>0</v>
      </c>
      <c r="IO11" s="50">
        <f>IF(EU11="","",COUNTIFS($D$25:$D$267,Parameters!$K$2,$E$25:$E$267,Parameters!$M$2,Calendrier!$C$25:$C$267,EU11)+ COUNTIFS($D$25:$D$267,Parameters!$K$4,$E$25:$E$267,Parameters!$M$2,Calendrier!$C$25:$C$267,EU11))</f>
        <v>0</v>
      </c>
      <c r="IP11" s="50">
        <f>IF(EV11="","",COUNTIFS($D$25:$D$267,Parameters!$K$2,$E$25:$E$267,Parameters!$M$2,Calendrier!$C$25:$C$267,EV11)+ COUNTIFS($D$25:$D$267,Parameters!$K$3,$E$25:$E$267,Parameters!$M$2,Calendrier!$C$25:$C$267,EV11))</f>
        <v>0</v>
      </c>
      <c r="IQ11" s="50">
        <f>IF(EW11="","",COUNTIFS($D$25:$D$267,Parameters!$K$2,$E$25:$E$267,Parameters!$M$2,Calendrier!$C$25:$C$267,EW11)+ COUNTIFS($D$25:$D$267,Parameters!$K$4,$E$25:$E$267,Parameters!$M$2,Calendrier!$C$25:$C$267,EW11))</f>
        <v>0</v>
      </c>
      <c r="IR11" s="50">
        <f>IF(EX11="","",COUNTIFS($D$25:$D$267,Parameters!$K$2,$E$25:$E$267,Parameters!$M$2,Calendrier!$C$25:$C$267,EX11)+ COUNTIFS($D$25:$D$267,Parameters!$K$3,$E$25:$E$267,Parameters!$M$2,Calendrier!$C$25:$C$267,EX11))</f>
        <v>0</v>
      </c>
      <c r="IS11" s="50">
        <f>IF(EY11="","",COUNTIFS($D$25:$D$267,Parameters!$K$2,$E$25:$E$267,Parameters!$M$2,Calendrier!$C$25:$C$267,EY11)+ COUNTIFS($D$25:$D$267,Parameters!$K$4,$E$25:$E$267,Parameters!$M$2,Calendrier!$C$25:$C$267,EY11))</f>
        <v>0</v>
      </c>
      <c r="IT11" s="50">
        <f>IF(EZ11="","",COUNTIFS($D$25:$D$267,Parameters!$K$2,$E$25:$E$267,Parameters!$M$2,Calendrier!$C$25:$C$267,EZ11)+ COUNTIFS($D$25:$D$267,Parameters!$K$3,$E$25:$E$267,Parameters!$M$2,Calendrier!$C$25:$C$267,EZ11))</f>
        <v>0</v>
      </c>
      <c r="IU11" s="57">
        <f>IF(FA11="","",COUNTIFS($D$25:$D$267,Parameters!$K$2,$E$25:$E$267,Parameters!$M$2,Calendrier!$C$25:$C$267,FA11)+ COUNTIFS($D$25:$D$267,Parameters!$K$4,$E$25:$E$267,Parameters!$M$2,Calendrier!$C$25:$C$267,FA11))</f>
        <v>0</v>
      </c>
      <c r="IY11" s="49">
        <f>IF(DH11="","",COUNTIFS($D$25:$D$267,Parameters!$K$2,$E$25:$E$267,Parameters!$M$3,Calendrier!$C$25:$C$267,DH11)+ COUNTIFS($D$25:$D$267,Parameters!$K$3,$E$25:$E$267,Parameters!$M$3,Calendrier!$C$25:$C$267,DH11))</f>
        <v>0</v>
      </c>
      <c r="IZ11" s="50">
        <f>IF(DI11="","",COUNTIFS($D$25:$D$267,Parameters!$K$2,$E$25:$E$267,Parameters!$M$3,Calendrier!$C$25:$C$267,DI11)+ COUNTIFS($D$25:$D$267,Parameters!$K$4,$E$25:$E$267,Parameters!$M$3,Calendrier!$C$25:$C$267,DI11))</f>
        <v>0</v>
      </c>
      <c r="JA11" s="50">
        <f>IF(DJ11="","",COUNTIFS($D$25:$D$267,Parameters!$K$2,$E$25:$E$267,Parameters!$M$3,Calendrier!$C$25:$C$267,DJ11)+ COUNTIFS($D$25:$D$267,Parameters!$K$3,$E$25:$E$267,Parameters!$M$3,Calendrier!$C$25:$C$267,DJ11))</f>
        <v>0</v>
      </c>
      <c r="JB11" s="50">
        <f>IF(DK11="","",COUNTIFS($D$25:$D$267,Parameters!$K$2,$E$25:$E$267,Parameters!$M$3,Calendrier!$C$25:$C$267,DK11)+ COUNTIFS($D$25:$D$267,Parameters!$K$4,$E$25:$E$267,Parameters!$M$3,Calendrier!$C$25:$C$267,DK11))</f>
        <v>0</v>
      </c>
      <c r="JC11" s="50">
        <f>IF(DL11="","",COUNTIFS($D$25:$D$267,Parameters!$K$2,$E$25:$E$267,Parameters!$M$3,Calendrier!$C$25:$C$267,DL11)+ COUNTIFS($D$25:$D$267,Parameters!$K$3,$E$25:$E$267,Parameters!$M$3,Calendrier!$C$25:$C$267,DL11))</f>
        <v>0</v>
      </c>
      <c r="JD11" s="50">
        <f>IF(DM11="","",COUNTIFS($D$25:$D$267,Parameters!$K$2,$E$25:$E$267,Parameters!$M$3,Calendrier!$C$25:$C$267,DM11)+ COUNTIFS($D$25:$D$267,Parameters!$K$4,$E$25:$E$267,Parameters!$M$3,Calendrier!$C$25:$C$267,DM11))</f>
        <v>0</v>
      </c>
      <c r="JE11" s="50">
        <f>IF(DN11="","",COUNTIFS($D$25:$D$267,Parameters!$K$2,$E$25:$E$267,Parameters!$M$3,Calendrier!$C$25:$C$267,DN11)+ COUNTIFS($D$25:$D$267,Parameters!$K$3,$E$25:$E$267,Parameters!$M$3,Calendrier!$C$25:$C$267,DN11))</f>
        <v>0</v>
      </c>
      <c r="JF11" s="50">
        <f>IF(DO11="","",COUNTIFS($D$25:$D$267,Parameters!$K$2,$E$25:$E$267,Parameters!$M$3,Calendrier!$C$25:$C$267,DO11)+ COUNTIFS($D$25:$D$267,Parameters!$K$4,$E$25:$E$267,Parameters!$M$3,Calendrier!$C$25:$C$267,DO11))</f>
        <v>0</v>
      </c>
      <c r="JG11" s="50">
        <f>IF(DP11="","",COUNTIFS($D$25:$D$267,Parameters!$K$2,$E$25:$E$267,Parameters!$M$3,Calendrier!$C$25:$C$267,DP11)+ COUNTIFS($D$25:$D$267,Parameters!$K$3,$E$25:$E$267,Parameters!$M$3,Calendrier!$C$25:$C$267,DP11))</f>
        <v>0</v>
      </c>
      <c r="JH11" s="50">
        <f>IF(DQ11="","",COUNTIFS($D$25:$D$267,Parameters!$K$2,$E$25:$E$267,Parameters!$M$3,Calendrier!$C$25:$C$267,DQ11)+ COUNTIFS($D$25:$D$267,Parameters!$K$4,$E$25:$E$267,Parameters!$M$3,Calendrier!$C$25:$C$267,DQ11))</f>
        <v>0</v>
      </c>
      <c r="JI11" s="50">
        <f>IF(DR11="","",COUNTIFS($D$25:$D$267,Parameters!$K$2,$E$25:$E$267,Parameters!$M$3,Calendrier!$C$25:$C$267,DR11)+ COUNTIFS($D$25:$D$267,Parameters!$K$3,$E$25:$E$267,Parameters!$M$3,Calendrier!$C$25:$C$267,DR11))</f>
        <v>0</v>
      </c>
      <c r="JJ11" s="50">
        <f>IF(DS11="","",COUNTIFS($D$25:$D$267,Parameters!$K$2,$E$25:$E$267,Parameters!$M$3,Calendrier!$C$25:$C$267,DS11)+ COUNTIFS($D$25:$D$267,Parameters!$K$4,$E$25:$E$267,Parameters!$M$3,Calendrier!$C$25:$C$267,DS11))</f>
        <v>0</v>
      </c>
      <c r="JK11" s="50">
        <f>IF(DT11="","",COUNTIFS($D$25:$D$267,Parameters!$K$2,$E$25:$E$267,Parameters!$M$3,Calendrier!$C$25:$C$267,DT11)+ COUNTIFS($D$25:$D$267,Parameters!$K$3,$E$25:$E$267,Parameters!$M$3,Calendrier!$C$25:$C$267,DT11))</f>
        <v>0</v>
      </c>
      <c r="JL11" s="57">
        <f>IF(DU11="","",COUNTIFS($D$25:$D$267,Parameters!$K$2,$E$25:$E$267,Parameters!$M$3,Calendrier!$C$25:$C$267,DU11)+ COUNTIFS($D$25:$D$267,Parameters!$K$4,$E$25:$E$267,Parameters!$M$3,Calendrier!$C$25:$C$267,DU11))</f>
        <v>0</v>
      </c>
      <c r="JO11" s="49">
        <f>IF(DX11="","",COUNTIFS($D$25:$D$267,Parameters!$K$2,$E$25:$E$267,Parameters!$M$3,Calendrier!$C$25:$C$267,DX11)+ COUNTIFS($D$25:$D$267,Parameters!$K$3,$E$25:$E$267,Parameters!$M$3,Calendrier!$C$25:$C$267,DX11))</f>
        <v>0</v>
      </c>
      <c r="JP11" s="50">
        <f>IF(DY11="","",COUNTIFS($D$25:$D$267,Parameters!$K$2,$E$25:$E$267,Parameters!$M$3,Calendrier!$C$25:$C$267,DY11)+ COUNTIFS($D$25:$D$267,Parameters!$K$4,$E$25:$E$267,Parameters!$M$3,Calendrier!$C$25:$C$267,DY11))</f>
        <v>0</v>
      </c>
      <c r="JQ11" s="50">
        <f>IF(DZ11="","",COUNTIFS($D$25:$D$267,Parameters!$K$2,$E$25:$E$267,Parameters!$M$3,Calendrier!$C$25:$C$267,DZ11)+ COUNTIFS($D$25:$D$267,Parameters!$K$3,$E$25:$E$267,Parameters!$M$3,Calendrier!$C$25:$C$267,DZ11))</f>
        <v>0</v>
      </c>
      <c r="JR11" s="50">
        <f>IF(EA11="","",COUNTIFS($D$25:$D$267,Parameters!$K$2,$E$25:$E$267,Parameters!$M$3,Calendrier!$C$25:$C$267,EA11)+ COUNTIFS($D$25:$D$267,Parameters!$K$4,$E$25:$E$267,Parameters!$M$3,Calendrier!$C$25:$C$267,EA11))</f>
        <v>0</v>
      </c>
      <c r="JS11" s="50">
        <f>IF(EB11="","",COUNTIFS($D$25:$D$267,Parameters!$K$2,$E$25:$E$267,Parameters!$M$3,Calendrier!$C$25:$C$267,EB11)+ COUNTIFS($D$25:$D$267,Parameters!$K$3,$E$25:$E$267,Parameters!$M$3,Calendrier!$C$25:$C$267,EB11))</f>
        <v>0</v>
      </c>
      <c r="JT11" s="50">
        <f>IF(EC11="","",COUNTIFS($D$25:$D$267,Parameters!$K$2,$E$25:$E$267,Parameters!$M$3,Calendrier!$C$25:$C$267,EC11)+ COUNTIFS($D$25:$D$267,Parameters!$K$4,$E$25:$E$267,Parameters!$M$3,Calendrier!$C$25:$C$267,EC11))</f>
        <v>0</v>
      </c>
      <c r="JU11" s="50">
        <f>IF(ED11="","",COUNTIFS($D$25:$D$267,Parameters!$K$2,$E$25:$E$267,Parameters!$M$3,Calendrier!$C$25:$C$267,ED11)+ COUNTIFS($D$25:$D$267,Parameters!$K$3,$E$25:$E$267,Parameters!$M$3,Calendrier!$C$25:$C$267,ED11))</f>
        <v>0</v>
      </c>
      <c r="JV11" s="50">
        <f>IF(EE11="","",COUNTIFS($D$25:$D$267,Parameters!$K$2,$E$25:$E$267,Parameters!$M$3,Calendrier!$C$25:$C$267,EE11)+ COUNTIFS($D$25:$D$267,Parameters!$K$4,$E$25:$E$267,Parameters!$M$3,Calendrier!$C$25:$C$267,EE11))</f>
        <v>0</v>
      </c>
      <c r="JW11" s="50">
        <f>IF(EF11="","",COUNTIFS($D$25:$D$267,Parameters!$K$2,$E$25:$E$267,Parameters!$M$3,Calendrier!$C$25:$C$267,EF11)+ COUNTIFS($D$25:$D$267,Parameters!$K$3,$E$25:$E$267,Parameters!$M$3,Calendrier!$C$25:$C$267,EF11))</f>
        <v>0</v>
      </c>
      <c r="JX11" s="50">
        <f>IF(EG11="","",COUNTIFS($D$25:$D$267,Parameters!$K$2,$E$25:$E$267,Parameters!$M$3,Calendrier!$C$25:$C$267,EG11)+ COUNTIFS($D$25:$D$267,Parameters!$K$4,$E$25:$E$267,Parameters!$M$3,Calendrier!$C$25:$C$267,EG11))</f>
        <v>0</v>
      </c>
      <c r="JY11" s="50">
        <f>IF(EH11="","",COUNTIFS($D$25:$D$267,Parameters!$K$2,$E$25:$E$267,Parameters!$M$3,Calendrier!$C$25:$C$267,EH11)+ COUNTIFS($D$25:$D$267,Parameters!$K$3,$E$25:$E$267,Parameters!$M$3,Calendrier!$C$25:$C$267,EH11))</f>
        <v>0</v>
      </c>
      <c r="JZ11" s="50">
        <f>IF(EI11="","",COUNTIFS($D$25:$D$267,Parameters!$K$2,$E$25:$E$267,Parameters!$M$3,Calendrier!$C$25:$C$267,EI11)+ COUNTIFS($D$25:$D$267,Parameters!$K$4,$E$25:$E$267,Parameters!$M$3,Calendrier!$C$25:$C$267,EI11))</f>
        <v>0</v>
      </c>
      <c r="KA11" s="50">
        <f>IF(EJ11="","",COUNTIFS($D$25:$D$267,Parameters!$K$2,$E$25:$E$267,Parameters!$M$3,Calendrier!$C$25:$C$267,EJ11)+ COUNTIFS($D$25:$D$267,Parameters!$K$3,$E$25:$E$267,Parameters!$M$3,Calendrier!$C$25:$C$267,EJ11))</f>
        <v>0</v>
      </c>
      <c r="KB11" s="57">
        <f>IF(EK11="","",COUNTIFS($D$25:$D$267,Parameters!$K$2,$E$25:$E$267,Parameters!$M$3,Calendrier!$C$25:$C$267,EK11)+ COUNTIFS($D$25:$D$267,Parameters!$K$4,$E$25:$E$267,Parameters!$M$3,Calendrier!$C$25:$C$267,EK11))</f>
        <v>0</v>
      </c>
      <c r="KE11" s="49">
        <f>IF(EN11="","",COUNTIFS($D$25:$D$267,Parameters!$K$2,$E$25:$E$267,Parameters!$M$3,Calendrier!$C$25:$C$267,EN11)+ COUNTIFS($D$25:$D$267,Parameters!$K$3,$E$25:$E$267,Parameters!$M$3,Calendrier!$C$25:$C$267,EN11))</f>
        <v>0</v>
      </c>
      <c r="KF11" s="50">
        <f>IF(EO11="","",COUNTIFS($D$25:$D$267,Parameters!$K$2,$E$25:$E$267,Parameters!$M$3,Calendrier!$C$25:$C$267,EO11)+ COUNTIFS($D$25:$D$267,Parameters!$K$4,$E$25:$E$267,Parameters!$M$3,Calendrier!$C$25:$C$267,EO11))</f>
        <v>0</v>
      </c>
      <c r="KG11" s="50">
        <f>IF(EP11="","",COUNTIFS($D$25:$D$267,Parameters!$K$2,$E$25:$E$267,Parameters!$M$3,Calendrier!$C$25:$C$267,EP11)+ COUNTIFS($D$25:$D$267,Parameters!$K$3,$E$25:$E$267,Parameters!$M$3,Calendrier!$C$25:$C$267,EP11))</f>
        <v>0</v>
      </c>
      <c r="KH11" s="50">
        <f>IF(EQ11="","",COUNTIFS($D$25:$D$267,Parameters!$K$2,$E$25:$E$267,Parameters!$M$3,Calendrier!$C$25:$C$267,EQ11)+ COUNTIFS($D$25:$D$267,Parameters!$K$4,$E$25:$E$267,Parameters!$M$3,Calendrier!$C$25:$C$267,EQ11))</f>
        <v>0</v>
      </c>
      <c r="KI11" s="50">
        <f>IF(ER11="","",COUNTIFS($D$25:$D$267,Parameters!$K$2,$E$25:$E$267,Parameters!$M$3,Calendrier!$C$25:$C$267,ER11)+ COUNTIFS($D$25:$D$267,Parameters!$K$3,$E$25:$E$267,Parameters!$M$3,Calendrier!$C$25:$C$267,ER11))</f>
        <v>0</v>
      </c>
      <c r="KJ11" s="50">
        <f>IF(ES11="","",COUNTIFS($D$25:$D$267,Parameters!$K$2,$E$25:$E$267,Parameters!$M$3,Calendrier!$C$25:$C$267,ES11)+ COUNTIFS($D$25:$D$267,Parameters!$K$4,$E$25:$E$267,Parameters!$M$3,Calendrier!$C$25:$C$267,ES11))</f>
        <v>0</v>
      </c>
      <c r="KK11" s="50">
        <f>IF(ET11="","",COUNTIFS($D$25:$D$267,Parameters!$K$2,$E$25:$E$267,Parameters!$M$3,Calendrier!$C$25:$C$267,ET11)+ COUNTIFS($D$25:$D$267,Parameters!$K$3,$E$25:$E$267,Parameters!$M$3,Calendrier!$C$25:$C$267,ET11))</f>
        <v>0</v>
      </c>
      <c r="KL11" s="50">
        <f>IF(EU11="","",COUNTIFS($D$25:$D$267,Parameters!$K$2,$E$25:$E$267,Parameters!$M$3,Calendrier!$C$25:$C$267,EU11)+ COUNTIFS($D$25:$D$267,Parameters!$K$4,$E$25:$E$267,Parameters!$M$3,Calendrier!$C$25:$C$267,EU11))</f>
        <v>0</v>
      </c>
      <c r="KM11" s="50">
        <f>IF(EV11="","",COUNTIFS($D$25:$D$267,Parameters!$K$2,$E$25:$E$267,Parameters!$M$3,Calendrier!$C$25:$C$267,EV11)+ COUNTIFS($D$25:$D$267,Parameters!$K$3,$E$25:$E$267,Parameters!$M$3,Calendrier!$C$25:$C$267,EV11))</f>
        <v>0</v>
      </c>
      <c r="KN11" s="50">
        <f>IF(EW11="","",COUNTIFS($D$25:$D$267,Parameters!$K$2,$E$25:$E$267,Parameters!$M$3,Calendrier!$C$25:$C$267,EW11)+ COUNTIFS($D$25:$D$267,Parameters!$K$4,$E$25:$E$267,Parameters!$M$3,Calendrier!$C$25:$C$267,EW11))</f>
        <v>0</v>
      </c>
      <c r="KO11" s="50">
        <f>IF(EX11="","",COUNTIFS($D$25:$D$267,Parameters!$K$2,$E$25:$E$267,Parameters!$M$3,Calendrier!$C$25:$C$267,EX11)+ COUNTIFS($D$25:$D$267,Parameters!$K$3,$E$25:$E$267,Parameters!$M$3,Calendrier!$C$25:$C$267,EX11))</f>
        <v>0</v>
      </c>
      <c r="KP11" s="50">
        <f>IF(EY11="","",COUNTIFS($D$25:$D$267,Parameters!$K$2,$E$25:$E$267,Parameters!$M$3,Calendrier!$C$25:$C$267,EY11)+ COUNTIFS($D$25:$D$267,Parameters!$K$4,$E$25:$E$267,Parameters!$M$3,Calendrier!$C$25:$C$267,EY11))</f>
        <v>0</v>
      </c>
      <c r="KQ11" s="50">
        <f>IF(EZ11="","",COUNTIFS($D$25:$D$267,Parameters!$K$2,$E$25:$E$267,Parameters!$M$3,Calendrier!$C$25:$C$267,EZ11)+ COUNTIFS($D$25:$D$267,Parameters!$K$3,$E$25:$E$267,Parameters!$M$3,Calendrier!$C$25:$C$267,EZ11))</f>
        <v>0</v>
      </c>
      <c r="KR11" s="57">
        <f>IF(FA11="","",COUNTIFS($D$25:$D$267,Parameters!$K$2,$E$25:$E$267,Parameters!$M$3,Calendrier!$C$25:$C$267,FA11)+ COUNTIFS($D$25:$D$267,Parameters!$K$4,$E$25:$E$267,Parameters!$M$3,Calendrier!$C$25:$C$267,FA11))</f>
        <v>0</v>
      </c>
      <c r="KV11" s="49">
        <f>IF(DH11="","",COUNTIFS($D$25:$D$267,Parameters!$K$2,$E$25:$E$267,Parameters!$M$4,Calendrier!$C$25:$C$267,DH11)+ COUNTIFS($D$25:$D$267,Parameters!$K$3,$E$25:$E$267,Parameters!$M$4,Calendrier!$C$25:$C$267,DH11))</f>
        <v>0</v>
      </c>
      <c r="KW11" s="50">
        <f>IF(DI11="","",COUNTIFS($D$25:$D$267,Parameters!$K$2,$E$25:$E$267,Parameters!$M$4,Calendrier!$C$25:$C$267,DI11)+ COUNTIFS($D$25:$D$267,Parameters!$K$4,$E$25:$E$267,Parameters!$M$4,Calendrier!$C$25:$C$267,DI11))</f>
        <v>0</v>
      </c>
      <c r="KX11" s="50">
        <f>IF(DJ11="","",COUNTIFS($D$25:$D$267,Parameters!$K$2,$E$25:$E$267,Parameters!$M$4,Calendrier!$C$25:$C$267,DJ11)+ COUNTIFS($D$25:$D$267,Parameters!$K$3,$E$25:$E$267,Parameters!$M$4,Calendrier!$C$25:$C$267,DJ11))</f>
        <v>0</v>
      </c>
      <c r="KY11" s="50">
        <f>IF(DK11="","",COUNTIFS($D$25:$D$267,Parameters!$K$2,$E$25:$E$267,Parameters!$M$4,Calendrier!$C$25:$C$267,DK11)+ COUNTIFS($D$25:$D$267,Parameters!$K$4,$E$25:$E$267,Parameters!$M$4,Calendrier!$C$25:$C$267,DK11))</f>
        <v>0</v>
      </c>
      <c r="KZ11" s="50">
        <f>IF(DL11="","",COUNTIFS($D$25:$D$267,Parameters!$K$2,$E$25:$E$267,Parameters!$M$4,Calendrier!$C$25:$C$267,DL11)+ COUNTIFS($D$25:$D$267,Parameters!$K$3,$E$25:$E$267,Parameters!$M$4,Calendrier!$C$25:$C$267,DL11))</f>
        <v>0</v>
      </c>
      <c r="LA11" s="50">
        <f>IF(DM11="","",COUNTIFS($D$25:$D$267,Parameters!$K$2,$E$25:$E$267,Parameters!$M$4,Calendrier!$C$25:$C$267,DM11)+ COUNTIFS($D$25:$D$267,Parameters!$K$4,$E$25:$E$267,Parameters!$M$4,Calendrier!$C$25:$C$267,DM11))</f>
        <v>0</v>
      </c>
      <c r="LB11" s="50">
        <f>IF(DN11="","",COUNTIFS($D$25:$D$267,Parameters!$K$2,$E$25:$E$267,Parameters!$M$4,Calendrier!$C$25:$C$267,DN11)+ COUNTIFS($D$25:$D$267,Parameters!$K$3,$E$25:$E$267,Parameters!$M$4,Calendrier!$C$25:$C$267,DN11))</f>
        <v>0</v>
      </c>
      <c r="LC11" s="50">
        <f>IF(DO11="","",COUNTIFS($D$25:$D$267,Parameters!$K$2,$E$25:$E$267,Parameters!$M$4,Calendrier!$C$25:$C$267,DO11)+ COUNTIFS($D$25:$D$267,Parameters!$K$4,$E$25:$E$267,Parameters!$M$4,Calendrier!$C$25:$C$267,DO11))</f>
        <v>0</v>
      </c>
      <c r="LD11" s="50">
        <f>IF(DP11="","",COUNTIFS($D$25:$D$267,Parameters!$K$2,$E$25:$E$267,Parameters!$M$4,Calendrier!$C$25:$C$267,DP11)+ COUNTIFS($D$25:$D$267,Parameters!$K$3,$E$25:$E$267,Parameters!$M$4,Calendrier!$C$25:$C$267,DP11))</f>
        <v>0</v>
      </c>
      <c r="LE11" s="50">
        <f>IF(DQ11="","",COUNTIFS($D$25:$D$267,Parameters!$K$2,$E$25:$E$267,Parameters!$M$4,Calendrier!$C$25:$C$267,DQ11)+ COUNTIFS($D$25:$D$267,Parameters!$K$4,$E$25:$E$267,Parameters!$M$4,Calendrier!$C$25:$C$267,DQ11))</f>
        <v>0</v>
      </c>
      <c r="LF11" s="50">
        <f>IF(DR11="","",COUNTIFS($D$25:$D$267,Parameters!$K$2,$E$25:$E$267,Parameters!$M$4,Calendrier!$C$25:$C$267,DR11)+ COUNTIFS($D$25:$D$267,Parameters!$K$3,$E$25:$E$267,Parameters!$M$4,Calendrier!$C$25:$C$267,DR11))</f>
        <v>0</v>
      </c>
      <c r="LG11" s="50">
        <f>IF(DS11="","",COUNTIFS($D$25:$D$267,Parameters!$K$2,$E$25:$E$267,Parameters!$M$4,Calendrier!$C$25:$C$267,DS11)+ COUNTIFS($D$25:$D$267,Parameters!$K$4,$E$25:$E$267,Parameters!$M$4,Calendrier!$C$25:$C$267,DS11))</f>
        <v>0</v>
      </c>
      <c r="LH11" s="50">
        <f>IF(DT11="","",COUNTIFS($D$25:$D$267,Parameters!$K$2,$E$25:$E$267,Parameters!$M$4,Calendrier!$C$25:$C$267,DT11)+ COUNTIFS($D$25:$D$267,Parameters!$K$3,$E$25:$E$267,Parameters!$M$4,Calendrier!$C$25:$C$267,DT11))</f>
        <v>0</v>
      </c>
      <c r="LI11" s="57">
        <f>IF(DU11="","",COUNTIFS($D$25:$D$267,Parameters!$K$2,$E$25:$E$267,Parameters!$M$4,Calendrier!$C$25:$C$267,DU11)+ COUNTIFS($D$25:$D$267,Parameters!$K$4,$E$25:$E$267,Parameters!$M$4,Calendrier!$C$25:$C$267,DU11))</f>
        <v>0</v>
      </c>
      <c r="LL11" s="49">
        <f>IF(DX11="","",COUNTIFS($D$25:$D$267,Parameters!$K$2,$E$25:$E$267,Parameters!$M$4,Calendrier!$C$25:$C$267,DX11)+ COUNTIFS($D$25:$D$267,Parameters!$K$3,$E$25:$E$267,Parameters!$M$4,Calendrier!$C$25:$C$267,DX11))</f>
        <v>0</v>
      </c>
      <c r="LM11" s="50">
        <f>IF(DY11="","",COUNTIFS($D$25:$D$267,Parameters!$K$2,$E$25:$E$267,Parameters!$M$4,Calendrier!$C$25:$C$267,DY11)+ COUNTIFS($D$25:$D$267,Parameters!$K$4,$E$25:$E$267,Parameters!$M$4,Calendrier!$C$25:$C$267,DY11))</f>
        <v>0</v>
      </c>
      <c r="LN11" s="50">
        <f>IF(DZ11="","",COUNTIFS($D$25:$D$267,Parameters!$K$2,$E$25:$E$267,Parameters!$M$4,Calendrier!$C$25:$C$267,DZ11)+ COUNTIFS($D$25:$D$267,Parameters!$K$3,$E$25:$E$267,Parameters!$M$4,Calendrier!$C$25:$C$267,DZ11))</f>
        <v>0</v>
      </c>
      <c r="LO11" s="50">
        <f>IF(EA11="","",COUNTIFS($D$25:$D$267,Parameters!$K$2,$E$25:$E$267,Parameters!$M$4,Calendrier!$C$25:$C$267,EA11)+ COUNTIFS($D$25:$D$267,Parameters!$K$4,$E$25:$E$267,Parameters!$M$4,Calendrier!$C$25:$C$267,EA11))</f>
        <v>0</v>
      </c>
      <c r="LP11" s="50">
        <f>IF(EB11="","",COUNTIFS($D$25:$D$267,Parameters!$K$2,$E$25:$E$267,Parameters!$M$4,Calendrier!$C$25:$C$267,EB11)+ COUNTIFS($D$25:$D$267,Parameters!$K$3,$E$25:$E$267,Parameters!$M$4,Calendrier!$C$25:$C$267,EB11))</f>
        <v>0</v>
      </c>
      <c r="LQ11" s="50">
        <f>IF(EC11="","",COUNTIFS($D$25:$D$267,Parameters!$K$2,$E$25:$E$267,Parameters!$M$4,Calendrier!$C$25:$C$267,EC11)+ COUNTIFS($D$25:$D$267,Parameters!$K$4,$E$25:$E$267,Parameters!$M$4,Calendrier!$C$25:$C$267,EC11))</f>
        <v>0</v>
      </c>
      <c r="LR11" s="50">
        <f>IF(ED11="","",COUNTIFS($D$25:$D$267,Parameters!$K$2,$E$25:$E$267,Parameters!$M$4,Calendrier!$C$25:$C$267,ED11)+ COUNTIFS($D$25:$D$267,Parameters!$K$3,$E$25:$E$267,Parameters!$M$4,Calendrier!$C$25:$C$267,ED11))</f>
        <v>0</v>
      </c>
      <c r="LS11" s="50">
        <f>IF(EE11="","",COUNTIFS($D$25:$D$267,Parameters!$K$2,$E$25:$E$267,Parameters!$M$4,Calendrier!$C$25:$C$267,EE11)+ COUNTIFS($D$25:$D$267,Parameters!$K$4,$E$25:$E$267,Parameters!$M$4,Calendrier!$C$25:$C$267,EE11))</f>
        <v>0</v>
      </c>
      <c r="LT11" s="50">
        <f>IF(EF11="","",COUNTIFS($D$25:$D$267,Parameters!$K$2,$E$25:$E$267,Parameters!$M$4,Calendrier!$C$25:$C$267,EF11)+ COUNTIFS($D$25:$D$267,Parameters!$K$3,$E$25:$E$267,Parameters!$M$4,Calendrier!$C$25:$C$267,EF11))</f>
        <v>0</v>
      </c>
      <c r="LU11" s="50">
        <f>IF(EG11="","",COUNTIFS($D$25:$D$267,Parameters!$K$2,$E$25:$E$267,Parameters!$M$4,Calendrier!$C$25:$C$267,EG11)+ COUNTIFS($D$25:$D$267,Parameters!$K$4,$E$25:$E$267,Parameters!$M$4,Calendrier!$C$25:$C$267,EG11))</f>
        <v>0</v>
      </c>
      <c r="LV11" s="50">
        <f>IF(EH11="","",COUNTIFS($D$25:$D$267,Parameters!$K$2,$E$25:$E$267,Parameters!$M$4,Calendrier!$C$25:$C$267,EH11)+ COUNTIFS($D$25:$D$267,Parameters!$K$3,$E$25:$E$267,Parameters!$M$4,Calendrier!$C$25:$C$267,EH11))</f>
        <v>0</v>
      </c>
      <c r="LW11" s="50">
        <f>IF(EI11="","",COUNTIFS($D$25:$D$267,Parameters!$K$2,$E$25:$E$267,Parameters!$M$4,Calendrier!$C$25:$C$267,EI11)+ COUNTIFS($D$25:$D$267,Parameters!$K$4,$E$25:$E$267,Parameters!$M$4,Calendrier!$C$25:$C$267,EI11))</f>
        <v>0</v>
      </c>
      <c r="LX11" s="50">
        <f>IF(EJ11="","",COUNTIFS($D$25:$D$267,Parameters!$K$2,$E$25:$E$267,Parameters!$M$4,Calendrier!$C$25:$C$267,EJ11)+ COUNTIFS($D$25:$D$267,Parameters!$K$3,$E$25:$E$267,Parameters!$M$4,Calendrier!$C$25:$C$267,EJ11))</f>
        <v>0</v>
      </c>
      <c r="LY11" s="57">
        <f>IF(EK11="","",COUNTIFS($D$25:$D$267,Parameters!$K$2,$E$25:$E$267,Parameters!$M$4,Calendrier!$C$25:$C$267,EK11)+ COUNTIFS($D$25:$D$267,Parameters!$K$4,$E$25:$E$267,Parameters!$M$4,Calendrier!$C$25:$C$267,EK11))</f>
        <v>0</v>
      </c>
      <c r="MB11" s="49">
        <f>IF(EN11="","",COUNTIFS($D$25:$D$267,Parameters!$K$2,$E$25:$E$267,Parameters!$M$4,Calendrier!$C$25:$C$267,EN11)+ COUNTIFS($D$25:$D$267,Parameters!$K$3,$E$25:$E$267,Parameters!$M$4,Calendrier!$C$25:$C$267,EN11))</f>
        <v>0</v>
      </c>
      <c r="MC11" s="50">
        <f>IF(EO11="","",COUNTIFS($D$25:$D$267,Parameters!$K$2,$E$25:$E$267,Parameters!$M$4,Calendrier!$C$25:$C$267,EO11)+ COUNTIFS($D$25:$D$267,Parameters!$K$4,$E$25:$E$267,Parameters!$M$4,Calendrier!$C$25:$C$267,EO11))</f>
        <v>0</v>
      </c>
      <c r="MD11" s="50">
        <f>IF(EP11="","",COUNTIFS($D$25:$D$267,Parameters!$K$2,$E$25:$E$267,Parameters!$M$4,Calendrier!$C$25:$C$267,EP11)+ COUNTIFS($D$25:$D$267,Parameters!$K$3,$E$25:$E$267,Parameters!$M$4,Calendrier!$C$25:$C$267,EP11))</f>
        <v>0</v>
      </c>
      <c r="ME11" s="50">
        <f>IF(EQ11="","",COUNTIFS($D$25:$D$267,Parameters!$K$2,$E$25:$E$267,Parameters!$M$4,Calendrier!$C$25:$C$267,EQ11)+ COUNTIFS($D$25:$D$267,Parameters!$K$4,$E$25:$E$267,Parameters!$M$4,Calendrier!$C$25:$C$267,EQ11))</f>
        <v>0</v>
      </c>
      <c r="MF11" s="50">
        <f>IF(ER11="","",COUNTIFS($D$25:$D$267,Parameters!$K$2,$E$25:$E$267,Parameters!$M$4,Calendrier!$C$25:$C$267,ER11)+ COUNTIFS($D$25:$D$267,Parameters!$K$3,$E$25:$E$267,Parameters!$M$4,Calendrier!$C$25:$C$267,ER11))</f>
        <v>0</v>
      </c>
      <c r="MG11" s="50">
        <f>IF(ES11="","",COUNTIFS($D$25:$D$267,Parameters!$K$2,$E$25:$E$267,Parameters!$M$4,Calendrier!$C$25:$C$267,ES11)+ COUNTIFS($D$25:$D$267,Parameters!$K$4,$E$25:$E$267,Parameters!$M$4,Calendrier!$C$25:$C$267,ES11))</f>
        <v>0</v>
      </c>
      <c r="MH11" s="50">
        <f>IF(ET11="","",COUNTIFS($D$25:$D$267,Parameters!$K$2,$E$25:$E$267,Parameters!$M$4,Calendrier!$C$25:$C$267,ET11)+ COUNTIFS($D$25:$D$267,Parameters!$K$3,$E$25:$E$267,Parameters!$M$4,Calendrier!$C$25:$C$267,ET11))</f>
        <v>0</v>
      </c>
      <c r="MI11" s="50">
        <f>IF(EU11="","",COUNTIFS($D$25:$D$267,Parameters!$K$2,$E$25:$E$267,Parameters!$M$4,Calendrier!$C$25:$C$267,EU11)+ COUNTIFS($D$25:$D$267,Parameters!$K$4,$E$25:$E$267,Parameters!$M$4,Calendrier!$C$25:$C$267,EU11))</f>
        <v>0</v>
      </c>
      <c r="MJ11" s="50">
        <f>IF(EV11="","",COUNTIFS($D$25:$D$267,Parameters!$K$2,$E$25:$E$267,Parameters!$M$4,Calendrier!$C$25:$C$267,EV11)+ COUNTIFS($D$25:$D$267,Parameters!$K$3,$E$25:$E$267,Parameters!$M$4,Calendrier!$C$25:$C$267,EV11))</f>
        <v>0</v>
      </c>
      <c r="MK11" s="50">
        <f>IF(EW11="","",COUNTIFS($D$25:$D$267,Parameters!$K$2,$E$25:$E$267,Parameters!$M$4,Calendrier!$C$25:$C$267,EW11)+ COUNTIFS($D$25:$D$267,Parameters!$K$4,$E$25:$E$267,Parameters!$M$4,Calendrier!$C$25:$C$267,EW11))</f>
        <v>0</v>
      </c>
      <c r="ML11" s="50">
        <f>IF(EX11="","",COUNTIFS($D$25:$D$267,Parameters!$K$2,$E$25:$E$267,Parameters!$M$4,Calendrier!$C$25:$C$267,EX11)+ COUNTIFS($D$25:$D$267,Parameters!$K$3,$E$25:$E$267,Parameters!$M$4,Calendrier!$C$25:$C$267,EX11))</f>
        <v>0</v>
      </c>
      <c r="MM11" s="50">
        <f>IF(EY11="","",COUNTIFS($D$25:$D$267,Parameters!$K$2,$E$25:$E$267,Parameters!$M$4,Calendrier!$C$25:$C$267,EY11)+ COUNTIFS($D$25:$D$267,Parameters!$K$4,$E$25:$E$267,Parameters!$M$4,Calendrier!$C$25:$C$267,EY11))</f>
        <v>0</v>
      </c>
      <c r="MN11" s="50">
        <f>IF(EZ11="","",COUNTIFS($D$25:$D$267,Parameters!$K$2,$E$25:$E$267,Parameters!$M$4,Calendrier!$C$25:$C$267,EZ11)+ COUNTIFS($D$25:$D$267,Parameters!$K$3,$E$25:$E$267,Parameters!$M$4,Calendrier!$C$25:$C$267,EZ11))</f>
        <v>0</v>
      </c>
      <c r="MO11" s="57">
        <f>IF(FA11="","",COUNTIFS($D$25:$D$267,Parameters!$K$2,$E$25:$E$267,Parameters!$M$4,Calendrier!$C$25:$C$267,FA11)+ COUNTIFS($D$25:$D$267,Parameters!$K$4,$E$25:$E$267,Parameters!$M$4,Calendrier!$C$25:$C$267,FA11))</f>
        <v>0</v>
      </c>
      <c r="MS11" s="49">
        <f>IF(DH11="","",COUNTIFS($D$25:$D$267,Parameters!$K$2,$E$25:$E$267,Parameters!$M$5,Calendrier!$C$25:$C$267,DH11)+ COUNTIFS($D$25:$D$267,Parameters!$K$3,$E$25:$E$267,Parameters!$M$5,Calendrier!$C$25:$C$267,DH11))</f>
        <v>0</v>
      </c>
      <c r="MT11" s="50">
        <f>IF(DI11="","",COUNTIFS($D$25:$D$267,Parameters!$K$2,$E$25:$E$267,Parameters!$M$5,Calendrier!$C$25:$C$267,DI11)+ COUNTIFS($D$25:$D$267,Parameters!$K$4,$E$25:$E$267,Parameters!$M$5,Calendrier!$C$25:$C$267,DI11))</f>
        <v>0</v>
      </c>
      <c r="MU11" s="50">
        <f>IF(DJ11="","",COUNTIFS($D$25:$D$267,Parameters!$K$2,$E$25:$E$267,Parameters!$M$5,Calendrier!$C$25:$C$267,DJ11)+ COUNTIFS($D$25:$D$267,Parameters!$K$3,$E$25:$E$267,Parameters!$M$5,Calendrier!$C$25:$C$267,DJ11))</f>
        <v>0</v>
      </c>
      <c r="MV11" s="50">
        <f>IF(DK11="","",COUNTIFS($D$25:$D$267,Parameters!$K$2,$E$25:$E$267,Parameters!$M$5,Calendrier!$C$25:$C$267,DK11)+ COUNTIFS($D$25:$D$267,Parameters!$K$4,$E$25:$E$267,Parameters!$M$5,Calendrier!$C$25:$C$267,DK11))</f>
        <v>0</v>
      </c>
      <c r="MW11" s="50">
        <f>IF(DL11="","",COUNTIFS($D$25:$D$267,Parameters!$K$2,$E$25:$E$267,Parameters!$M$5,Calendrier!$C$25:$C$267,DL11)+ COUNTIFS($D$25:$D$267,Parameters!$K$3,$E$25:$E$267,Parameters!$M$5,Calendrier!$C$25:$C$267,DL11))</f>
        <v>0</v>
      </c>
      <c r="MX11" s="50">
        <f>IF(DM11="","",COUNTIFS($D$25:$D$267,Parameters!$K$2,$E$25:$E$267,Parameters!$M$5,Calendrier!$C$25:$C$267,DM11)+ COUNTIFS($D$25:$D$267,Parameters!$K$4,$E$25:$E$267,Parameters!$M$5,Calendrier!$C$25:$C$267,DM11))</f>
        <v>0</v>
      </c>
      <c r="MY11" s="50">
        <f>IF(DN11="","",COUNTIFS($D$25:$D$267,Parameters!$K$2,$E$25:$E$267,Parameters!$M$5,Calendrier!$C$25:$C$267,DN11)+ COUNTIFS($D$25:$D$267,Parameters!$K$3,$E$25:$E$267,Parameters!$M$5,Calendrier!$C$25:$C$267,DN11))</f>
        <v>0</v>
      </c>
      <c r="MZ11" s="50">
        <f>IF(DO11="","",COUNTIFS($D$25:$D$267,Parameters!$K$2,$E$25:$E$267,Parameters!$M$5,Calendrier!$C$25:$C$267,DO11)+ COUNTIFS($D$25:$D$267,Parameters!$K$4,$E$25:$E$267,Parameters!$M$5,Calendrier!$C$25:$C$267,DO11))</f>
        <v>0</v>
      </c>
      <c r="NA11" s="50">
        <f>IF(DP11="","",COUNTIFS($D$25:$D$267,Parameters!$K$2,$E$25:$E$267,Parameters!$M$5,Calendrier!$C$25:$C$267,DP11)+ COUNTIFS($D$25:$D$267,Parameters!$K$3,$E$25:$E$267,Parameters!$M$5,Calendrier!$C$25:$C$267,DP11))</f>
        <v>0</v>
      </c>
      <c r="NB11" s="50">
        <f>IF(DQ11="","",COUNTIFS($D$25:$D$267,Parameters!$K$2,$E$25:$E$267,Parameters!$M$5,Calendrier!$C$25:$C$267,DQ11)+ COUNTIFS($D$25:$D$267,Parameters!$K$4,$E$25:$E$267,Parameters!$M$5,Calendrier!$C$25:$C$267,DQ11))</f>
        <v>0</v>
      </c>
      <c r="NC11" s="50">
        <f>IF(DR11="","",COUNTIFS($D$25:$D$267,Parameters!$K$2,$E$25:$E$267,Parameters!$M$5,Calendrier!$C$25:$C$267,DR11)+ COUNTIFS($D$25:$D$267,Parameters!$K$3,$E$25:$E$267,Parameters!$M$5,Calendrier!$C$25:$C$267,DR11))</f>
        <v>0</v>
      </c>
      <c r="ND11" s="50">
        <f>IF(DS11="","",COUNTIFS($D$25:$D$267,Parameters!$K$2,$E$25:$E$267,Parameters!$M$5,Calendrier!$C$25:$C$267,DS11)+ COUNTIFS($D$25:$D$267,Parameters!$K$4,$E$25:$E$267,Parameters!$M$5,Calendrier!$C$25:$C$267,DS11))</f>
        <v>0</v>
      </c>
      <c r="NE11" s="50">
        <f>IF(DT11="","",COUNTIFS($D$25:$D$267,Parameters!$K$2,$E$25:$E$267,Parameters!$M$5,Calendrier!$C$25:$C$267,DT11)+ COUNTIFS($D$25:$D$267,Parameters!$K$3,$E$25:$E$267,Parameters!$M$5,Calendrier!$C$25:$C$267,DT11))</f>
        <v>0</v>
      </c>
      <c r="NF11" s="57">
        <f>IF(DU11="","",COUNTIFS($D$25:$D$267,Parameters!$K$2,$E$25:$E$267,Parameters!$M$5,Calendrier!$C$25:$C$267,DU11)+ COUNTIFS($D$25:$D$267,Parameters!$K$4,$E$25:$E$267,Parameters!$M$5,Calendrier!$C$25:$C$267,DU11))</f>
        <v>0</v>
      </c>
      <c r="NI11" s="49">
        <f>IF(DX11="","",COUNTIFS($D$25:$D$267,Parameters!$K$2,$E$25:$E$267,Parameters!$M$5,Calendrier!$C$25:$C$267,DX11)+ COUNTIFS($D$25:$D$267,Parameters!$K$3,$E$25:$E$267,Parameters!$M$5,Calendrier!$C$25:$C$267,DX11))</f>
        <v>0</v>
      </c>
      <c r="NJ11" s="50">
        <f>IF(DY11="","",COUNTIFS($D$25:$D$267,Parameters!$K$2,$E$25:$E$267,Parameters!$M$5,Calendrier!$C$25:$C$267,DY11)+ COUNTIFS($D$25:$D$267,Parameters!$K$4,$E$25:$E$267,Parameters!$M$5,Calendrier!$C$25:$C$267,DY11))</f>
        <v>0</v>
      </c>
      <c r="NK11" s="50">
        <f>IF(DZ11="","",COUNTIFS($D$25:$D$267,Parameters!$K$2,$E$25:$E$267,Parameters!$M$5,Calendrier!$C$25:$C$267,DZ11)+ COUNTIFS($D$25:$D$267,Parameters!$K$3,$E$25:$E$267,Parameters!$M$5,Calendrier!$C$25:$C$267,DZ11))</f>
        <v>0</v>
      </c>
      <c r="NL11" s="50">
        <f>IF(EA11="","",COUNTIFS($D$25:$D$267,Parameters!$K$2,$E$25:$E$267,Parameters!$M$5,Calendrier!$C$25:$C$267,EA11)+ COUNTIFS($D$25:$D$267,Parameters!$K$4,$E$25:$E$267,Parameters!$M$5,Calendrier!$C$25:$C$267,EA11))</f>
        <v>0</v>
      </c>
      <c r="NM11" s="50">
        <f>IF(EB11="","",COUNTIFS($D$25:$D$267,Parameters!$K$2,$E$25:$E$267,Parameters!$M$5,Calendrier!$C$25:$C$267,EB11)+ COUNTIFS($D$25:$D$267,Parameters!$K$3,$E$25:$E$267,Parameters!$M$5,Calendrier!$C$25:$C$267,EB11))</f>
        <v>0</v>
      </c>
      <c r="NN11" s="50">
        <f>IF(EC11="","",COUNTIFS($D$25:$D$267,Parameters!$K$2,$E$25:$E$267,Parameters!$M$5,Calendrier!$C$25:$C$267,EC11)+ COUNTIFS($D$25:$D$267,Parameters!$K$4,$E$25:$E$267,Parameters!$M$5,Calendrier!$C$25:$C$267,EC11))</f>
        <v>0</v>
      </c>
      <c r="NO11" s="50">
        <f>IF(ED11="","",COUNTIFS($D$25:$D$267,Parameters!$K$2,$E$25:$E$267,Parameters!$M$5,Calendrier!$C$25:$C$267,ED11)+ COUNTIFS($D$25:$D$267,Parameters!$K$3,$E$25:$E$267,Parameters!$M$5,Calendrier!$C$25:$C$267,ED11))</f>
        <v>0</v>
      </c>
      <c r="NP11" s="50">
        <f>IF(EE11="","",COUNTIFS($D$25:$D$267,Parameters!$K$2,$E$25:$E$267,Parameters!$M$5,Calendrier!$C$25:$C$267,EE11)+ COUNTIFS($D$25:$D$267,Parameters!$K$4,$E$25:$E$267,Parameters!$M$5,Calendrier!$C$25:$C$267,EE11))</f>
        <v>0</v>
      </c>
      <c r="NQ11" s="50">
        <f>IF(EF11="","",COUNTIFS($D$25:$D$267,Parameters!$K$2,$E$25:$E$267,Parameters!$M$5,Calendrier!$C$25:$C$267,EF11)+ COUNTIFS($D$25:$D$267,Parameters!$K$3,$E$25:$E$267,Parameters!$M$5,Calendrier!$C$25:$C$267,EF11))</f>
        <v>0</v>
      </c>
      <c r="NR11" s="50">
        <f>IF(EG11="","",COUNTIFS($D$25:$D$267,Parameters!$K$2,$E$25:$E$267,Parameters!$M$5,Calendrier!$C$25:$C$267,EG11)+ COUNTIFS($D$25:$D$267,Parameters!$K$4,$E$25:$E$267,Parameters!$M$5,Calendrier!$C$25:$C$267,EG11))</f>
        <v>0</v>
      </c>
      <c r="NS11" s="50">
        <f>IF(EH11="","",COUNTIFS($D$25:$D$267,Parameters!$K$2,$E$25:$E$267,Parameters!$M$5,Calendrier!$C$25:$C$267,EH11)+ COUNTIFS($D$25:$D$267,Parameters!$K$3,$E$25:$E$267,Parameters!$M$5,Calendrier!$C$25:$C$267,EH11))</f>
        <v>0</v>
      </c>
      <c r="NT11" s="50">
        <f>IF(EI11="","",COUNTIFS($D$25:$D$267,Parameters!$K$2,$E$25:$E$267,Parameters!$M$5,Calendrier!$C$25:$C$267,EI11)+ COUNTIFS($D$25:$D$267,Parameters!$K$4,$E$25:$E$267,Parameters!$M$5,Calendrier!$C$25:$C$267,EI11))</f>
        <v>0</v>
      </c>
      <c r="NU11" s="50">
        <f>IF(EJ11="","",COUNTIFS($D$25:$D$267,Parameters!$K$2,$E$25:$E$267,Parameters!$M$5,Calendrier!$C$25:$C$267,EJ11)+ COUNTIFS($D$25:$D$267,Parameters!$K$3,$E$25:$E$267,Parameters!$M$5,Calendrier!$C$25:$C$267,EJ11))</f>
        <v>0</v>
      </c>
      <c r="NV11" s="57">
        <f>IF(EK11="","",COUNTIFS($D$25:$D$267,Parameters!$K$2,$E$25:$E$267,Parameters!$M$5,Calendrier!$C$25:$C$267,EK11)+ COUNTIFS($D$25:$D$267,Parameters!$K$4,$E$25:$E$267,Parameters!$M$5,Calendrier!$C$25:$C$267,EK11))</f>
        <v>0</v>
      </c>
      <c r="NY11" s="49">
        <f>IF(EN11="","",COUNTIFS($D$25:$D$267,Parameters!$K$2,$E$25:$E$267,Parameters!$M$5,Calendrier!$C$25:$C$267,EN11)+ COUNTIFS($D$25:$D$267,Parameters!$K$3,$E$25:$E$267,Parameters!$M$5,Calendrier!$C$25:$C$267,EN11))</f>
        <v>0</v>
      </c>
      <c r="NZ11" s="50">
        <f>IF(EO11="","",COUNTIFS($D$25:$D$267,Parameters!$K$2,$E$25:$E$267,Parameters!$M$5,Calendrier!$C$25:$C$267,EO11)+ COUNTIFS($D$25:$D$267,Parameters!$K$4,$E$25:$E$267,Parameters!$M$5,Calendrier!$C$25:$C$267,EO11))</f>
        <v>0</v>
      </c>
      <c r="OA11" s="50">
        <f>IF(EP11="","",COUNTIFS($D$25:$D$267,Parameters!$K$2,$E$25:$E$267,Parameters!$M$5,Calendrier!$C$25:$C$267,EP11)+ COUNTIFS($D$25:$D$267,Parameters!$K$3,$E$25:$E$267,Parameters!$M$5,Calendrier!$C$25:$C$267,EP11))</f>
        <v>0</v>
      </c>
      <c r="OB11" s="50">
        <f>IF(EQ11="","",COUNTIFS($D$25:$D$267,Parameters!$K$2,$E$25:$E$267,Parameters!$M$5,Calendrier!$C$25:$C$267,EQ11)+ COUNTIFS($D$25:$D$267,Parameters!$K$4,$E$25:$E$267,Parameters!$M$5,Calendrier!$C$25:$C$267,EQ11))</f>
        <v>0</v>
      </c>
      <c r="OC11" s="50">
        <f>IF(ER11="","",COUNTIFS($D$25:$D$267,Parameters!$K$2,$E$25:$E$267,Parameters!$M$5,Calendrier!$C$25:$C$267,ER11)+ COUNTIFS($D$25:$D$267,Parameters!$K$3,$E$25:$E$267,Parameters!$M$5,Calendrier!$C$25:$C$267,ER11))</f>
        <v>0</v>
      </c>
      <c r="OD11" s="50">
        <f>IF(ES11="","",COUNTIFS($D$25:$D$267,Parameters!$K$2,$E$25:$E$267,Parameters!$M$5,Calendrier!$C$25:$C$267,ES11)+ COUNTIFS($D$25:$D$267,Parameters!$K$4,$E$25:$E$267,Parameters!$M$5,Calendrier!$C$25:$C$267,ES11))</f>
        <v>0</v>
      </c>
      <c r="OE11" s="50">
        <f>IF(ET11="","",COUNTIFS($D$25:$D$267,Parameters!$K$2,$E$25:$E$267,Parameters!$M$5,Calendrier!$C$25:$C$267,ET11)+ COUNTIFS($D$25:$D$267,Parameters!$K$3,$E$25:$E$267,Parameters!$M$5,Calendrier!$C$25:$C$267,ET11))</f>
        <v>0</v>
      </c>
      <c r="OF11" s="50">
        <f>IF(EU11="","",COUNTIFS($D$25:$D$267,Parameters!$K$2,$E$25:$E$267,Parameters!$M$5,Calendrier!$C$25:$C$267,EU11)+ COUNTIFS($D$25:$D$267,Parameters!$K$4,$E$25:$E$267,Parameters!$M$5,Calendrier!$C$25:$C$267,EU11))</f>
        <v>0</v>
      </c>
      <c r="OG11" s="50">
        <f>IF(EV11="","",COUNTIFS($D$25:$D$267,Parameters!$K$2,$E$25:$E$267,Parameters!$M$5,Calendrier!$C$25:$C$267,EV11)+ COUNTIFS($D$25:$D$267,Parameters!$K$3,$E$25:$E$267,Parameters!$M$5,Calendrier!$C$25:$C$267,EV11))</f>
        <v>0</v>
      </c>
      <c r="OH11" s="50">
        <f>IF(EW11="","",COUNTIFS($D$25:$D$267,Parameters!$K$2,$E$25:$E$267,Parameters!$M$5,Calendrier!$C$25:$C$267,EW11)+ COUNTIFS($D$25:$D$267,Parameters!$K$4,$E$25:$E$267,Parameters!$M$5,Calendrier!$C$25:$C$267,EW11))</f>
        <v>0</v>
      </c>
      <c r="OI11" s="50">
        <f>IF(EX11="","",COUNTIFS($D$25:$D$267,Parameters!$K$2,$E$25:$E$267,Parameters!$M$5,Calendrier!$C$25:$C$267,EX11)+ COUNTIFS($D$25:$D$267,Parameters!$K$3,$E$25:$E$267,Parameters!$M$5,Calendrier!$C$25:$C$267,EX11))</f>
        <v>0</v>
      </c>
      <c r="OJ11" s="50">
        <f>IF(EY11="","",COUNTIFS($D$25:$D$267,Parameters!$K$2,$E$25:$E$267,Parameters!$M$5,Calendrier!$C$25:$C$267,EY11)+ COUNTIFS($D$25:$D$267,Parameters!$K$4,$E$25:$E$267,Parameters!$M$5,Calendrier!$C$25:$C$267,EY11))</f>
        <v>0</v>
      </c>
      <c r="OK11" s="50">
        <f>IF(EZ11="","",COUNTIFS($D$25:$D$267,Parameters!$K$2,$E$25:$E$267,Parameters!$M$5,Calendrier!$C$25:$C$267,EZ11)+ COUNTIFS($D$25:$D$267,Parameters!$K$3,$E$25:$E$267,Parameters!$M$5,Calendrier!$C$25:$C$267,EZ11))</f>
        <v>0</v>
      </c>
      <c r="OL11" s="57">
        <f>IF(FA11="","",COUNTIFS($D$25:$D$267,Parameters!$K$2,$E$25:$E$267,Parameters!$M$5,Calendrier!$C$25:$C$267,FA11)+ COUNTIFS($D$25:$D$267,Parameters!$K$4,$E$25:$E$267,Parameters!$M$5,Calendrier!$C$25:$C$267,FA11))</f>
        <v>0</v>
      </c>
      <c r="OP11" s="49">
        <f>IF(DH11="","",COUNTIFS(Parameters!$Y:$Y,$BF$4,Parameters!$X:$X,DH11))</f>
        <v>0</v>
      </c>
      <c r="OQ11" s="50">
        <f>IF(DI11="","",COUNTIFS(Parameters!$Y:$Y,$BF$4,Parameters!$X:$X,DI11))</f>
        <v>0</v>
      </c>
      <c r="OR11" s="50">
        <f>IF(DJ11="","",COUNTIFS(Parameters!$Y:$Y,$BF$4,Parameters!$X:$X,DJ11))</f>
        <v>0</v>
      </c>
      <c r="OS11" s="50">
        <f>IF(DK11="","",COUNTIFS(Parameters!$Y:$Y,$BF$4,Parameters!$X:$X,DK11))</f>
        <v>0</v>
      </c>
      <c r="OT11" s="50">
        <f>IF(DL11="","",COUNTIFS(Parameters!$Y:$Y,$BF$4,Parameters!$X:$X,DL11))</f>
        <v>0</v>
      </c>
      <c r="OU11" s="50">
        <f>IF(DM11="","",COUNTIFS(Parameters!$Y:$Y,$BF$4,Parameters!$X:$X,DM11))</f>
        <v>0</v>
      </c>
      <c r="OV11" s="50">
        <f>IF(DN11="","",COUNTIFS(Parameters!$Y:$Y,$BF$4,Parameters!$X:$X,DN11))</f>
        <v>0</v>
      </c>
      <c r="OW11" s="50">
        <f>IF(DO11="","",COUNTIFS(Parameters!$Y:$Y,$BF$4,Parameters!$X:$X,DO11))</f>
        <v>0</v>
      </c>
      <c r="OX11" s="50">
        <f>IF(DP11="","",COUNTIFS(Parameters!$Y:$Y,$BF$4,Parameters!$X:$X,DP11))</f>
        <v>0</v>
      </c>
      <c r="OY11" s="50">
        <f>IF(DQ11="","",COUNTIFS(Parameters!$Y:$Y,$BF$4,Parameters!$X:$X,DQ11))</f>
        <v>0</v>
      </c>
      <c r="OZ11" s="50">
        <f>IF(DR11="","",COUNTIFS(Parameters!$Y:$Y,$BF$4,Parameters!$X:$X,DR11))</f>
        <v>0</v>
      </c>
      <c r="PA11" s="50">
        <f>IF(DS11="","",COUNTIFS(Parameters!$Y:$Y,$BF$4,Parameters!$X:$X,DS11))</f>
        <v>0</v>
      </c>
      <c r="PB11" s="50">
        <f>IF(DT11="","",COUNTIFS(Parameters!$Y:$Y,$BF$4,Parameters!$X:$X,DT11))</f>
        <v>0</v>
      </c>
      <c r="PC11" s="57">
        <f>IF(DU11="","",COUNTIFS(Parameters!$Y:$Y,$BF$4,Parameters!$X:$X,DU11))</f>
        <v>0</v>
      </c>
      <c r="PF11" s="49">
        <f>IF(DX11="","",COUNTIFS(Parameters!$Y:$Y,$BF$4,Parameters!$X:$X,DX11))</f>
        <v>0</v>
      </c>
      <c r="PG11" s="50">
        <f>IF(DY11="","",COUNTIFS(Parameters!$Y:$Y,$BF$4,Parameters!$X:$X,DY11))</f>
        <v>0</v>
      </c>
      <c r="PH11" s="50">
        <f>IF(DZ11="","",COUNTIFS(Parameters!$Y:$Y,$BF$4,Parameters!$X:$X,DZ11))</f>
        <v>0</v>
      </c>
      <c r="PI11" s="50">
        <f>IF(EA11="","",COUNTIFS(Parameters!$Y:$Y,$BF$4,Parameters!$X:$X,EA11))</f>
        <v>0</v>
      </c>
      <c r="PJ11" s="50">
        <f>IF(EB11="","",COUNTIFS(Parameters!$Y:$Y,$BF$4,Parameters!$X:$X,EB11))</f>
        <v>0</v>
      </c>
      <c r="PK11" s="50">
        <f>IF(EC11="","",COUNTIFS(Parameters!$Y:$Y,$BF$4,Parameters!$X:$X,EC11))</f>
        <v>0</v>
      </c>
      <c r="PL11" s="50">
        <f>IF(ED11="","",COUNTIFS(Parameters!$Y:$Y,$BF$4,Parameters!$X:$X,ED11))</f>
        <v>0</v>
      </c>
      <c r="PM11" s="50">
        <f>IF(EE11="","",COUNTIFS(Parameters!$Y:$Y,$BF$4,Parameters!$X:$X,EE11))</f>
        <v>0</v>
      </c>
      <c r="PN11" s="50">
        <f>IF(EF11="","",COUNTIFS(Parameters!$Y:$Y,$BF$4,Parameters!$X:$X,EF11))</f>
        <v>0</v>
      </c>
      <c r="PO11" s="50">
        <f>IF(EG11="","",COUNTIFS(Parameters!$Y:$Y,$BF$4,Parameters!$X:$X,EG11))</f>
        <v>0</v>
      </c>
      <c r="PP11" s="50">
        <f>IF(EH11="","",COUNTIFS(Parameters!$Y:$Y,$BF$4,Parameters!$X:$X,EH11))</f>
        <v>0</v>
      </c>
      <c r="PQ11" s="50">
        <f>IF(EI11="","",COUNTIFS(Parameters!$Y:$Y,$BF$4,Parameters!$X:$X,EI11))</f>
        <v>0</v>
      </c>
      <c r="PR11" s="50">
        <f>IF(EJ11="","",COUNTIFS(Parameters!$Y:$Y,$BF$4,Parameters!$X:$X,EJ11))</f>
        <v>0</v>
      </c>
      <c r="PS11" s="57">
        <f>IF(EK11="","",COUNTIFS(Parameters!$Y:$Y,$BF$4,Parameters!$X:$X,EK11))</f>
        <v>0</v>
      </c>
      <c r="PV11" s="49">
        <f>IF(EN11="","",COUNTIFS(Parameters!$Y:$Y,$BF$4,Parameters!$X:$X,EN11))</f>
        <v>0</v>
      </c>
      <c r="PW11" s="50">
        <f>IF(EO11="","",COUNTIFS(Parameters!$Y:$Y,$BF$4,Parameters!$X:$X,EO11))</f>
        <v>0</v>
      </c>
      <c r="PX11" s="50">
        <f>IF(EP11="","",COUNTIFS(Parameters!$Y:$Y,$BF$4,Parameters!$X:$X,EP11))</f>
        <v>0</v>
      </c>
      <c r="PY11" s="50">
        <f>IF(EQ11="","",COUNTIFS(Parameters!$Y:$Y,$BF$4,Parameters!$X:$X,EQ11))</f>
        <v>0</v>
      </c>
      <c r="PZ11" s="50">
        <f>IF(ER11="","",COUNTIFS(Parameters!$Y:$Y,$BF$4,Parameters!$X:$X,ER11))</f>
        <v>0</v>
      </c>
      <c r="QA11" s="50">
        <f>IF(ES11="","",COUNTIFS(Parameters!$Y:$Y,$BF$4,Parameters!$X:$X,ES11))</f>
        <v>0</v>
      </c>
      <c r="QB11" s="50">
        <f>IF(ET11="","",COUNTIFS(Parameters!$Y:$Y,$BF$4,Parameters!$X:$X,ET11))</f>
        <v>0</v>
      </c>
      <c r="QC11" s="50">
        <f>IF(EU11="","",COUNTIFS(Parameters!$Y:$Y,$BF$4,Parameters!$X:$X,EU11))</f>
        <v>0</v>
      </c>
      <c r="QD11" s="50">
        <f>IF(EV11="","",COUNTIFS(Parameters!$Y:$Y,$BF$4,Parameters!$X:$X,EV11))</f>
        <v>0</v>
      </c>
      <c r="QE11" s="50">
        <f>IF(EW11="","",COUNTIFS(Parameters!$Y:$Y,$BF$4,Parameters!$X:$X,EW11))</f>
        <v>0</v>
      </c>
      <c r="QF11" s="50">
        <f>IF(EX11="","",COUNTIFS(Parameters!$Y:$Y,$BF$4,Parameters!$X:$X,EX11))</f>
        <v>0</v>
      </c>
      <c r="QG11" s="50">
        <f>IF(EY11="","",COUNTIFS(Parameters!$Y:$Y,$BF$4,Parameters!$X:$X,EY11))</f>
        <v>0</v>
      </c>
      <c r="QH11" s="50">
        <f>IF(EZ11="","",COUNTIFS(Parameters!$Y:$Y,$BF$4,Parameters!$X:$X,EZ11))</f>
        <v>0</v>
      </c>
      <c r="QI11" s="57">
        <f>IF(FA11="","",COUNTIFS(Parameters!$Y:$Y,$BF$4,Parameters!$X:$X,FA11))</f>
        <v>0</v>
      </c>
      <c r="QN11" s="49">
        <f>IF(DH11="","",COUNTIFS($D$25:$D$267,Parameters!$K$2,$E$25:$E$267,Parameters!$M$6,Calendrier!$C$25:$C$267,DH11)+ COUNTIFS($D$25:$D$267,Parameters!$K$3,$E$25:$E$267,Parameters!$M$6,Calendrier!$C$25:$C$267,DH11))</f>
        <v>0</v>
      </c>
      <c r="QO11" s="50">
        <f>IF(DI11="","",COUNTIFS($D$25:$D$267,Parameters!$K$2,$E$25:$E$267,Parameters!$M$6,Calendrier!$C$25:$C$267,DI11)+ COUNTIFS($D$25:$D$267,Parameters!$K$4,$E$25:$E$267,Parameters!$M$6,Calendrier!$C$25:$C$267,DI11))</f>
        <v>0</v>
      </c>
      <c r="QP11" s="50">
        <f>IF(DJ11="","",COUNTIFS($D$25:$D$267,Parameters!$K$2,$E$25:$E$267,Parameters!$M$6,Calendrier!$C$25:$C$267,DJ11)+ COUNTIFS($D$25:$D$267,Parameters!$K$3,$E$25:$E$267,Parameters!$M$6,Calendrier!$C$25:$C$267,DJ11))</f>
        <v>0</v>
      </c>
      <c r="QQ11" s="50">
        <f>IF(DK11="","",COUNTIFS($D$25:$D$267,Parameters!$K$2,$E$25:$E$267,Parameters!$M$6,Calendrier!$C$25:$C$267,DK11)+ COUNTIFS($D$25:$D$267,Parameters!$K$4,$E$25:$E$267,Parameters!$M$6,Calendrier!$C$25:$C$267,DK11))</f>
        <v>0</v>
      </c>
      <c r="QR11" s="50">
        <f>IF(DL11="","",COUNTIFS($D$25:$D$267,Parameters!$K$2,$E$25:$E$267,Parameters!$M$6,Calendrier!$C$25:$C$267,DL11)+ COUNTIFS($D$25:$D$267,Parameters!$K$3,$E$25:$E$267,Parameters!$M$6,Calendrier!$C$25:$C$267,DL11))</f>
        <v>0</v>
      </c>
      <c r="QS11" s="50">
        <f>IF(DM11="","",COUNTIFS($D$25:$D$267,Parameters!$K$2,$E$25:$E$267,Parameters!$M$6,Calendrier!$C$25:$C$267,DM11)+ COUNTIFS($D$25:$D$267,Parameters!$K$4,$E$25:$E$267,Parameters!$M$6,Calendrier!$C$25:$C$267,DM11))</f>
        <v>0</v>
      </c>
      <c r="QT11" s="50">
        <f>IF(DN11="","",COUNTIFS($D$25:$D$267,Parameters!$K$2,$E$25:$E$267,Parameters!$M$6,Calendrier!$C$25:$C$267,DN11)+ COUNTIFS($D$25:$D$267,Parameters!$K$3,$E$25:$E$267,Parameters!$M$6,Calendrier!$C$25:$C$267,DN11))</f>
        <v>0</v>
      </c>
      <c r="QU11" s="50">
        <f>IF(DO11="","",COUNTIFS($D$25:$D$267,Parameters!$K$2,$E$25:$E$267,Parameters!$M$6,Calendrier!$C$25:$C$267,DO11)+ COUNTIFS($D$25:$D$267,Parameters!$K$4,$E$25:$E$267,Parameters!$M$6,Calendrier!$C$25:$C$267,DO11))</f>
        <v>0</v>
      </c>
      <c r="QV11" s="50">
        <f>IF(DP11="","",COUNTIFS($D$25:$D$267,Parameters!$K$2,$E$25:$E$267,Parameters!$M$6,Calendrier!$C$25:$C$267,DP11)+ COUNTIFS($D$25:$D$267,Parameters!$K$3,$E$25:$E$267,Parameters!$M$6,Calendrier!$C$25:$C$267,DP11))</f>
        <v>0</v>
      </c>
      <c r="QW11" s="50">
        <f>IF(DQ11="","",COUNTIFS($D$25:$D$267,Parameters!$K$2,$E$25:$E$267,Parameters!$M$6,Calendrier!$C$25:$C$267,DQ11)+ COUNTIFS($D$25:$D$267,Parameters!$K$4,$E$25:$E$267,Parameters!$M$6,Calendrier!$C$25:$C$267,DQ11))</f>
        <v>0</v>
      </c>
      <c r="QX11" s="50">
        <f>IF(DR11="","",COUNTIFS($D$25:$D$267,Parameters!$K$2,$E$25:$E$267,Parameters!$M$6,Calendrier!$C$25:$C$267,DR11)+ COUNTIFS($D$25:$D$267,Parameters!$K$3,$E$25:$E$267,Parameters!$M$6,Calendrier!$C$25:$C$267,DR11))</f>
        <v>0</v>
      </c>
      <c r="QY11" s="50">
        <f>IF(DS11="","",COUNTIFS($D$25:$D$267,Parameters!$K$2,$E$25:$E$267,Parameters!$M$6,Calendrier!$C$25:$C$267,DS11)+ COUNTIFS($D$25:$D$267,Parameters!$K$4,$E$25:$E$267,Parameters!$M$6,Calendrier!$C$25:$C$267,DS11))</f>
        <v>0</v>
      </c>
      <c r="QZ11" s="50">
        <f>IF(DT11="","",COUNTIFS($D$25:$D$267,Parameters!$K$2,$E$25:$E$267,Parameters!$M$6,Calendrier!$C$25:$C$267,DT11)+ COUNTIFS($D$25:$D$267,Parameters!$K$3,$E$25:$E$267,Parameters!$M$6,Calendrier!$C$25:$C$267,DT11))</f>
        <v>0</v>
      </c>
      <c r="RA11" s="57">
        <f>IF(DU11="","",COUNTIFS($D$25:$D$267,Parameters!$K$2,$E$25:$E$267,Parameters!$M$6,Calendrier!$C$25:$C$267,DU11)+ COUNTIFS($D$25:$D$267,Parameters!$K$4,$E$25:$E$267,Parameters!$M$6,Calendrier!$C$25:$C$267,DU11))</f>
        <v>0</v>
      </c>
      <c r="RD11" s="49">
        <f>IF(DX11="","",COUNTIFS($D$25:$D$267,Parameters!$K$2,$E$25:$E$267,Parameters!$M$6,Calendrier!$C$25:$C$267,DX11)+ COUNTIFS($D$25:$D$267,Parameters!$K$3,$E$25:$E$267,Parameters!$M$6,Calendrier!$C$25:$C$267,DX11))</f>
        <v>0</v>
      </c>
      <c r="RE11" s="50">
        <f>IF(DY11="","",COUNTIFS($D$25:$D$267,Parameters!$K$2,$E$25:$E$267,Parameters!$M$6,Calendrier!$C$25:$C$267,DY11)+ COUNTIFS($D$25:$D$267,Parameters!$K$4,$E$25:$E$267,Parameters!$M$6,Calendrier!$C$25:$C$267,DY11))</f>
        <v>0</v>
      </c>
      <c r="RF11" s="50">
        <f>IF(DZ11="","",COUNTIFS($D$25:$D$267,Parameters!$K$2,$E$25:$E$267,Parameters!$M$6,Calendrier!$C$25:$C$267,DZ11)+ COUNTIFS($D$25:$D$267,Parameters!$K$3,$E$25:$E$267,Parameters!$M$6,Calendrier!$C$25:$C$267,DZ11))</f>
        <v>0</v>
      </c>
      <c r="RG11" s="50">
        <f>IF(EA11="","",COUNTIFS($D$25:$D$267,Parameters!$K$2,$E$25:$E$267,Parameters!$M$6,Calendrier!$C$25:$C$267,EA11)+ COUNTIFS($D$25:$D$267,Parameters!$K$4,$E$25:$E$267,Parameters!$M$6,Calendrier!$C$25:$C$267,EA11))</f>
        <v>0</v>
      </c>
      <c r="RH11" s="50">
        <f>IF(EB11="","",COUNTIFS($D$25:$D$267,Parameters!$K$2,$E$25:$E$267,Parameters!$M$6,Calendrier!$C$25:$C$267,EB11)+ COUNTIFS($D$25:$D$267,Parameters!$K$3,$E$25:$E$267,Parameters!$M$6,Calendrier!$C$25:$C$267,EB11))</f>
        <v>0</v>
      </c>
      <c r="RI11" s="50">
        <f>IF(EC11="","",COUNTIFS($D$25:$D$267,Parameters!$K$2,$E$25:$E$267,Parameters!$M$6,Calendrier!$C$25:$C$267,EC11)+ COUNTIFS($D$25:$D$267,Parameters!$K$4,$E$25:$E$267,Parameters!$M$6,Calendrier!$C$25:$C$267,EC11))</f>
        <v>0</v>
      </c>
      <c r="RJ11" s="50">
        <f>IF(ED11="","",COUNTIFS($D$25:$D$267,Parameters!$K$2,$E$25:$E$267,Parameters!$M$6,Calendrier!$C$25:$C$267,ED11)+ COUNTIFS($D$25:$D$267,Parameters!$K$3,$E$25:$E$267,Parameters!$M$6,Calendrier!$C$25:$C$267,ED11))</f>
        <v>0</v>
      </c>
      <c r="RK11" s="50">
        <f>IF(EE11="","",COUNTIFS($D$25:$D$267,Parameters!$K$2,$E$25:$E$267,Parameters!$M$6,Calendrier!$C$25:$C$267,EE11)+ COUNTIFS($D$25:$D$267,Parameters!$K$4,$E$25:$E$267,Parameters!$M$6,Calendrier!$C$25:$C$267,EE11))</f>
        <v>0</v>
      </c>
      <c r="RL11" s="50">
        <f>IF(EF11="","",COUNTIFS($D$25:$D$267,Parameters!$K$2,$E$25:$E$267,Parameters!$M$6,Calendrier!$C$25:$C$267,EF11)+ COUNTIFS($D$25:$D$267,Parameters!$K$3,$E$25:$E$267,Parameters!$M$6,Calendrier!$C$25:$C$267,EF11))</f>
        <v>0</v>
      </c>
      <c r="RM11" s="50">
        <f>IF(EG11="","",COUNTIFS($D$25:$D$267,Parameters!$K$2,$E$25:$E$267,Parameters!$M$6,Calendrier!$C$25:$C$267,EG11)+ COUNTIFS($D$25:$D$267,Parameters!$K$4,$E$25:$E$267,Parameters!$M$6,Calendrier!$C$25:$C$267,EG11))</f>
        <v>0</v>
      </c>
      <c r="RN11" s="50">
        <f>IF(EH11="","",COUNTIFS($D$25:$D$267,Parameters!$K$2,$E$25:$E$267,Parameters!$M$6,Calendrier!$C$25:$C$267,EH11)+ COUNTIFS($D$25:$D$267,Parameters!$K$3,$E$25:$E$267,Parameters!$M$6,Calendrier!$C$25:$C$267,EH11))</f>
        <v>0</v>
      </c>
      <c r="RO11" s="50">
        <f>IF(EI11="","",COUNTIFS($D$25:$D$267,Parameters!$K$2,$E$25:$E$267,Parameters!$M$6,Calendrier!$C$25:$C$267,EI11)+ COUNTIFS($D$25:$D$267,Parameters!$K$4,$E$25:$E$267,Parameters!$M$6,Calendrier!$C$25:$C$267,EI11))</f>
        <v>0</v>
      </c>
      <c r="RP11" s="50">
        <f>IF(EJ11="","",COUNTIFS($D$25:$D$267,Parameters!$K$2,$E$25:$E$267,Parameters!$M$6,Calendrier!$C$25:$C$267,EJ11)+ COUNTIFS($D$25:$D$267,Parameters!$K$3,$E$25:$E$267,Parameters!$M$6,Calendrier!$C$25:$C$267,EJ11))</f>
        <v>0</v>
      </c>
      <c r="RQ11" s="57">
        <f>IF(EK11="","",COUNTIFS($D$25:$D$267,Parameters!$K$2,$E$25:$E$267,Parameters!$M$6,Calendrier!$C$25:$C$267,EK11)+ COUNTIFS($D$25:$D$267,Parameters!$K$4,$E$25:$E$267,Parameters!$M$6,Calendrier!$C$25:$C$267,EK11))</f>
        <v>0</v>
      </c>
      <c r="RT11" s="49">
        <f>IF(EN11="","",COUNTIFS($D$25:$D$267,Parameters!$K$2,$E$25:$E$267,Parameters!$M$6,Calendrier!$C$25:$C$267,EN11)+ COUNTIFS($D$25:$D$267,Parameters!$K$3,$E$25:$E$267,Parameters!$M$6,Calendrier!$C$25:$C$267,EN11))</f>
        <v>0</v>
      </c>
      <c r="RU11" s="50">
        <f>IF(EO11="","",COUNTIFS($D$25:$D$267,Parameters!$K$2,$E$25:$E$267,Parameters!$M$6,Calendrier!$C$25:$C$267,EO11)+ COUNTIFS($D$25:$D$267,Parameters!$K$4,$E$25:$E$267,Parameters!$M$6,Calendrier!$C$25:$C$267,EO11))</f>
        <v>0</v>
      </c>
      <c r="RV11" s="50">
        <f>IF(EP11="","",COUNTIFS($D$25:$D$267,Parameters!$K$2,$E$25:$E$267,Parameters!$M$6,Calendrier!$C$25:$C$267,EP11)+ COUNTIFS($D$25:$D$267,Parameters!$K$3,$E$25:$E$267,Parameters!$M$6,Calendrier!$C$25:$C$267,EP11))</f>
        <v>0</v>
      </c>
      <c r="RW11" s="50">
        <f>IF(EQ11="","",COUNTIFS($D$25:$D$267,Parameters!$K$2,$E$25:$E$267,Parameters!$M$6,Calendrier!$C$25:$C$267,EQ11)+ COUNTIFS($D$25:$D$267,Parameters!$K$4,$E$25:$E$267,Parameters!$M$6,Calendrier!$C$25:$C$267,EQ11))</f>
        <v>0</v>
      </c>
      <c r="RX11" s="50">
        <f>IF(ER11="","",COUNTIFS($D$25:$D$267,Parameters!$K$2,$E$25:$E$267,Parameters!$M$6,Calendrier!$C$25:$C$267,ER11)+ COUNTIFS($D$25:$D$267,Parameters!$K$3,$E$25:$E$267,Parameters!$M$6,Calendrier!$C$25:$C$267,ER11))</f>
        <v>0</v>
      </c>
      <c r="RY11" s="50">
        <f>IF(ES11="","",COUNTIFS($D$25:$D$267,Parameters!$K$2,$E$25:$E$267,Parameters!$M$6,Calendrier!$C$25:$C$267,ES11)+ COUNTIFS($D$25:$D$267,Parameters!$K$4,$E$25:$E$267,Parameters!$M$6,Calendrier!$C$25:$C$267,ES11))</f>
        <v>0</v>
      </c>
      <c r="RZ11" s="50">
        <f>IF(ET11="","",COUNTIFS($D$25:$D$267,Parameters!$K$2,$E$25:$E$267,Parameters!$M$6,Calendrier!$C$25:$C$267,ET11)+ COUNTIFS($D$25:$D$267,Parameters!$K$3,$E$25:$E$267,Parameters!$M$6,Calendrier!$C$25:$C$267,ET11))</f>
        <v>0</v>
      </c>
      <c r="SA11" s="50">
        <f>IF(EU11="","",COUNTIFS($D$25:$D$267,Parameters!$K$2,$E$25:$E$267,Parameters!$M$6,Calendrier!$C$25:$C$267,EU11)+ COUNTIFS($D$25:$D$267,Parameters!$K$4,$E$25:$E$267,Parameters!$M$6,Calendrier!$C$25:$C$267,EU11))</f>
        <v>0</v>
      </c>
      <c r="SB11" s="50">
        <f>IF(EV11="","",COUNTIFS($D$25:$D$267,Parameters!$K$2,$E$25:$E$267,Parameters!$M$6,Calendrier!$C$25:$C$267,EV11)+ COUNTIFS($D$25:$D$267,Parameters!$K$3,$E$25:$E$267,Parameters!$M$6,Calendrier!$C$25:$C$267,EV11))</f>
        <v>0</v>
      </c>
      <c r="SC11" s="50">
        <f>IF(EW11="","",COUNTIFS($D$25:$D$267,Parameters!$K$2,$E$25:$E$267,Parameters!$M$6,Calendrier!$C$25:$C$267,EW11)+ COUNTIFS($D$25:$D$267,Parameters!$K$4,$E$25:$E$267,Parameters!$M$6,Calendrier!$C$25:$C$267,EW11))</f>
        <v>0</v>
      </c>
      <c r="SD11" s="50">
        <f>IF(EX11="","",COUNTIFS($D$25:$D$267,Parameters!$K$2,$E$25:$E$267,Parameters!$M$6,Calendrier!$C$25:$C$267,EX11)+ COUNTIFS($D$25:$D$267,Parameters!$K$3,$E$25:$E$267,Parameters!$M$6,Calendrier!$C$25:$C$267,EX11))</f>
        <v>0</v>
      </c>
      <c r="SE11" s="50">
        <f>IF(EY11="","",COUNTIFS($D$25:$D$267,Parameters!$K$2,$E$25:$E$267,Parameters!$M$6,Calendrier!$C$25:$C$267,EY11)+ COUNTIFS($D$25:$D$267,Parameters!$K$4,$E$25:$E$267,Parameters!$M$6,Calendrier!$C$25:$C$267,EY11))</f>
        <v>0</v>
      </c>
      <c r="SF11" s="50">
        <f>IF(EZ11="","",COUNTIFS($D$25:$D$267,Parameters!$K$2,$E$25:$E$267,Parameters!$M$6,Calendrier!$C$25:$C$267,EZ11)+ COUNTIFS($D$25:$D$267,Parameters!$K$3,$E$25:$E$267,Parameters!$M$6,Calendrier!$C$25:$C$267,EZ11))</f>
        <v>0</v>
      </c>
      <c r="SG11" s="57">
        <f>IF(FA11="","",COUNTIFS($D$25:$D$267,Parameters!$K$2,$E$25:$E$267,Parameters!$M$6,Calendrier!$C$25:$C$267,FA11)+ COUNTIFS($D$25:$D$267,Parameters!$K$4,$E$25:$E$267,Parameters!$M$6,Calendrier!$C$25:$C$267,FA11))</f>
        <v>0</v>
      </c>
      <c r="SL11" s="49">
        <f>IF(DH11="","",COUNTIFS($D$25:$D$267,Parameters!$K$2,$E$25:$E$267,Parameters!$M$7,Calendrier!$C$25:$C$267,DH11)+ COUNTIFS($D$25:$D$267,Parameters!$K$3,$E$25:$E$267,Parameters!$M$7,Calendrier!$C$25:$C$267,DH11))</f>
        <v>0</v>
      </c>
      <c r="SM11" s="50">
        <f>IF(DI11="","",COUNTIFS($D$25:$D$267,Parameters!$K$2,$E$25:$E$267,Parameters!$M$7,Calendrier!$C$25:$C$267,DI11)+ COUNTIFS($D$25:$D$267,Parameters!$K$4,$E$25:$E$267,Parameters!$M$7,Calendrier!$C$25:$C$267,DI11))</f>
        <v>0</v>
      </c>
      <c r="SN11" s="50">
        <f>IF(DJ11="","",COUNTIFS($D$25:$D$267,Parameters!$K$2,$E$25:$E$267,Parameters!$M$7,Calendrier!$C$25:$C$267,DJ11)+ COUNTIFS($D$25:$D$267,Parameters!$K$3,$E$25:$E$267,Parameters!$M$7,Calendrier!$C$25:$C$267,DJ11))</f>
        <v>0</v>
      </c>
      <c r="SO11" s="50">
        <f>IF(DK11="","",COUNTIFS($D$25:$D$267,Parameters!$K$2,$E$25:$E$267,Parameters!$M$7,Calendrier!$C$25:$C$267,DK11)+ COUNTIFS($D$25:$D$267,Parameters!$K$4,$E$25:$E$267,Parameters!$M$7,Calendrier!$C$25:$C$267,DK11))</f>
        <v>0</v>
      </c>
      <c r="SP11" s="50">
        <f>IF(DL11="","",COUNTIFS($D$25:$D$267,Parameters!$K$2,$E$25:$E$267,Parameters!$M$7,Calendrier!$C$25:$C$267,DL11)+ COUNTIFS($D$25:$D$267,Parameters!$K$3,$E$25:$E$267,Parameters!$M$7,Calendrier!$C$25:$C$267,DL11))</f>
        <v>0</v>
      </c>
      <c r="SQ11" s="50">
        <f>IF(DM11="","",COUNTIFS($D$25:$D$267,Parameters!$K$2,$E$25:$E$267,Parameters!$M$7,Calendrier!$C$25:$C$267,DM11)+ COUNTIFS($D$25:$D$267,Parameters!$K$4,$E$25:$E$267,Parameters!$M$7,Calendrier!$C$25:$C$267,DM11))</f>
        <v>0</v>
      </c>
      <c r="SR11" s="50">
        <f>IF(DN11="","",COUNTIFS($D$25:$D$267,Parameters!$K$2,$E$25:$E$267,Parameters!$M$7,Calendrier!$C$25:$C$267,DN11)+ COUNTIFS($D$25:$D$267,Parameters!$K$3,$E$25:$E$267,Parameters!$M$7,Calendrier!$C$25:$C$267,DN11))</f>
        <v>0</v>
      </c>
      <c r="SS11" s="50">
        <f>IF(DO11="","",COUNTIFS($D$25:$D$267,Parameters!$K$2,$E$25:$E$267,Parameters!$M$7,Calendrier!$C$25:$C$267,DO11)+ COUNTIFS($D$25:$D$267,Parameters!$K$4,$E$25:$E$267,Parameters!$M$7,Calendrier!$C$25:$C$267,DO11))</f>
        <v>0</v>
      </c>
      <c r="ST11" s="50">
        <f>IF(DP11="","",COUNTIFS($D$25:$D$267,Parameters!$K$2,$E$25:$E$267,Parameters!$M$7,Calendrier!$C$25:$C$267,DP11)+ COUNTIFS($D$25:$D$267,Parameters!$K$3,$E$25:$E$267,Parameters!$M$7,Calendrier!$C$25:$C$267,DP11))</f>
        <v>0</v>
      </c>
      <c r="SU11" s="50">
        <f>IF(DQ11="","",COUNTIFS($D$25:$D$267,Parameters!$K$2,$E$25:$E$267,Parameters!$M$7,Calendrier!$C$25:$C$267,DQ11)+ COUNTIFS($D$25:$D$267,Parameters!$K$4,$E$25:$E$267,Parameters!$M$7,Calendrier!$C$25:$C$267,DQ11))</f>
        <v>0</v>
      </c>
      <c r="SV11" s="50">
        <f>IF(DR11="","",COUNTIFS($D$25:$D$267,Parameters!$K$2,$E$25:$E$267,Parameters!$M$7,Calendrier!$C$25:$C$267,DR11)+ COUNTIFS($D$25:$D$267,Parameters!$K$3,$E$25:$E$267,Parameters!$M$7,Calendrier!$C$25:$C$267,DR11))</f>
        <v>0</v>
      </c>
      <c r="SW11" s="50">
        <f>IF(DS11="","",COUNTIFS($D$25:$D$267,Parameters!$K$2,$E$25:$E$267,Parameters!$M$7,Calendrier!$C$25:$C$267,DS11)+ COUNTIFS($D$25:$D$267,Parameters!$K$4,$E$25:$E$267,Parameters!$M$7,Calendrier!$C$25:$C$267,DS11))</f>
        <v>0</v>
      </c>
      <c r="SX11" s="50">
        <f>IF(DT11="","",COUNTIFS($D$25:$D$267,Parameters!$K$2,$E$25:$E$267,Parameters!$M$7,Calendrier!$C$25:$C$267,DT11)+ COUNTIFS($D$25:$D$267,Parameters!$K$3,$E$25:$E$267,Parameters!$M$7,Calendrier!$C$25:$C$267,DT11))</f>
        <v>0</v>
      </c>
      <c r="SY11" s="57">
        <f>IF(DU11="","",COUNTIFS($D$25:$D$267,Parameters!$K$2,$E$25:$E$267,Parameters!$M$7,Calendrier!$C$25:$C$267,DU11)+ COUNTIFS($D$25:$D$267,Parameters!$K$4,$E$25:$E$267,Parameters!$M$7,Calendrier!$C$25:$C$267,DU11))</f>
        <v>0</v>
      </c>
      <c r="TB11" s="49">
        <f>IF(DX11="","",COUNTIFS($D$25:$D$267,Parameters!$K$2,$E$25:$E$267,Parameters!$M$7,Calendrier!$C$25:$C$267,DX11)+ COUNTIFS($D$25:$D$267,Parameters!$K$3,$E$25:$E$267,Parameters!$M$7,Calendrier!$C$25:$C$267,DX11))</f>
        <v>0</v>
      </c>
      <c r="TC11" s="50">
        <f>IF(DY11="","",COUNTIFS($D$25:$D$267,Parameters!$K$2,$E$25:$E$267,Parameters!$M$7,Calendrier!$C$25:$C$267,DY11)+ COUNTIFS($D$25:$D$267,Parameters!$K$4,$E$25:$E$267,Parameters!$M$7,Calendrier!$C$25:$C$267,DY11))</f>
        <v>0</v>
      </c>
      <c r="TD11" s="50">
        <f>IF(DZ11="","",COUNTIFS($D$25:$D$267,Parameters!$K$2,$E$25:$E$267,Parameters!$M$7,Calendrier!$C$25:$C$267,DZ11)+ COUNTIFS($D$25:$D$267,Parameters!$K$3,$E$25:$E$267,Parameters!$M$7,Calendrier!$C$25:$C$267,DZ11))</f>
        <v>0</v>
      </c>
      <c r="TE11" s="50">
        <f>IF(EA11="","",COUNTIFS($D$25:$D$267,Parameters!$K$2,$E$25:$E$267,Parameters!$M$7,Calendrier!$C$25:$C$267,EA11)+ COUNTIFS($D$25:$D$267,Parameters!$K$4,$E$25:$E$267,Parameters!$M$7,Calendrier!$C$25:$C$267,EA11))</f>
        <v>0</v>
      </c>
      <c r="TF11" s="50">
        <f>IF(EB11="","",COUNTIFS($D$25:$D$267,Parameters!$K$2,$E$25:$E$267,Parameters!$M$7,Calendrier!$C$25:$C$267,EB11)+ COUNTIFS($D$25:$D$267,Parameters!$K$3,$E$25:$E$267,Parameters!$M$7,Calendrier!$C$25:$C$267,EB11))</f>
        <v>0</v>
      </c>
      <c r="TG11" s="50">
        <f>IF(EC11="","",COUNTIFS($D$25:$D$267,Parameters!$K$2,$E$25:$E$267,Parameters!$M$7,Calendrier!$C$25:$C$267,EC11)+ COUNTIFS($D$25:$D$267,Parameters!$K$4,$E$25:$E$267,Parameters!$M$7,Calendrier!$C$25:$C$267,EC11))</f>
        <v>0</v>
      </c>
      <c r="TH11" s="50">
        <f>IF(ED11="","",COUNTIFS($D$25:$D$267,Parameters!$K$2,$E$25:$E$267,Parameters!$M$7,Calendrier!$C$25:$C$267,ED11)+ COUNTIFS($D$25:$D$267,Parameters!$K$3,$E$25:$E$267,Parameters!$M$7,Calendrier!$C$25:$C$267,ED11))</f>
        <v>0</v>
      </c>
      <c r="TI11" s="50">
        <f>IF(EE11="","",COUNTIFS($D$25:$D$267,Parameters!$K$2,$E$25:$E$267,Parameters!$M$7,Calendrier!$C$25:$C$267,EE11)+ COUNTIFS($D$25:$D$267,Parameters!$K$4,$E$25:$E$267,Parameters!$M$7,Calendrier!$C$25:$C$267,EE11))</f>
        <v>0</v>
      </c>
      <c r="TJ11" s="50">
        <f>IF(EF11="","",COUNTIFS($D$25:$D$267,Parameters!$K$2,$E$25:$E$267,Parameters!$M$7,Calendrier!$C$25:$C$267,EF11)+ COUNTIFS($D$25:$D$267,Parameters!$K$3,$E$25:$E$267,Parameters!$M$7,Calendrier!$C$25:$C$267,EF11))</f>
        <v>0</v>
      </c>
      <c r="TK11" s="50">
        <f>IF(EG11="","",COUNTIFS($D$25:$D$267,Parameters!$K$2,$E$25:$E$267,Parameters!$M$7,Calendrier!$C$25:$C$267,EG11)+ COUNTIFS($D$25:$D$267,Parameters!$K$4,$E$25:$E$267,Parameters!$M$7,Calendrier!$C$25:$C$267,EG11))</f>
        <v>0</v>
      </c>
      <c r="TL11" s="50">
        <f>IF(EH11="","",COUNTIFS($D$25:$D$267,Parameters!$K$2,$E$25:$E$267,Parameters!$M$7,Calendrier!$C$25:$C$267,EH11)+ COUNTIFS($D$25:$D$267,Parameters!$K$3,$E$25:$E$267,Parameters!$M$7,Calendrier!$C$25:$C$267,EH11))</f>
        <v>0</v>
      </c>
      <c r="TM11" s="50">
        <f>IF(EI11="","",COUNTIFS($D$25:$D$267,Parameters!$K$2,$E$25:$E$267,Parameters!$M$7,Calendrier!$C$25:$C$267,EI11)+ COUNTIFS($D$25:$D$267,Parameters!$K$4,$E$25:$E$267,Parameters!$M$7,Calendrier!$C$25:$C$267,EI11))</f>
        <v>0</v>
      </c>
      <c r="TN11" s="50">
        <f>IF(EJ11="","",COUNTIFS($D$25:$D$267,Parameters!$K$2,$E$25:$E$267,Parameters!$M$7,Calendrier!$C$25:$C$267,EJ11)+ COUNTIFS($D$25:$D$267,Parameters!$K$3,$E$25:$E$267,Parameters!$M$7,Calendrier!$C$25:$C$267,EJ11))</f>
        <v>0</v>
      </c>
      <c r="TO11" s="57">
        <f>IF(EK11="","",COUNTIFS($D$25:$D$267,Parameters!$K$2,$E$25:$E$267,Parameters!$M$7,Calendrier!$C$25:$C$267,EK11)+ COUNTIFS($D$25:$D$267,Parameters!$K$4,$E$25:$E$267,Parameters!$M$7,Calendrier!$C$25:$C$267,EK11))</f>
        <v>0</v>
      </c>
      <c r="TR11" s="49">
        <f>IF(EN11="","",COUNTIFS($D$25:$D$267,Parameters!$K$2,$E$25:$E$267,Parameters!$M$7,Calendrier!$C$25:$C$267,EN11)+ COUNTIFS($D$25:$D$267,Parameters!$K$3,$E$25:$E$267,Parameters!$M$7,Calendrier!$C$25:$C$267,EN11))</f>
        <v>0</v>
      </c>
      <c r="TS11" s="50">
        <f>IF(EO11="","",COUNTIFS($D$25:$D$267,Parameters!$K$2,$E$25:$E$267,Parameters!$M$7,Calendrier!$C$25:$C$267,EO11)+ COUNTIFS($D$25:$D$267,Parameters!$K$4,$E$25:$E$267,Parameters!$M$7,Calendrier!$C$25:$C$267,EO11))</f>
        <v>0</v>
      </c>
      <c r="TT11" s="50">
        <f>IF(EP11="","",COUNTIFS($D$25:$D$267,Parameters!$K$2,$E$25:$E$267,Parameters!$M$7,Calendrier!$C$25:$C$267,EP11)+ COUNTIFS($D$25:$D$267,Parameters!$K$3,$E$25:$E$267,Parameters!$M$7,Calendrier!$C$25:$C$267,EP11))</f>
        <v>0</v>
      </c>
      <c r="TU11" s="50">
        <f>IF(EQ11="","",COUNTIFS($D$25:$D$267,Parameters!$K$2,$E$25:$E$267,Parameters!$M$7,Calendrier!$C$25:$C$267,EQ11)+ COUNTIFS($D$25:$D$267,Parameters!$K$4,$E$25:$E$267,Parameters!$M$7,Calendrier!$C$25:$C$267,EQ11))</f>
        <v>0</v>
      </c>
      <c r="TV11" s="50">
        <f>IF(ER11="","",COUNTIFS($D$25:$D$267,Parameters!$K$2,$E$25:$E$267,Parameters!$M$7,Calendrier!$C$25:$C$267,ER11)+ COUNTIFS($D$25:$D$267,Parameters!$K$3,$E$25:$E$267,Parameters!$M$7,Calendrier!$C$25:$C$267,ER11))</f>
        <v>0</v>
      </c>
      <c r="TW11" s="50">
        <f>IF(ES11="","",COUNTIFS($D$25:$D$267,Parameters!$K$2,$E$25:$E$267,Parameters!$M$7,Calendrier!$C$25:$C$267,ES11)+ COUNTIFS($D$25:$D$267,Parameters!$K$4,$E$25:$E$267,Parameters!$M$7,Calendrier!$C$25:$C$267,ES11))</f>
        <v>0</v>
      </c>
      <c r="TX11" s="50">
        <f>IF(ET11="","",COUNTIFS($D$25:$D$267,Parameters!$K$2,$E$25:$E$267,Parameters!$M$7,Calendrier!$C$25:$C$267,ET11)+ COUNTIFS($D$25:$D$267,Parameters!$K$3,$E$25:$E$267,Parameters!$M$7,Calendrier!$C$25:$C$267,ET11))</f>
        <v>0</v>
      </c>
      <c r="TY11" s="50">
        <f>IF(EU11="","",COUNTIFS($D$25:$D$267,Parameters!$K$2,$E$25:$E$267,Parameters!$M$7,Calendrier!$C$25:$C$267,EU11)+ COUNTIFS($D$25:$D$267,Parameters!$K$4,$E$25:$E$267,Parameters!$M$7,Calendrier!$C$25:$C$267,EU11))</f>
        <v>0</v>
      </c>
      <c r="TZ11" s="50">
        <f>IF(EV11="","",COUNTIFS($D$25:$D$267,Parameters!$K$2,$E$25:$E$267,Parameters!$M$7,Calendrier!$C$25:$C$267,EV11)+ COUNTIFS($D$25:$D$267,Parameters!$K$3,$E$25:$E$267,Parameters!$M$7,Calendrier!$C$25:$C$267,EV11))</f>
        <v>0</v>
      </c>
      <c r="UA11" s="50">
        <f>IF(EW11="","",COUNTIFS($D$25:$D$267,Parameters!$K$2,$E$25:$E$267,Parameters!$M$7,Calendrier!$C$25:$C$267,EW11)+ COUNTIFS($D$25:$D$267,Parameters!$K$4,$E$25:$E$267,Parameters!$M$7,Calendrier!$C$25:$C$267,EW11))</f>
        <v>0</v>
      </c>
      <c r="UB11" s="50">
        <f>IF(EX11="","",COUNTIFS($D$25:$D$267,Parameters!$K$2,$E$25:$E$267,Parameters!$M$7,Calendrier!$C$25:$C$267,EX11)+ COUNTIFS($D$25:$D$267,Parameters!$K$3,$E$25:$E$267,Parameters!$M$7,Calendrier!$C$25:$C$267,EX11))</f>
        <v>0</v>
      </c>
      <c r="UC11" s="50">
        <f>IF(EY11="","",COUNTIFS($D$25:$D$267,Parameters!$K$2,$E$25:$E$267,Parameters!$M$7,Calendrier!$C$25:$C$267,EY11)+ COUNTIFS($D$25:$D$267,Parameters!$K$4,$E$25:$E$267,Parameters!$M$7,Calendrier!$C$25:$C$267,EY11))</f>
        <v>0</v>
      </c>
      <c r="UD11" s="50">
        <f>IF(EZ11="","",COUNTIFS($D$25:$D$267,Parameters!$K$2,$E$25:$E$267,Parameters!$M$7,Calendrier!$C$25:$C$267,EZ11)+ COUNTIFS($D$25:$D$267,Parameters!$K$3,$E$25:$E$267,Parameters!$M$7,Calendrier!$C$25:$C$267,EZ11))</f>
        <v>0</v>
      </c>
      <c r="UE11" s="57">
        <f>IF(FA11="","",COUNTIFS($D$25:$D$267,Parameters!$K$2,$E$25:$E$267,Parameters!$M$7,Calendrier!$C$25:$C$267,FA11)+ COUNTIFS($D$25:$D$267,Parameters!$K$4,$E$25:$E$267,Parameters!$M$7,Calendrier!$C$25:$C$267,FA11))</f>
        <v>0</v>
      </c>
    </row>
    <row r="12" spans="2:551" x14ac:dyDescent="0.3">
      <c r="B12" s="11"/>
      <c r="C12" s="1" t="s">
        <v>21</v>
      </c>
      <c r="D12" s="2"/>
      <c r="E12" s="41" t="s">
        <v>9</v>
      </c>
      <c r="F12" s="41" t="s">
        <v>10</v>
      </c>
      <c r="G12" s="12"/>
      <c r="K12" s="31"/>
      <c r="L12" s="22">
        <f t="shared" ref="L12:L13" si="58">X11+1</f>
        <v>12</v>
      </c>
      <c r="M12" s="23"/>
      <c r="N12" s="22">
        <f t="shared" ref="N12:X13" si="59">L12+1</f>
        <v>13</v>
      </c>
      <c r="O12" s="23"/>
      <c r="P12" s="22">
        <f t="shared" si="59"/>
        <v>14</v>
      </c>
      <c r="Q12" s="23"/>
      <c r="R12" s="22">
        <f t="shared" si="59"/>
        <v>15</v>
      </c>
      <c r="S12" s="23"/>
      <c r="T12" s="22">
        <f t="shared" si="59"/>
        <v>16</v>
      </c>
      <c r="U12" s="23"/>
      <c r="V12" s="22">
        <f t="shared" si="59"/>
        <v>17</v>
      </c>
      <c r="W12" s="23"/>
      <c r="X12" s="22">
        <f t="shared" si="59"/>
        <v>18</v>
      </c>
      <c r="Y12" s="23"/>
      <c r="Z12" s="31"/>
      <c r="AA12" s="31"/>
      <c r="AB12" s="22">
        <f t="shared" si="36"/>
        <v>9</v>
      </c>
      <c r="AC12" s="23"/>
      <c r="AD12" s="22">
        <f t="shared" ref="AD12:AN13" si="60">AB12+1</f>
        <v>10</v>
      </c>
      <c r="AE12" s="23"/>
      <c r="AF12" s="22">
        <f t="shared" si="60"/>
        <v>11</v>
      </c>
      <c r="AG12" s="23"/>
      <c r="AH12" s="22">
        <f t="shared" si="60"/>
        <v>12</v>
      </c>
      <c r="AI12" s="23"/>
      <c r="AJ12" s="22">
        <f t="shared" si="60"/>
        <v>13</v>
      </c>
      <c r="AK12" s="23"/>
      <c r="AL12" s="22">
        <f t="shared" si="60"/>
        <v>14</v>
      </c>
      <c r="AM12" s="23"/>
      <c r="AN12" s="22">
        <f t="shared" si="60"/>
        <v>15</v>
      </c>
      <c r="AO12" s="23"/>
      <c r="AP12" s="31"/>
      <c r="AQ12" s="31"/>
      <c r="AR12" s="22">
        <f t="shared" ref="AR12:AR13" si="61">BD11+1</f>
        <v>9</v>
      </c>
      <c r="AS12" s="23"/>
      <c r="AT12" s="22">
        <f t="shared" ref="AT12:AT13" si="62">AR12+1</f>
        <v>10</v>
      </c>
      <c r="AU12" s="23"/>
      <c r="AV12" s="22">
        <f t="shared" ref="AV12:AV13" si="63">AT12+1</f>
        <v>11</v>
      </c>
      <c r="AW12" s="23"/>
      <c r="AX12" s="22">
        <f t="shared" ref="AX12:AX13" si="64">AV12+1</f>
        <v>12</v>
      </c>
      <c r="AY12" s="23"/>
      <c r="AZ12" s="22">
        <f t="shared" ref="AZ12:AZ13" si="65">AX12+1</f>
        <v>13</v>
      </c>
      <c r="BA12" s="23"/>
      <c r="BB12" s="22">
        <f t="shared" ref="BB12:BB13" si="66">AZ12+1</f>
        <v>14</v>
      </c>
      <c r="BC12" s="23"/>
      <c r="BD12" s="22">
        <f t="shared" ref="BD12:BD13" si="67">BB12+1</f>
        <v>15</v>
      </c>
      <c r="BE12" s="23"/>
      <c r="BF12" s="31"/>
      <c r="BG12" s="31"/>
      <c r="BJ12" s="42"/>
      <c r="BK12" s="6">
        <v>1</v>
      </c>
      <c r="BL12" s="6">
        <v>1</v>
      </c>
      <c r="BM12" s="6">
        <v>1</v>
      </c>
      <c r="BN12" s="6">
        <v>1</v>
      </c>
      <c r="BO12" s="6">
        <v>1</v>
      </c>
      <c r="BP12" s="6">
        <v>1</v>
      </c>
      <c r="BQ12" s="6">
        <v>1</v>
      </c>
      <c r="BR12" s="6">
        <v>1</v>
      </c>
      <c r="BS12" s="6">
        <v>1</v>
      </c>
      <c r="BT12" s="6">
        <v>1</v>
      </c>
      <c r="BU12" s="6">
        <v>1</v>
      </c>
      <c r="BV12" s="6">
        <v>1</v>
      </c>
      <c r="BW12" s="6">
        <v>1</v>
      </c>
      <c r="CA12" s="6">
        <v>2</v>
      </c>
      <c r="CB12" s="6">
        <v>2</v>
      </c>
      <c r="CC12" s="6">
        <v>2</v>
      </c>
      <c r="CD12" s="6">
        <v>2</v>
      </c>
      <c r="CE12" s="6">
        <v>2</v>
      </c>
      <c r="CF12" s="6">
        <v>2</v>
      </c>
      <c r="CG12" s="6">
        <v>2</v>
      </c>
      <c r="CH12" s="6">
        <v>2</v>
      </c>
      <c r="CI12" s="6">
        <v>2</v>
      </c>
      <c r="CJ12" s="6">
        <v>2</v>
      </c>
      <c r="CK12" s="6">
        <v>2</v>
      </c>
      <c r="CL12" s="6">
        <v>2</v>
      </c>
      <c r="CM12" s="6">
        <v>2</v>
      </c>
      <c r="CQ12" s="6">
        <v>3</v>
      </c>
      <c r="CR12" s="6">
        <v>3</v>
      </c>
      <c r="CS12" s="6">
        <v>3</v>
      </c>
      <c r="CT12" s="6">
        <v>3</v>
      </c>
      <c r="CU12" s="6">
        <v>3</v>
      </c>
      <c r="CV12" s="6">
        <v>3</v>
      </c>
      <c r="CW12" s="6">
        <v>3</v>
      </c>
      <c r="CX12" s="6">
        <v>3</v>
      </c>
      <c r="CY12" s="6">
        <v>3</v>
      </c>
      <c r="CZ12" s="6">
        <v>3</v>
      </c>
      <c r="DA12" s="6">
        <v>3</v>
      </c>
      <c r="DB12" s="6">
        <v>3</v>
      </c>
      <c r="DC12" s="6">
        <v>3</v>
      </c>
      <c r="DG12" s="42"/>
      <c r="DH12" s="43">
        <f t="shared" si="37"/>
        <v>46034</v>
      </c>
      <c r="DI12" s="44">
        <f t="shared" ref="DI12" si="68">DH12</f>
        <v>46034</v>
      </c>
      <c r="DJ12" s="44">
        <f t="shared" si="0"/>
        <v>46035</v>
      </c>
      <c r="DK12" s="44">
        <f t="shared" ref="DK12" si="69">DJ12</f>
        <v>46035</v>
      </c>
      <c r="DL12" s="44">
        <f t="shared" si="2"/>
        <v>46036</v>
      </c>
      <c r="DM12" s="44">
        <f t="shared" ref="DM12" si="70">DL12</f>
        <v>46036</v>
      </c>
      <c r="DN12" s="44">
        <f t="shared" si="4"/>
        <v>46037</v>
      </c>
      <c r="DO12" s="44">
        <f t="shared" ref="DO12" si="71">DN12</f>
        <v>46037</v>
      </c>
      <c r="DP12" s="44">
        <f t="shared" si="6"/>
        <v>46038</v>
      </c>
      <c r="DQ12" s="44">
        <f t="shared" ref="DQ12" si="72">DP12</f>
        <v>46038</v>
      </c>
      <c r="DR12" s="44">
        <f t="shared" si="8"/>
        <v>46039</v>
      </c>
      <c r="DS12" s="44">
        <f t="shared" ref="DS12" si="73">DR12</f>
        <v>46039</v>
      </c>
      <c r="DT12" s="44">
        <f t="shared" si="10"/>
        <v>46040</v>
      </c>
      <c r="DU12" s="45">
        <f t="shared" si="11"/>
        <v>46040</v>
      </c>
      <c r="DX12" s="43">
        <f t="shared" si="44"/>
        <v>46062</v>
      </c>
      <c r="DY12" s="44">
        <f t="shared" ref="DY12" si="74">DX12</f>
        <v>46062</v>
      </c>
      <c r="DZ12" s="44">
        <f t="shared" si="12"/>
        <v>46063</v>
      </c>
      <c r="EA12" s="44">
        <f t="shared" ref="EA12" si="75">DZ12</f>
        <v>46063</v>
      </c>
      <c r="EB12" s="44">
        <f t="shared" si="14"/>
        <v>46064</v>
      </c>
      <c r="EC12" s="44">
        <f t="shared" ref="EC12" si="76">EB12</f>
        <v>46064</v>
      </c>
      <c r="ED12" s="44">
        <f t="shared" si="16"/>
        <v>46065</v>
      </c>
      <c r="EE12" s="44">
        <f t="shared" ref="EE12" si="77">ED12</f>
        <v>46065</v>
      </c>
      <c r="EF12" s="44">
        <f t="shared" si="18"/>
        <v>46066</v>
      </c>
      <c r="EG12" s="44">
        <f t="shared" ref="EG12" si="78">EF12</f>
        <v>46066</v>
      </c>
      <c r="EH12" s="44">
        <f t="shared" si="20"/>
        <v>46067</v>
      </c>
      <c r="EI12" s="44">
        <f t="shared" ref="EI12" si="79">EH12</f>
        <v>46067</v>
      </c>
      <c r="EJ12" s="44">
        <f t="shared" si="22"/>
        <v>46068</v>
      </c>
      <c r="EK12" s="45">
        <f t="shared" si="23"/>
        <v>46068</v>
      </c>
      <c r="EN12" s="43">
        <f t="shared" si="51"/>
        <v>46090</v>
      </c>
      <c r="EO12" s="44">
        <f t="shared" ref="EO12" si="80">EN12</f>
        <v>46090</v>
      </c>
      <c r="EP12" s="44">
        <f t="shared" si="24"/>
        <v>46091</v>
      </c>
      <c r="EQ12" s="44">
        <f t="shared" ref="EQ12" si="81">EP12</f>
        <v>46091</v>
      </c>
      <c r="ER12" s="44">
        <f t="shared" si="26"/>
        <v>46092</v>
      </c>
      <c r="ES12" s="44">
        <f t="shared" ref="ES12" si="82">ER12</f>
        <v>46092</v>
      </c>
      <c r="ET12" s="44">
        <f t="shared" si="28"/>
        <v>46093</v>
      </c>
      <c r="EU12" s="44">
        <f t="shared" ref="EU12" si="83">ET12</f>
        <v>46093</v>
      </c>
      <c r="EV12" s="44">
        <f t="shared" si="30"/>
        <v>46094</v>
      </c>
      <c r="EW12" s="44">
        <f t="shared" ref="EW12" si="84">EV12</f>
        <v>46094</v>
      </c>
      <c r="EX12" s="44">
        <f t="shared" si="32"/>
        <v>46095</v>
      </c>
      <c r="EY12" s="44">
        <f t="shared" ref="EY12" si="85">EX12</f>
        <v>46095</v>
      </c>
      <c r="EZ12" s="44">
        <f t="shared" si="34"/>
        <v>46096</v>
      </c>
      <c r="FA12" s="45">
        <f t="shared" si="35"/>
        <v>46096</v>
      </c>
      <c r="FB12" s="44"/>
      <c r="FE12" s="49">
        <f>COUNTIFS(Parameters!$S:$S,$D$4,Parameters!$Q:$Q,DH12)</f>
        <v>0</v>
      </c>
      <c r="FF12" s="50">
        <f>COUNTIFS(Parameters!$S:$S,$D$4,Parameters!$Q:$Q,DI12)</f>
        <v>0</v>
      </c>
      <c r="FG12" s="50">
        <f>COUNTIFS(Parameters!$S:$S,$D$4,Parameters!$Q:$Q,DJ12)</f>
        <v>0</v>
      </c>
      <c r="FH12" s="50">
        <f>COUNTIFS(Parameters!$S:$S,$D$4,Parameters!$Q:$Q,DK12)</f>
        <v>0</v>
      </c>
      <c r="FI12" s="50">
        <f>COUNTIFS(Parameters!$S:$S,$D$4,Parameters!$Q:$Q,DL12)</f>
        <v>0</v>
      </c>
      <c r="FJ12" s="50">
        <f>COUNTIFS(Parameters!$S:$S,$D$4,Parameters!$Q:$Q,DM12)</f>
        <v>0</v>
      </c>
      <c r="FK12" s="50">
        <f>COUNTIFS(Parameters!$S:$S,$D$4,Parameters!$Q:$Q,DN12)</f>
        <v>0</v>
      </c>
      <c r="FL12" s="50">
        <f>COUNTIFS(Parameters!$S:$S,$D$4,Parameters!$Q:$Q,DO12)</f>
        <v>0</v>
      </c>
      <c r="FM12" s="50">
        <f>COUNTIFS(Parameters!$S:$S,$D$4,Parameters!$Q:$Q,DP12)</f>
        <v>0</v>
      </c>
      <c r="FN12" s="50">
        <f>COUNTIFS(Parameters!$S:$S,$D$4,Parameters!$Q:$Q,DQ12)</f>
        <v>0</v>
      </c>
      <c r="FO12" s="50">
        <f>COUNTIFS(Parameters!$S:$S,$D$4,Parameters!$Q:$Q,DR12)</f>
        <v>0</v>
      </c>
      <c r="FP12" s="50">
        <f>COUNTIFS(Parameters!$S:$S,$D$4,Parameters!$Q:$Q,DS12)</f>
        <v>0</v>
      </c>
      <c r="FQ12" s="50">
        <f>COUNTIFS(Parameters!$S:$S,$D$4,Parameters!$Q:$Q,DT12)</f>
        <v>0</v>
      </c>
      <c r="FR12" s="57">
        <f>COUNTIFS(Parameters!$S:$S,$D$4,Parameters!$Q:$Q,DU12)</f>
        <v>0</v>
      </c>
      <c r="FU12" s="49">
        <f>COUNTIFS(Parameters!$S:$S,$D$4,Parameters!$Q:$Q,DX12)</f>
        <v>0</v>
      </c>
      <c r="FV12" s="50">
        <f>COUNTIFS(Parameters!$S:$S,$D$4,Parameters!$Q:$Q,DY12)</f>
        <v>0</v>
      </c>
      <c r="FW12" s="50">
        <f>COUNTIFS(Parameters!$S:$S,$D$4,Parameters!$Q:$Q,DZ12)</f>
        <v>0</v>
      </c>
      <c r="FX12" s="50">
        <f>COUNTIFS(Parameters!$S:$S,$D$4,Parameters!$Q:$Q,EA12)</f>
        <v>0</v>
      </c>
      <c r="FY12" s="50">
        <f>COUNTIFS(Parameters!$S:$S,$D$4,Parameters!$Q:$Q,EB12)</f>
        <v>0</v>
      </c>
      <c r="FZ12" s="50">
        <f>COUNTIFS(Parameters!$S:$S,$D$4,Parameters!$Q:$Q,EC12)</f>
        <v>0</v>
      </c>
      <c r="GA12" s="50">
        <f>COUNTIFS(Parameters!$S:$S,$D$4,Parameters!$Q:$Q,ED12)</f>
        <v>0</v>
      </c>
      <c r="GB12" s="50">
        <f>COUNTIFS(Parameters!$S:$S,$D$4,Parameters!$Q:$Q,EE12)</f>
        <v>0</v>
      </c>
      <c r="GC12" s="50">
        <f>COUNTIFS(Parameters!$S:$S,$D$4,Parameters!$Q:$Q,EF12)</f>
        <v>0</v>
      </c>
      <c r="GD12" s="50">
        <f>COUNTIFS(Parameters!$S:$S,$D$4,Parameters!$Q:$Q,EG12)</f>
        <v>0</v>
      </c>
      <c r="GE12" s="50">
        <f>COUNTIFS(Parameters!$S:$S,$D$4,Parameters!$Q:$Q,EH12)</f>
        <v>0</v>
      </c>
      <c r="GF12" s="50">
        <f>COUNTIFS(Parameters!$S:$S,$D$4,Parameters!$Q:$Q,EI12)</f>
        <v>0</v>
      </c>
      <c r="GG12" s="50">
        <f>COUNTIFS(Parameters!$S:$S,$D$4,Parameters!$Q:$Q,EJ12)</f>
        <v>0</v>
      </c>
      <c r="GH12" s="57">
        <f>COUNTIFS(Parameters!$S:$S,$D$4,Parameters!$Q:$Q,EK12)</f>
        <v>0</v>
      </c>
      <c r="GK12" s="49">
        <f>COUNTIFS(Parameters!$S:$S,$D$4,Parameters!$Q:$Q,EN12)</f>
        <v>0</v>
      </c>
      <c r="GL12" s="50">
        <f>COUNTIFS(Parameters!$S:$S,$D$4,Parameters!$Q:$Q,EO12)</f>
        <v>0</v>
      </c>
      <c r="GM12" s="50">
        <f>COUNTIFS(Parameters!$S:$S,$D$4,Parameters!$Q:$Q,EP12)</f>
        <v>0</v>
      </c>
      <c r="GN12" s="50">
        <f>COUNTIFS(Parameters!$S:$S,$D$4,Parameters!$Q:$Q,EQ12)</f>
        <v>0</v>
      </c>
      <c r="GO12" s="50">
        <f>COUNTIFS(Parameters!$S:$S,$D$4,Parameters!$Q:$Q,ER12)</f>
        <v>0</v>
      </c>
      <c r="GP12" s="50">
        <f>COUNTIFS(Parameters!$S:$S,$D$4,Parameters!$Q:$Q,ES12)</f>
        <v>0</v>
      </c>
      <c r="GQ12" s="50">
        <f>COUNTIFS(Parameters!$S:$S,$D$4,Parameters!$Q:$Q,ET12)</f>
        <v>0</v>
      </c>
      <c r="GR12" s="50">
        <f>COUNTIFS(Parameters!$S:$S,$D$4,Parameters!$Q:$Q,EU12)</f>
        <v>0</v>
      </c>
      <c r="GS12" s="50">
        <f>COUNTIFS(Parameters!$S:$S,$D$4,Parameters!$Q:$Q,EV12)</f>
        <v>0</v>
      </c>
      <c r="GT12" s="50">
        <f>COUNTIFS(Parameters!$S:$S,$D$4,Parameters!$Q:$Q,EW12)</f>
        <v>0</v>
      </c>
      <c r="GU12" s="50">
        <f>COUNTIFS(Parameters!$S:$S,$D$4,Parameters!$Q:$Q,EX12)</f>
        <v>0</v>
      </c>
      <c r="GV12" s="50">
        <f>COUNTIFS(Parameters!$S:$S,$D$4,Parameters!$Q:$Q,EY12)</f>
        <v>0</v>
      </c>
      <c r="GW12" s="50">
        <f>COUNTIFS(Parameters!$S:$S,$D$4,Parameters!$Q:$Q,EZ12)</f>
        <v>0</v>
      </c>
      <c r="GX12" s="57">
        <f>COUNTIFS(Parameters!$S:$S,$D$4,Parameters!$Q:$Q,FA12)</f>
        <v>0</v>
      </c>
      <c r="HB12" s="49">
        <f>IF(DH12="","",COUNTIFS($D$25:$D$267,Parameters!$K$2,$E$25:$E$267,Parameters!$M$2,Calendrier!$C$25:$C$267,DH12)+ COUNTIFS($D$25:$D$267,Parameters!$K$3,$E$25:$E$267,Parameters!$M$2,Calendrier!$C$25:$C$267,DH12))</f>
        <v>0</v>
      </c>
      <c r="HC12" s="50">
        <f>IF(DI12="","",COUNTIFS($D$25:$D$267,Parameters!$K$2,$E$25:$E$267,Parameters!$M$2,Calendrier!$C$25:$C$267,DI12)+ COUNTIFS($D$25:$D$267,Parameters!$K$4,$E$25:$E$267,Parameters!$M$2,Calendrier!$C$25:$C$267,DI12))</f>
        <v>0</v>
      </c>
      <c r="HD12" s="50">
        <f>IF(DJ12="","",COUNTIFS($D$25:$D$267,Parameters!$K$2,$E$25:$E$267,Parameters!$M$2,Calendrier!$C$25:$C$267,DJ12)+ COUNTIFS($D$25:$D$267,Parameters!$K$3,$E$25:$E$267,Parameters!$M$2,Calendrier!$C$25:$C$267,DJ12))</f>
        <v>0</v>
      </c>
      <c r="HE12" s="50">
        <f>IF(DK12="","",COUNTIFS($D$25:$D$267,Parameters!$K$2,$E$25:$E$267,Parameters!$M$2,Calendrier!$C$25:$C$267,DK12)+ COUNTIFS($D$25:$D$267,Parameters!$K$4,$E$25:$E$267,Parameters!$M$2,Calendrier!$C$25:$C$267,DK12))</f>
        <v>0</v>
      </c>
      <c r="HF12" s="50">
        <f>IF(DL12="","",COUNTIFS($D$25:$D$267,Parameters!$K$2,$E$25:$E$267,Parameters!$M$2,Calendrier!$C$25:$C$267,DL12)+ COUNTIFS($D$25:$D$267,Parameters!$K$3,$E$25:$E$267,Parameters!$M$2,Calendrier!$C$25:$C$267,DL12))</f>
        <v>0</v>
      </c>
      <c r="HG12" s="50">
        <f>IF(DM12="","",COUNTIFS($D$25:$D$267,Parameters!$K$2,$E$25:$E$267,Parameters!$M$2,Calendrier!$C$25:$C$267,DM12)+ COUNTIFS($D$25:$D$267,Parameters!$K$4,$E$25:$E$267,Parameters!$M$2,Calendrier!$C$25:$C$267,DM12))</f>
        <v>0</v>
      </c>
      <c r="HH12" s="50">
        <f>IF(DN12="","",COUNTIFS($D$25:$D$267,Parameters!$K$2,$E$25:$E$267,Parameters!$M$2,Calendrier!$C$25:$C$267,DN12)+ COUNTIFS($D$25:$D$267,Parameters!$K$3,$E$25:$E$267,Parameters!$M$2,Calendrier!$C$25:$C$267,DN12))</f>
        <v>0</v>
      </c>
      <c r="HI12" s="50">
        <f>IF(DO12="","",COUNTIFS($D$25:$D$267,Parameters!$K$2,$E$25:$E$267,Parameters!$M$2,Calendrier!$C$25:$C$267,DO12)+ COUNTIFS($D$25:$D$267,Parameters!$K$4,$E$25:$E$267,Parameters!$M$2,Calendrier!$C$25:$C$267,DO12))</f>
        <v>0</v>
      </c>
      <c r="HJ12" s="50">
        <f>IF(DP12="","",COUNTIFS($D$25:$D$267,Parameters!$K$2,$E$25:$E$267,Parameters!$M$2,Calendrier!$C$25:$C$267,DP12)+ COUNTIFS($D$25:$D$267,Parameters!$K$3,$E$25:$E$267,Parameters!$M$2,Calendrier!$C$25:$C$267,DP12))</f>
        <v>0</v>
      </c>
      <c r="HK12" s="50">
        <f>IF(DQ12="","",COUNTIFS($D$25:$D$267,Parameters!$K$2,$E$25:$E$267,Parameters!$M$2,Calendrier!$C$25:$C$267,DQ12)+ COUNTIFS($D$25:$D$267,Parameters!$K$4,$E$25:$E$267,Parameters!$M$2,Calendrier!$C$25:$C$267,DQ12))</f>
        <v>0</v>
      </c>
      <c r="HL12" s="50">
        <f>IF(DR12="","",COUNTIFS($D$25:$D$267,Parameters!$K$2,$E$25:$E$267,Parameters!$M$2,Calendrier!$C$25:$C$267,DR12)+ COUNTIFS($D$25:$D$267,Parameters!$K$3,$E$25:$E$267,Parameters!$M$2,Calendrier!$C$25:$C$267,DR12))</f>
        <v>0</v>
      </c>
      <c r="HM12" s="50">
        <f>IF(DS12="","",COUNTIFS($D$25:$D$267,Parameters!$K$2,$E$25:$E$267,Parameters!$M$2,Calendrier!$C$25:$C$267,DS12)+ COUNTIFS($D$25:$D$267,Parameters!$K$4,$E$25:$E$267,Parameters!$M$2,Calendrier!$C$25:$C$267,DS12))</f>
        <v>0</v>
      </c>
      <c r="HN12" s="50">
        <f>IF(DT12="","",COUNTIFS($D$25:$D$267,Parameters!$K$2,$E$25:$E$267,Parameters!$M$2,Calendrier!$C$25:$C$267,DT12)+ COUNTIFS($D$25:$D$267,Parameters!$K$3,$E$25:$E$267,Parameters!$M$2,Calendrier!$C$25:$C$267,DT12))</f>
        <v>0</v>
      </c>
      <c r="HO12" s="57">
        <f>IF(DU12="","",COUNTIFS($D$25:$D$267,Parameters!$K$2,$E$25:$E$267,Parameters!$M$2,Calendrier!$C$25:$C$267,DU12)+ COUNTIFS($D$25:$D$267,Parameters!$K$4,$E$25:$E$267,Parameters!$M$2,Calendrier!$C$25:$C$267,DU12))</f>
        <v>0</v>
      </c>
      <c r="HR12" s="49">
        <f>IF(DX12="","",COUNTIFS($D$25:$D$267,Parameters!$K$2,$E$25:$E$267,Parameters!$M$2,Calendrier!$C$25:$C$267,DX12)+ COUNTIFS($D$25:$D$267,Parameters!$K$3,$E$25:$E$267,Parameters!$M$2,Calendrier!$C$25:$C$267,DX12))</f>
        <v>0</v>
      </c>
      <c r="HS12" s="50">
        <f>IF(DY12="","",COUNTIFS($D$25:$D$267,Parameters!$K$2,$E$25:$E$267,Parameters!$M$2,Calendrier!$C$25:$C$267,DY12)+ COUNTIFS($D$25:$D$267,Parameters!$K$4,$E$25:$E$267,Parameters!$M$2,Calendrier!$C$25:$C$267,DY12))</f>
        <v>0</v>
      </c>
      <c r="HT12" s="50">
        <f>IF(DZ12="","",COUNTIFS($D$25:$D$267,Parameters!$K$2,$E$25:$E$267,Parameters!$M$2,Calendrier!$C$25:$C$267,DZ12)+ COUNTIFS($D$25:$D$267,Parameters!$K$3,$E$25:$E$267,Parameters!$M$2,Calendrier!$C$25:$C$267,DZ12))</f>
        <v>0</v>
      </c>
      <c r="HU12" s="50">
        <f>IF(EA12="","",COUNTIFS($D$25:$D$267,Parameters!$K$2,$E$25:$E$267,Parameters!$M$2,Calendrier!$C$25:$C$267,EA12)+ COUNTIFS($D$25:$D$267,Parameters!$K$4,$E$25:$E$267,Parameters!$M$2,Calendrier!$C$25:$C$267,EA12))</f>
        <v>0</v>
      </c>
      <c r="HV12" s="50">
        <f>IF(EB12="","",COUNTIFS($D$25:$D$267,Parameters!$K$2,$E$25:$E$267,Parameters!$M$2,Calendrier!$C$25:$C$267,EB12)+ COUNTIFS($D$25:$D$267,Parameters!$K$3,$E$25:$E$267,Parameters!$M$2,Calendrier!$C$25:$C$267,EB12))</f>
        <v>0</v>
      </c>
      <c r="HW12" s="50">
        <f>IF(EC12="","",COUNTIFS($D$25:$D$267,Parameters!$K$2,$E$25:$E$267,Parameters!$M$2,Calendrier!$C$25:$C$267,EC12)+ COUNTIFS($D$25:$D$267,Parameters!$K$4,$E$25:$E$267,Parameters!$M$2,Calendrier!$C$25:$C$267,EC12))</f>
        <v>0</v>
      </c>
      <c r="HX12" s="50">
        <f>IF(ED12="","",COUNTIFS($D$25:$D$267,Parameters!$K$2,$E$25:$E$267,Parameters!$M$2,Calendrier!$C$25:$C$267,ED12)+ COUNTIFS($D$25:$D$267,Parameters!$K$3,$E$25:$E$267,Parameters!$M$2,Calendrier!$C$25:$C$267,ED12))</f>
        <v>0</v>
      </c>
      <c r="HY12" s="50">
        <f>IF(EE12="","",COUNTIFS($D$25:$D$267,Parameters!$K$2,$E$25:$E$267,Parameters!$M$2,Calendrier!$C$25:$C$267,EE12)+ COUNTIFS($D$25:$D$267,Parameters!$K$4,$E$25:$E$267,Parameters!$M$2,Calendrier!$C$25:$C$267,EE12))</f>
        <v>0</v>
      </c>
      <c r="HZ12" s="50">
        <f>IF(EF12="","",COUNTIFS($D$25:$D$267,Parameters!$K$2,$E$25:$E$267,Parameters!$M$2,Calendrier!$C$25:$C$267,EF12)+ COUNTIFS($D$25:$D$267,Parameters!$K$3,$E$25:$E$267,Parameters!$M$2,Calendrier!$C$25:$C$267,EF12))</f>
        <v>0</v>
      </c>
      <c r="IA12" s="50">
        <f>IF(EG12="","",COUNTIFS($D$25:$D$267,Parameters!$K$2,$E$25:$E$267,Parameters!$M$2,Calendrier!$C$25:$C$267,EG12)+ COUNTIFS($D$25:$D$267,Parameters!$K$4,$E$25:$E$267,Parameters!$M$2,Calendrier!$C$25:$C$267,EG12))</f>
        <v>0</v>
      </c>
      <c r="IB12" s="50">
        <f>IF(EH12="","",COUNTIFS($D$25:$D$267,Parameters!$K$2,$E$25:$E$267,Parameters!$M$2,Calendrier!$C$25:$C$267,EH12)+ COUNTIFS($D$25:$D$267,Parameters!$K$3,$E$25:$E$267,Parameters!$M$2,Calendrier!$C$25:$C$267,EH12))</f>
        <v>0</v>
      </c>
      <c r="IC12" s="50">
        <f>IF(EI12="","",COUNTIFS($D$25:$D$267,Parameters!$K$2,$E$25:$E$267,Parameters!$M$2,Calendrier!$C$25:$C$267,EI12)+ COUNTIFS($D$25:$D$267,Parameters!$K$4,$E$25:$E$267,Parameters!$M$2,Calendrier!$C$25:$C$267,EI12))</f>
        <v>0</v>
      </c>
      <c r="ID12" s="50">
        <f>IF(EJ12="","",COUNTIFS($D$25:$D$267,Parameters!$K$2,$E$25:$E$267,Parameters!$M$2,Calendrier!$C$25:$C$267,EJ12)+ COUNTIFS($D$25:$D$267,Parameters!$K$3,$E$25:$E$267,Parameters!$M$2,Calendrier!$C$25:$C$267,EJ12))</f>
        <v>0</v>
      </c>
      <c r="IE12" s="57">
        <f>IF(EK12="","",COUNTIFS($D$25:$D$267,Parameters!$K$2,$E$25:$E$267,Parameters!$M$2,Calendrier!$C$25:$C$267,EK12)+ COUNTIFS($D$25:$D$267,Parameters!$K$4,$E$25:$E$267,Parameters!$M$2,Calendrier!$C$25:$C$267,EK12))</f>
        <v>0</v>
      </c>
      <c r="IH12" s="49">
        <f>IF(EN12="","",COUNTIFS($D$25:$D$267,Parameters!$K$2,$E$25:$E$267,Parameters!$M$2,Calendrier!$C$25:$C$267,EN12)+ COUNTIFS($D$25:$D$267,Parameters!$K$3,$E$25:$E$267,Parameters!$M$2,Calendrier!$C$25:$C$267,EN12))</f>
        <v>0</v>
      </c>
      <c r="II12" s="50">
        <f>IF(EO12="","",COUNTIFS($D$25:$D$267,Parameters!$K$2,$E$25:$E$267,Parameters!$M$2,Calendrier!$C$25:$C$267,EO12)+ COUNTIFS($D$25:$D$267,Parameters!$K$4,$E$25:$E$267,Parameters!$M$2,Calendrier!$C$25:$C$267,EO12))</f>
        <v>0</v>
      </c>
      <c r="IJ12" s="50">
        <f>IF(EP12="","",COUNTIFS($D$25:$D$267,Parameters!$K$2,$E$25:$E$267,Parameters!$M$2,Calendrier!$C$25:$C$267,EP12)+ COUNTIFS($D$25:$D$267,Parameters!$K$3,$E$25:$E$267,Parameters!$M$2,Calendrier!$C$25:$C$267,EP12))</f>
        <v>0</v>
      </c>
      <c r="IK12" s="50">
        <f>IF(EQ12="","",COUNTIFS($D$25:$D$267,Parameters!$K$2,$E$25:$E$267,Parameters!$M$2,Calendrier!$C$25:$C$267,EQ12)+ COUNTIFS($D$25:$D$267,Parameters!$K$4,$E$25:$E$267,Parameters!$M$2,Calendrier!$C$25:$C$267,EQ12))</f>
        <v>0</v>
      </c>
      <c r="IL12" s="50">
        <f>IF(ER12="","",COUNTIFS($D$25:$D$267,Parameters!$K$2,$E$25:$E$267,Parameters!$M$2,Calendrier!$C$25:$C$267,ER12)+ COUNTIFS($D$25:$D$267,Parameters!$K$3,$E$25:$E$267,Parameters!$M$2,Calendrier!$C$25:$C$267,ER12))</f>
        <v>0</v>
      </c>
      <c r="IM12" s="50">
        <f>IF(ES12="","",COUNTIFS($D$25:$D$267,Parameters!$K$2,$E$25:$E$267,Parameters!$M$2,Calendrier!$C$25:$C$267,ES12)+ COUNTIFS($D$25:$D$267,Parameters!$K$4,$E$25:$E$267,Parameters!$M$2,Calendrier!$C$25:$C$267,ES12))</f>
        <v>0</v>
      </c>
      <c r="IN12" s="50">
        <f>IF(ET12="","",COUNTIFS($D$25:$D$267,Parameters!$K$2,$E$25:$E$267,Parameters!$M$2,Calendrier!$C$25:$C$267,ET12)+ COUNTIFS($D$25:$D$267,Parameters!$K$3,$E$25:$E$267,Parameters!$M$2,Calendrier!$C$25:$C$267,ET12))</f>
        <v>0</v>
      </c>
      <c r="IO12" s="50">
        <f>IF(EU12="","",COUNTIFS($D$25:$D$267,Parameters!$K$2,$E$25:$E$267,Parameters!$M$2,Calendrier!$C$25:$C$267,EU12)+ COUNTIFS($D$25:$D$267,Parameters!$K$4,$E$25:$E$267,Parameters!$M$2,Calendrier!$C$25:$C$267,EU12))</f>
        <v>0</v>
      </c>
      <c r="IP12" s="50">
        <f>IF(EV12="","",COUNTIFS($D$25:$D$267,Parameters!$K$2,$E$25:$E$267,Parameters!$M$2,Calendrier!$C$25:$C$267,EV12)+ COUNTIFS($D$25:$D$267,Parameters!$K$3,$E$25:$E$267,Parameters!$M$2,Calendrier!$C$25:$C$267,EV12))</f>
        <v>0</v>
      </c>
      <c r="IQ12" s="50">
        <f>IF(EW12="","",COUNTIFS($D$25:$D$267,Parameters!$K$2,$E$25:$E$267,Parameters!$M$2,Calendrier!$C$25:$C$267,EW12)+ COUNTIFS($D$25:$D$267,Parameters!$K$4,$E$25:$E$267,Parameters!$M$2,Calendrier!$C$25:$C$267,EW12))</f>
        <v>0</v>
      </c>
      <c r="IR12" s="50">
        <f>IF(EX12="","",COUNTIFS($D$25:$D$267,Parameters!$K$2,$E$25:$E$267,Parameters!$M$2,Calendrier!$C$25:$C$267,EX12)+ COUNTIFS($D$25:$D$267,Parameters!$K$3,$E$25:$E$267,Parameters!$M$2,Calendrier!$C$25:$C$267,EX12))</f>
        <v>0</v>
      </c>
      <c r="IS12" s="50">
        <f>IF(EY12="","",COUNTIFS($D$25:$D$267,Parameters!$K$2,$E$25:$E$267,Parameters!$M$2,Calendrier!$C$25:$C$267,EY12)+ COUNTIFS($D$25:$D$267,Parameters!$K$4,$E$25:$E$267,Parameters!$M$2,Calendrier!$C$25:$C$267,EY12))</f>
        <v>0</v>
      </c>
      <c r="IT12" s="50">
        <f>IF(EZ12="","",COUNTIFS($D$25:$D$267,Parameters!$K$2,$E$25:$E$267,Parameters!$M$2,Calendrier!$C$25:$C$267,EZ12)+ COUNTIFS($D$25:$D$267,Parameters!$K$3,$E$25:$E$267,Parameters!$M$2,Calendrier!$C$25:$C$267,EZ12))</f>
        <v>0</v>
      </c>
      <c r="IU12" s="57">
        <f>IF(FA12="","",COUNTIFS($D$25:$D$267,Parameters!$K$2,$E$25:$E$267,Parameters!$M$2,Calendrier!$C$25:$C$267,FA12)+ COUNTIFS($D$25:$D$267,Parameters!$K$4,$E$25:$E$267,Parameters!$M$2,Calendrier!$C$25:$C$267,FA12))</f>
        <v>0</v>
      </c>
      <c r="IY12" s="49">
        <f>IF(DH12="","",COUNTIFS($D$25:$D$267,Parameters!$K$2,$E$25:$E$267,Parameters!$M$3,Calendrier!$C$25:$C$267,DH12)+ COUNTIFS($D$25:$D$267,Parameters!$K$3,$E$25:$E$267,Parameters!$M$3,Calendrier!$C$25:$C$267,DH12))</f>
        <v>0</v>
      </c>
      <c r="IZ12" s="50">
        <f>IF(DI12="","",COUNTIFS($D$25:$D$267,Parameters!$K$2,$E$25:$E$267,Parameters!$M$3,Calendrier!$C$25:$C$267,DI12)+ COUNTIFS($D$25:$D$267,Parameters!$K$4,$E$25:$E$267,Parameters!$M$3,Calendrier!$C$25:$C$267,DI12))</f>
        <v>0</v>
      </c>
      <c r="JA12" s="50">
        <f>IF(DJ12="","",COUNTIFS($D$25:$D$267,Parameters!$K$2,$E$25:$E$267,Parameters!$M$3,Calendrier!$C$25:$C$267,DJ12)+ COUNTIFS($D$25:$D$267,Parameters!$K$3,$E$25:$E$267,Parameters!$M$3,Calendrier!$C$25:$C$267,DJ12))</f>
        <v>0</v>
      </c>
      <c r="JB12" s="50">
        <f>IF(DK12="","",COUNTIFS($D$25:$D$267,Parameters!$K$2,$E$25:$E$267,Parameters!$M$3,Calendrier!$C$25:$C$267,DK12)+ COUNTIFS($D$25:$D$267,Parameters!$K$4,$E$25:$E$267,Parameters!$M$3,Calendrier!$C$25:$C$267,DK12))</f>
        <v>0</v>
      </c>
      <c r="JC12" s="50">
        <f>IF(DL12="","",COUNTIFS($D$25:$D$267,Parameters!$K$2,$E$25:$E$267,Parameters!$M$3,Calendrier!$C$25:$C$267,DL12)+ COUNTIFS($D$25:$D$267,Parameters!$K$3,$E$25:$E$267,Parameters!$M$3,Calendrier!$C$25:$C$267,DL12))</f>
        <v>0</v>
      </c>
      <c r="JD12" s="50">
        <f>IF(DM12="","",COUNTIFS($D$25:$D$267,Parameters!$K$2,$E$25:$E$267,Parameters!$M$3,Calendrier!$C$25:$C$267,DM12)+ COUNTIFS($D$25:$D$267,Parameters!$K$4,$E$25:$E$267,Parameters!$M$3,Calendrier!$C$25:$C$267,DM12))</f>
        <v>0</v>
      </c>
      <c r="JE12" s="50">
        <f>IF(DN12="","",COUNTIFS($D$25:$D$267,Parameters!$K$2,$E$25:$E$267,Parameters!$M$3,Calendrier!$C$25:$C$267,DN12)+ COUNTIFS($D$25:$D$267,Parameters!$K$3,$E$25:$E$267,Parameters!$M$3,Calendrier!$C$25:$C$267,DN12))</f>
        <v>0</v>
      </c>
      <c r="JF12" s="50">
        <f>IF(DO12="","",COUNTIFS($D$25:$D$267,Parameters!$K$2,$E$25:$E$267,Parameters!$M$3,Calendrier!$C$25:$C$267,DO12)+ COUNTIFS($D$25:$D$267,Parameters!$K$4,$E$25:$E$267,Parameters!$M$3,Calendrier!$C$25:$C$267,DO12))</f>
        <v>0</v>
      </c>
      <c r="JG12" s="50">
        <f>IF(DP12="","",COUNTIFS($D$25:$D$267,Parameters!$K$2,$E$25:$E$267,Parameters!$M$3,Calendrier!$C$25:$C$267,DP12)+ COUNTIFS($D$25:$D$267,Parameters!$K$3,$E$25:$E$267,Parameters!$M$3,Calendrier!$C$25:$C$267,DP12))</f>
        <v>0</v>
      </c>
      <c r="JH12" s="50">
        <f>IF(DQ12="","",COUNTIFS($D$25:$D$267,Parameters!$K$2,$E$25:$E$267,Parameters!$M$3,Calendrier!$C$25:$C$267,DQ12)+ COUNTIFS($D$25:$D$267,Parameters!$K$4,$E$25:$E$267,Parameters!$M$3,Calendrier!$C$25:$C$267,DQ12))</f>
        <v>0</v>
      </c>
      <c r="JI12" s="50">
        <f>IF(DR12="","",COUNTIFS($D$25:$D$267,Parameters!$K$2,$E$25:$E$267,Parameters!$M$3,Calendrier!$C$25:$C$267,DR12)+ COUNTIFS($D$25:$D$267,Parameters!$K$3,$E$25:$E$267,Parameters!$M$3,Calendrier!$C$25:$C$267,DR12))</f>
        <v>0</v>
      </c>
      <c r="JJ12" s="50">
        <f>IF(DS12="","",COUNTIFS($D$25:$D$267,Parameters!$K$2,$E$25:$E$267,Parameters!$M$3,Calendrier!$C$25:$C$267,DS12)+ COUNTIFS($D$25:$D$267,Parameters!$K$4,$E$25:$E$267,Parameters!$M$3,Calendrier!$C$25:$C$267,DS12))</f>
        <v>0</v>
      </c>
      <c r="JK12" s="50">
        <f>IF(DT12="","",COUNTIFS($D$25:$D$267,Parameters!$K$2,$E$25:$E$267,Parameters!$M$3,Calendrier!$C$25:$C$267,DT12)+ COUNTIFS($D$25:$D$267,Parameters!$K$3,$E$25:$E$267,Parameters!$M$3,Calendrier!$C$25:$C$267,DT12))</f>
        <v>0</v>
      </c>
      <c r="JL12" s="57">
        <f>IF(DU12="","",COUNTIFS($D$25:$D$267,Parameters!$K$2,$E$25:$E$267,Parameters!$M$3,Calendrier!$C$25:$C$267,DU12)+ COUNTIFS($D$25:$D$267,Parameters!$K$4,$E$25:$E$267,Parameters!$M$3,Calendrier!$C$25:$C$267,DU12))</f>
        <v>0</v>
      </c>
      <c r="JO12" s="49">
        <f>IF(DX12="","",COUNTIFS($D$25:$D$267,Parameters!$K$2,$E$25:$E$267,Parameters!$M$3,Calendrier!$C$25:$C$267,DX12)+ COUNTIFS($D$25:$D$267,Parameters!$K$3,$E$25:$E$267,Parameters!$M$3,Calendrier!$C$25:$C$267,DX12))</f>
        <v>0</v>
      </c>
      <c r="JP12" s="50">
        <f>IF(DY12="","",COUNTIFS($D$25:$D$267,Parameters!$K$2,$E$25:$E$267,Parameters!$M$3,Calendrier!$C$25:$C$267,DY12)+ COUNTIFS($D$25:$D$267,Parameters!$K$4,$E$25:$E$267,Parameters!$M$3,Calendrier!$C$25:$C$267,DY12))</f>
        <v>0</v>
      </c>
      <c r="JQ12" s="50">
        <f>IF(DZ12="","",COUNTIFS($D$25:$D$267,Parameters!$K$2,$E$25:$E$267,Parameters!$M$3,Calendrier!$C$25:$C$267,DZ12)+ COUNTIFS($D$25:$D$267,Parameters!$K$3,$E$25:$E$267,Parameters!$M$3,Calendrier!$C$25:$C$267,DZ12))</f>
        <v>0</v>
      </c>
      <c r="JR12" s="50">
        <f>IF(EA12="","",COUNTIFS($D$25:$D$267,Parameters!$K$2,$E$25:$E$267,Parameters!$M$3,Calendrier!$C$25:$C$267,EA12)+ COUNTIFS($D$25:$D$267,Parameters!$K$4,$E$25:$E$267,Parameters!$M$3,Calendrier!$C$25:$C$267,EA12))</f>
        <v>0</v>
      </c>
      <c r="JS12" s="50">
        <f>IF(EB12="","",COUNTIFS($D$25:$D$267,Parameters!$K$2,$E$25:$E$267,Parameters!$M$3,Calendrier!$C$25:$C$267,EB12)+ COUNTIFS($D$25:$D$267,Parameters!$K$3,$E$25:$E$267,Parameters!$M$3,Calendrier!$C$25:$C$267,EB12))</f>
        <v>0</v>
      </c>
      <c r="JT12" s="50">
        <f>IF(EC12="","",COUNTIFS($D$25:$D$267,Parameters!$K$2,$E$25:$E$267,Parameters!$M$3,Calendrier!$C$25:$C$267,EC12)+ COUNTIFS($D$25:$D$267,Parameters!$K$4,$E$25:$E$267,Parameters!$M$3,Calendrier!$C$25:$C$267,EC12))</f>
        <v>0</v>
      </c>
      <c r="JU12" s="50">
        <f>IF(ED12="","",COUNTIFS($D$25:$D$267,Parameters!$K$2,$E$25:$E$267,Parameters!$M$3,Calendrier!$C$25:$C$267,ED12)+ COUNTIFS($D$25:$D$267,Parameters!$K$3,$E$25:$E$267,Parameters!$M$3,Calendrier!$C$25:$C$267,ED12))</f>
        <v>0</v>
      </c>
      <c r="JV12" s="50">
        <f>IF(EE12="","",COUNTIFS($D$25:$D$267,Parameters!$K$2,$E$25:$E$267,Parameters!$M$3,Calendrier!$C$25:$C$267,EE12)+ COUNTIFS($D$25:$D$267,Parameters!$K$4,$E$25:$E$267,Parameters!$M$3,Calendrier!$C$25:$C$267,EE12))</f>
        <v>0</v>
      </c>
      <c r="JW12" s="50">
        <f>IF(EF12="","",COUNTIFS($D$25:$D$267,Parameters!$K$2,$E$25:$E$267,Parameters!$M$3,Calendrier!$C$25:$C$267,EF12)+ COUNTIFS($D$25:$D$267,Parameters!$K$3,$E$25:$E$267,Parameters!$M$3,Calendrier!$C$25:$C$267,EF12))</f>
        <v>0</v>
      </c>
      <c r="JX12" s="50">
        <f>IF(EG12="","",COUNTIFS($D$25:$D$267,Parameters!$K$2,$E$25:$E$267,Parameters!$M$3,Calendrier!$C$25:$C$267,EG12)+ COUNTIFS($D$25:$D$267,Parameters!$K$4,$E$25:$E$267,Parameters!$M$3,Calendrier!$C$25:$C$267,EG12))</f>
        <v>0</v>
      </c>
      <c r="JY12" s="50">
        <f>IF(EH12="","",COUNTIFS($D$25:$D$267,Parameters!$K$2,$E$25:$E$267,Parameters!$M$3,Calendrier!$C$25:$C$267,EH12)+ COUNTIFS($D$25:$D$267,Parameters!$K$3,$E$25:$E$267,Parameters!$M$3,Calendrier!$C$25:$C$267,EH12))</f>
        <v>0</v>
      </c>
      <c r="JZ12" s="50">
        <f>IF(EI12="","",COUNTIFS($D$25:$D$267,Parameters!$K$2,$E$25:$E$267,Parameters!$M$3,Calendrier!$C$25:$C$267,EI12)+ COUNTIFS($D$25:$D$267,Parameters!$K$4,$E$25:$E$267,Parameters!$M$3,Calendrier!$C$25:$C$267,EI12))</f>
        <v>0</v>
      </c>
      <c r="KA12" s="50">
        <f>IF(EJ12="","",COUNTIFS($D$25:$D$267,Parameters!$K$2,$E$25:$E$267,Parameters!$M$3,Calendrier!$C$25:$C$267,EJ12)+ COUNTIFS($D$25:$D$267,Parameters!$K$3,$E$25:$E$267,Parameters!$M$3,Calendrier!$C$25:$C$267,EJ12))</f>
        <v>0</v>
      </c>
      <c r="KB12" s="57">
        <f>IF(EK12="","",COUNTIFS($D$25:$D$267,Parameters!$K$2,$E$25:$E$267,Parameters!$M$3,Calendrier!$C$25:$C$267,EK12)+ COUNTIFS($D$25:$D$267,Parameters!$K$4,$E$25:$E$267,Parameters!$M$3,Calendrier!$C$25:$C$267,EK12))</f>
        <v>0</v>
      </c>
      <c r="KE12" s="49">
        <f>IF(EN12="","",COUNTIFS($D$25:$D$267,Parameters!$K$2,$E$25:$E$267,Parameters!$M$3,Calendrier!$C$25:$C$267,EN12)+ COUNTIFS($D$25:$D$267,Parameters!$K$3,$E$25:$E$267,Parameters!$M$3,Calendrier!$C$25:$C$267,EN12))</f>
        <v>0</v>
      </c>
      <c r="KF12" s="50">
        <f>IF(EO12="","",COUNTIFS($D$25:$D$267,Parameters!$K$2,$E$25:$E$267,Parameters!$M$3,Calendrier!$C$25:$C$267,EO12)+ COUNTIFS($D$25:$D$267,Parameters!$K$4,$E$25:$E$267,Parameters!$M$3,Calendrier!$C$25:$C$267,EO12))</f>
        <v>0</v>
      </c>
      <c r="KG12" s="50">
        <f>IF(EP12="","",COUNTIFS($D$25:$D$267,Parameters!$K$2,$E$25:$E$267,Parameters!$M$3,Calendrier!$C$25:$C$267,EP12)+ COUNTIFS($D$25:$D$267,Parameters!$K$3,$E$25:$E$267,Parameters!$M$3,Calendrier!$C$25:$C$267,EP12))</f>
        <v>0</v>
      </c>
      <c r="KH12" s="50">
        <f>IF(EQ12="","",COUNTIFS($D$25:$D$267,Parameters!$K$2,$E$25:$E$267,Parameters!$M$3,Calendrier!$C$25:$C$267,EQ12)+ COUNTIFS($D$25:$D$267,Parameters!$K$4,$E$25:$E$267,Parameters!$M$3,Calendrier!$C$25:$C$267,EQ12))</f>
        <v>0</v>
      </c>
      <c r="KI12" s="50">
        <f>IF(ER12="","",COUNTIFS($D$25:$D$267,Parameters!$K$2,$E$25:$E$267,Parameters!$M$3,Calendrier!$C$25:$C$267,ER12)+ COUNTIFS($D$25:$D$267,Parameters!$K$3,$E$25:$E$267,Parameters!$M$3,Calendrier!$C$25:$C$267,ER12))</f>
        <v>0</v>
      </c>
      <c r="KJ12" s="50">
        <f>IF(ES12="","",COUNTIFS($D$25:$D$267,Parameters!$K$2,$E$25:$E$267,Parameters!$M$3,Calendrier!$C$25:$C$267,ES12)+ COUNTIFS($D$25:$D$267,Parameters!$K$4,$E$25:$E$267,Parameters!$M$3,Calendrier!$C$25:$C$267,ES12))</f>
        <v>0</v>
      </c>
      <c r="KK12" s="50">
        <f>IF(ET12="","",COUNTIFS($D$25:$D$267,Parameters!$K$2,$E$25:$E$267,Parameters!$M$3,Calendrier!$C$25:$C$267,ET12)+ COUNTIFS($D$25:$D$267,Parameters!$K$3,$E$25:$E$267,Parameters!$M$3,Calendrier!$C$25:$C$267,ET12))</f>
        <v>0</v>
      </c>
      <c r="KL12" s="50">
        <f>IF(EU12="","",COUNTIFS($D$25:$D$267,Parameters!$K$2,$E$25:$E$267,Parameters!$M$3,Calendrier!$C$25:$C$267,EU12)+ COUNTIFS($D$25:$D$267,Parameters!$K$4,$E$25:$E$267,Parameters!$M$3,Calendrier!$C$25:$C$267,EU12))</f>
        <v>0</v>
      </c>
      <c r="KM12" s="50">
        <f>IF(EV12="","",COUNTIFS($D$25:$D$267,Parameters!$K$2,$E$25:$E$267,Parameters!$M$3,Calendrier!$C$25:$C$267,EV12)+ COUNTIFS($D$25:$D$267,Parameters!$K$3,$E$25:$E$267,Parameters!$M$3,Calendrier!$C$25:$C$267,EV12))</f>
        <v>0</v>
      </c>
      <c r="KN12" s="50">
        <f>IF(EW12="","",COUNTIFS($D$25:$D$267,Parameters!$K$2,$E$25:$E$267,Parameters!$M$3,Calendrier!$C$25:$C$267,EW12)+ COUNTIFS($D$25:$D$267,Parameters!$K$4,$E$25:$E$267,Parameters!$M$3,Calendrier!$C$25:$C$267,EW12))</f>
        <v>0</v>
      </c>
      <c r="KO12" s="50">
        <f>IF(EX12="","",COUNTIFS($D$25:$D$267,Parameters!$K$2,$E$25:$E$267,Parameters!$M$3,Calendrier!$C$25:$C$267,EX12)+ COUNTIFS($D$25:$D$267,Parameters!$K$3,$E$25:$E$267,Parameters!$M$3,Calendrier!$C$25:$C$267,EX12))</f>
        <v>0</v>
      </c>
      <c r="KP12" s="50">
        <f>IF(EY12="","",COUNTIFS($D$25:$D$267,Parameters!$K$2,$E$25:$E$267,Parameters!$M$3,Calendrier!$C$25:$C$267,EY12)+ COUNTIFS($D$25:$D$267,Parameters!$K$4,$E$25:$E$267,Parameters!$M$3,Calendrier!$C$25:$C$267,EY12))</f>
        <v>0</v>
      </c>
      <c r="KQ12" s="50">
        <f>IF(EZ12="","",COUNTIFS($D$25:$D$267,Parameters!$K$2,$E$25:$E$267,Parameters!$M$3,Calendrier!$C$25:$C$267,EZ12)+ COUNTIFS($D$25:$D$267,Parameters!$K$3,$E$25:$E$267,Parameters!$M$3,Calendrier!$C$25:$C$267,EZ12))</f>
        <v>0</v>
      </c>
      <c r="KR12" s="57">
        <f>IF(FA12="","",COUNTIFS($D$25:$D$267,Parameters!$K$2,$E$25:$E$267,Parameters!$M$3,Calendrier!$C$25:$C$267,FA12)+ COUNTIFS($D$25:$D$267,Parameters!$K$4,$E$25:$E$267,Parameters!$M$3,Calendrier!$C$25:$C$267,FA12))</f>
        <v>0</v>
      </c>
      <c r="KV12" s="49">
        <f>IF(DH12="","",COUNTIFS($D$25:$D$267,Parameters!$K$2,$E$25:$E$267,Parameters!$M$4,Calendrier!$C$25:$C$267,DH12)+ COUNTIFS($D$25:$D$267,Parameters!$K$3,$E$25:$E$267,Parameters!$M$4,Calendrier!$C$25:$C$267,DH12))</f>
        <v>0</v>
      </c>
      <c r="KW12" s="50">
        <f>IF(DI12="","",COUNTIFS($D$25:$D$267,Parameters!$K$2,$E$25:$E$267,Parameters!$M$4,Calendrier!$C$25:$C$267,DI12)+ COUNTIFS($D$25:$D$267,Parameters!$K$4,$E$25:$E$267,Parameters!$M$4,Calendrier!$C$25:$C$267,DI12))</f>
        <v>0</v>
      </c>
      <c r="KX12" s="50">
        <f>IF(DJ12="","",COUNTIFS($D$25:$D$267,Parameters!$K$2,$E$25:$E$267,Parameters!$M$4,Calendrier!$C$25:$C$267,DJ12)+ COUNTIFS($D$25:$D$267,Parameters!$K$3,$E$25:$E$267,Parameters!$M$4,Calendrier!$C$25:$C$267,DJ12))</f>
        <v>0</v>
      </c>
      <c r="KY12" s="50">
        <f>IF(DK12="","",COUNTIFS($D$25:$D$267,Parameters!$K$2,$E$25:$E$267,Parameters!$M$4,Calendrier!$C$25:$C$267,DK12)+ COUNTIFS($D$25:$D$267,Parameters!$K$4,$E$25:$E$267,Parameters!$M$4,Calendrier!$C$25:$C$267,DK12))</f>
        <v>0</v>
      </c>
      <c r="KZ12" s="50">
        <f>IF(DL12="","",COUNTIFS($D$25:$D$267,Parameters!$K$2,$E$25:$E$267,Parameters!$M$4,Calendrier!$C$25:$C$267,DL12)+ COUNTIFS($D$25:$D$267,Parameters!$K$3,$E$25:$E$267,Parameters!$M$4,Calendrier!$C$25:$C$267,DL12))</f>
        <v>0</v>
      </c>
      <c r="LA12" s="50">
        <f>IF(DM12="","",COUNTIFS($D$25:$D$267,Parameters!$K$2,$E$25:$E$267,Parameters!$M$4,Calendrier!$C$25:$C$267,DM12)+ COUNTIFS($D$25:$D$267,Parameters!$K$4,$E$25:$E$267,Parameters!$M$4,Calendrier!$C$25:$C$267,DM12))</f>
        <v>0</v>
      </c>
      <c r="LB12" s="50">
        <f>IF(DN12="","",COUNTIFS($D$25:$D$267,Parameters!$K$2,$E$25:$E$267,Parameters!$M$4,Calendrier!$C$25:$C$267,DN12)+ COUNTIFS($D$25:$D$267,Parameters!$K$3,$E$25:$E$267,Parameters!$M$4,Calendrier!$C$25:$C$267,DN12))</f>
        <v>0</v>
      </c>
      <c r="LC12" s="50">
        <f>IF(DO12="","",COUNTIFS($D$25:$D$267,Parameters!$K$2,$E$25:$E$267,Parameters!$M$4,Calendrier!$C$25:$C$267,DO12)+ COUNTIFS($D$25:$D$267,Parameters!$K$4,$E$25:$E$267,Parameters!$M$4,Calendrier!$C$25:$C$267,DO12))</f>
        <v>0</v>
      </c>
      <c r="LD12" s="50">
        <f>IF(DP12="","",COUNTIFS($D$25:$D$267,Parameters!$K$2,$E$25:$E$267,Parameters!$M$4,Calendrier!$C$25:$C$267,DP12)+ COUNTIFS($D$25:$D$267,Parameters!$K$3,$E$25:$E$267,Parameters!$M$4,Calendrier!$C$25:$C$267,DP12))</f>
        <v>0</v>
      </c>
      <c r="LE12" s="50">
        <f>IF(DQ12="","",COUNTIFS($D$25:$D$267,Parameters!$K$2,$E$25:$E$267,Parameters!$M$4,Calendrier!$C$25:$C$267,DQ12)+ COUNTIFS($D$25:$D$267,Parameters!$K$4,$E$25:$E$267,Parameters!$M$4,Calendrier!$C$25:$C$267,DQ12))</f>
        <v>0</v>
      </c>
      <c r="LF12" s="50">
        <f>IF(DR12="","",COUNTIFS($D$25:$D$267,Parameters!$K$2,$E$25:$E$267,Parameters!$M$4,Calendrier!$C$25:$C$267,DR12)+ COUNTIFS($D$25:$D$267,Parameters!$K$3,$E$25:$E$267,Parameters!$M$4,Calendrier!$C$25:$C$267,DR12))</f>
        <v>0</v>
      </c>
      <c r="LG12" s="50">
        <f>IF(DS12="","",COUNTIFS($D$25:$D$267,Parameters!$K$2,$E$25:$E$267,Parameters!$M$4,Calendrier!$C$25:$C$267,DS12)+ COUNTIFS($D$25:$D$267,Parameters!$K$4,$E$25:$E$267,Parameters!$M$4,Calendrier!$C$25:$C$267,DS12))</f>
        <v>0</v>
      </c>
      <c r="LH12" s="50">
        <f>IF(DT12="","",COUNTIFS($D$25:$D$267,Parameters!$K$2,$E$25:$E$267,Parameters!$M$4,Calendrier!$C$25:$C$267,DT12)+ COUNTIFS($D$25:$D$267,Parameters!$K$3,$E$25:$E$267,Parameters!$M$4,Calendrier!$C$25:$C$267,DT12))</f>
        <v>0</v>
      </c>
      <c r="LI12" s="57">
        <f>IF(DU12="","",COUNTIFS($D$25:$D$267,Parameters!$K$2,$E$25:$E$267,Parameters!$M$4,Calendrier!$C$25:$C$267,DU12)+ COUNTIFS($D$25:$D$267,Parameters!$K$4,$E$25:$E$267,Parameters!$M$4,Calendrier!$C$25:$C$267,DU12))</f>
        <v>0</v>
      </c>
      <c r="LL12" s="49">
        <f>IF(DX12="","",COUNTIFS($D$25:$D$267,Parameters!$K$2,$E$25:$E$267,Parameters!$M$4,Calendrier!$C$25:$C$267,DX12)+ COUNTIFS($D$25:$D$267,Parameters!$K$3,$E$25:$E$267,Parameters!$M$4,Calendrier!$C$25:$C$267,DX12))</f>
        <v>0</v>
      </c>
      <c r="LM12" s="50">
        <f>IF(DY12="","",COUNTIFS($D$25:$D$267,Parameters!$K$2,$E$25:$E$267,Parameters!$M$4,Calendrier!$C$25:$C$267,DY12)+ COUNTIFS($D$25:$D$267,Parameters!$K$4,$E$25:$E$267,Parameters!$M$4,Calendrier!$C$25:$C$267,DY12))</f>
        <v>0</v>
      </c>
      <c r="LN12" s="50">
        <f>IF(DZ12="","",COUNTIFS($D$25:$D$267,Parameters!$K$2,$E$25:$E$267,Parameters!$M$4,Calendrier!$C$25:$C$267,DZ12)+ COUNTIFS($D$25:$D$267,Parameters!$K$3,$E$25:$E$267,Parameters!$M$4,Calendrier!$C$25:$C$267,DZ12))</f>
        <v>0</v>
      </c>
      <c r="LO12" s="50">
        <f>IF(EA12="","",COUNTIFS($D$25:$D$267,Parameters!$K$2,$E$25:$E$267,Parameters!$M$4,Calendrier!$C$25:$C$267,EA12)+ COUNTIFS($D$25:$D$267,Parameters!$K$4,$E$25:$E$267,Parameters!$M$4,Calendrier!$C$25:$C$267,EA12))</f>
        <v>0</v>
      </c>
      <c r="LP12" s="50">
        <f>IF(EB12="","",COUNTIFS($D$25:$D$267,Parameters!$K$2,$E$25:$E$267,Parameters!$M$4,Calendrier!$C$25:$C$267,EB12)+ COUNTIFS($D$25:$D$267,Parameters!$K$3,$E$25:$E$267,Parameters!$M$4,Calendrier!$C$25:$C$267,EB12))</f>
        <v>0</v>
      </c>
      <c r="LQ12" s="50">
        <f>IF(EC12="","",COUNTIFS($D$25:$D$267,Parameters!$K$2,$E$25:$E$267,Parameters!$M$4,Calendrier!$C$25:$C$267,EC12)+ COUNTIFS($D$25:$D$267,Parameters!$K$4,$E$25:$E$267,Parameters!$M$4,Calendrier!$C$25:$C$267,EC12))</f>
        <v>0</v>
      </c>
      <c r="LR12" s="50">
        <f>IF(ED12="","",COUNTIFS($D$25:$D$267,Parameters!$K$2,$E$25:$E$267,Parameters!$M$4,Calendrier!$C$25:$C$267,ED12)+ COUNTIFS($D$25:$D$267,Parameters!$K$3,$E$25:$E$267,Parameters!$M$4,Calendrier!$C$25:$C$267,ED12))</f>
        <v>0</v>
      </c>
      <c r="LS12" s="50">
        <f>IF(EE12="","",COUNTIFS($D$25:$D$267,Parameters!$K$2,$E$25:$E$267,Parameters!$M$4,Calendrier!$C$25:$C$267,EE12)+ COUNTIFS($D$25:$D$267,Parameters!$K$4,$E$25:$E$267,Parameters!$M$4,Calendrier!$C$25:$C$267,EE12))</f>
        <v>0</v>
      </c>
      <c r="LT12" s="50">
        <f>IF(EF12="","",COUNTIFS($D$25:$D$267,Parameters!$K$2,$E$25:$E$267,Parameters!$M$4,Calendrier!$C$25:$C$267,EF12)+ COUNTIFS($D$25:$D$267,Parameters!$K$3,$E$25:$E$267,Parameters!$M$4,Calendrier!$C$25:$C$267,EF12))</f>
        <v>0</v>
      </c>
      <c r="LU12" s="50">
        <f>IF(EG12="","",COUNTIFS($D$25:$D$267,Parameters!$K$2,$E$25:$E$267,Parameters!$M$4,Calendrier!$C$25:$C$267,EG12)+ COUNTIFS($D$25:$D$267,Parameters!$K$4,$E$25:$E$267,Parameters!$M$4,Calendrier!$C$25:$C$267,EG12))</f>
        <v>0</v>
      </c>
      <c r="LV12" s="50">
        <f>IF(EH12="","",COUNTIFS($D$25:$D$267,Parameters!$K$2,$E$25:$E$267,Parameters!$M$4,Calendrier!$C$25:$C$267,EH12)+ COUNTIFS($D$25:$D$267,Parameters!$K$3,$E$25:$E$267,Parameters!$M$4,Calendrier!$C$25:$C$267,EH12))</f>
        <v>0</v>
      </c>
      <c r="LW12" s="50">
        <f>IF(EI12="","",COUNTIFS($D$25:$D$267,Parameters!$K$2,$E$25:$E$267,Parameters!$M$4,Calendrier!$C$25:$C$267,EI12)+ COUNTIFS($D$25:$D$267,Parameters!$K$4,$E$25:$E$267,Parameters!$M$4,Calendrier!$C$25:$C$267,EI12))</f>
        <v>0</v>
      </c>
      <c r="LX12" s="50">
        <f>IF(EJ12="","",COUNTIFS($D$25:$D$267,Parameters!$K$2,$E$25:$E$267,Parameters!$M$4,Calendrier!$C$25:$C$267,EJ12)+ COUNTIFS($D$25:$D$267,Parameters!$K$3,$E$25:$E$267,Parameters!$M$4,Calendrier!$C$25:$C$267,EJ12))</f>
        <v>0</v>
      </c>
      <c r="LY12" s="57">
        <f>IF(EK12="","",COUNTIFS($D$25:$D$267,Parameters!$K$2,$E$25:$E$267,Parameters!$M$4,Calendrier!$C$25:$C$267,EK12)+ COUNTIFS($D$25:$D$267,Parameters!$K$4,$E$25:$E$267,Parameters!$M$4,Calendrier!$C$25:$C$267,EK12))</f>
        <v>0</v>
      </c>
      <c r="MB12" s="49">
        <f>IF(EN12="","",COUNTIFS($D$25:$D$267,Parameters!$K$2,$E$25:$E$267,Parameters!$M$4,Calendrier!$C$25:$C$267,EN12)+ COUNTIFS($D$25:$D$267,Parameters!$K$3,$E$25:$E$267,Parameters!$M$4,Calendrier!$C$25:$C$267,EN12))</f>
        <v>0</v>
      </c>
      <c r="MC12" s="50">
        <f>IF(EO12="","",COUNTIFS($D$25:$D$267,Parameters!$K$2,$E$25:$E$267,Parameters!$M$4,Calendrier!$C$25:$C$267,EO12)+ COUNTIFS($D$25:$D$267,Parameters!$K$4,$E$25:$E$267,Parameters!$M$4,Calendrier!$C$25:$C$267,EO12))</f>
        <v>0</v>
      </c>
      <c r="MD12" s="50">
        <f>IF(EP12="","",COUNTIFS($D$25:$D$267,Parameters!$K$2,$E$25:$E$267,Parameters!$M$4,Calendrier!$C$25:$C$267,EP12)+ COUNTIFS($D$25:$D$267,Parameters!$K$3,$E$25:$E$267,Parameters!$M$4,Calendrier!$C$25:$C$267,EP12))</f>
        <v>0</v>
      </c>
      <c r="ME12" s="50">
        <f>IF(EQ12="","",COUNTIFS($D$25:$D$267,Parameters!$K$2,$E$25:$E$267,Parameters!$M$4,Calendrier!$C$25:$C$267,EQ12)+ COUNTIFS($D$25:$D$267,Parameters!$K$4,$E$25:$E$267,Parameters!$M$4,Calendrier!$C$25:$C$267,EQ12))</f>
        <v>0</v>
      </c>
      <c r="MF12" s="50">
        <f>IF(ER12="","",COUNTIFS($D$25:$D$267,Parameters!$K$2,$E$25:$E$267,Parameters!$M$4,Calendrier!$C$25:$C$267,ER12)+ COUNTIFS($D$25:$D$267,Parameters!$K$3,$E$25:$E$267,Parameters!$M$4,Calendrier!$C$25:$C$267,ER12))</f>
        <v>0</v>
      </c>
      <c r="MG12" s="50">
        <f>IF(ES12="","",COUNTIFS($D$25:$D$267,Parameters!$K$2,$E$25:$E$267,Parameters!$M$4,Calendrier!$C$25:$C$267,ES12)+ COUNTIFS($D$25:$D$267,Parameters!$K$4,$E$25:$E$267,Parameters!$M$4,Calendrier!$C$25:$C$267,ES12))</f>
        <v>0</v>
      </c>
      <c r="MH12" s="50">
        <f>IF(ET12="","",COUNTIFS($D$25:$D$267,Parameters!$K$2,$E$25:$E$267,Parameters!$M$4,Calendrier!$C$25:$C$267,ET12)+ COUNTIFS($D$25:$D$267,Parameters!$K$3,$E$25:$E$267,Parameters!$M$4,Calendrier!$C$25:$C$267,ET12))</f>
        <v>0</v>
      </c>
      <c r="MI12" s="50">
        <f>IF(EU12="","",COUNTIFS($D$25:$D$267,Parameters!$K$2,$E$25:$E$267,Parameters!$M$4,Calendrier!$C$25:$C$267,EU12)+ COUNTIFS($D$25:$D$267,Parameters!$K$4,$E$25:$E$267,Parameters!$M$4,Calendrier!$C$25:$C$267,EU12))</f>
        <v>0</v>
      </c>
      <c r="MJ12" s="50">
        <f>IF(EV12="","",COUNTIFS($D$25:$D$267,Parameters!$K$2,$E$25:$E$267,Parameters!$M$4,Calendrier!$C$25:$C$267,EV12)+ COUNTIFS($D$25:$D$267,Parameters!$K$3,$E$25:$E$267,Parameters!$M$4,Calendrier!$C$25:$C$267,EV12))</f>
        <v>0</v>
      </c>
      <c r="MK12" s="50">
        <f>IF(EW12="","",COUNTIFS($D$25:$D$267,Parameters!$K$2,$E$25:$E$267,Parameters!$M$4,Calendrier!$C$25:$C$267,EW12)+ COUNTIFS($D$25:$D$267,Parameters!$K$4,$E$25:$E$267,Parameters!$M$4,Calendrier!$C$25:$C$267,EW12))</f>
        <v>0</v>
      </c>
      <c r="ML12" s="50">
        <f>IF(EX12="","",COUNTIFS($D$25:$D$267,Parameters!$K$2,$E$25:$E$267,Parameters!$M$4,Calendrier!$C$25:$C$267,EX12)+ COUNTIFS($D$25:$D$267,Parameters!$K$3,$E$25:$E$267,Parameters!$M$4,Calendrier!$C$25:$C$267,EX12))</f>
        <v>0</v>
      </c>
      <c r="MM12" s="50">
        <f>IF(EY12="","",COUNTIFS($D$25:$D$267,Parameters!$K$2,$E$25:$E$267,Parameters!$M$4,Calendrier!$C$25:$C$267,EY12)+ COUNTIFS($D$25:$D$267,Parameters!$K$4,$E$25:$E$267,Parameters!$M$4,Calendrier!$C$25:$C$267,EY12))</f>
        <v>0</v>
      </c>
      <c r="MN12" s="50">
        <f>IF(EZ12="","",COUNTIFS($D$25:$D$267,Parameters!$K$2,$E$25:$E$267,Parameters!$M$4,Calendrier!$C$25:$C$267,EZ12)+ COUNTIFS($D$25:$D$267,Parameters!$K$3,$E$25:$E$267,Parameters!$M$4,Calendrier!$C$25:$C$267,EZ12))</f>
        <v>0</v>
      </c>
      <c r="MO12" s="57">
        <f>IF(FA12="","",COUNTIFS($D$25:$D$267,Parameters!$K$2,$E$25:$E$267,Parameters!$M$4,Calendrier!$C$25:$C$267,FA12)+ COUNTIFS($D$25:$D$267,Parameters!$K$4,$E$25:$E$267,Parameters!$M$4,Calendrier!$C$25:$C$267,FA12))</f>
        <v>0</v>
      </c>
      <c r="MS12" s="49">
        <f>IF(DH12="","",COUNTIFS($D$25:$D$267,Parameters!$K$2,$E$25:$E$267,Parameters!$M$5,Calendrier!$C$25:$C$267,DH12)+ COUNTIFS($D$25:$D$267,Parameters!$K$3,$E$25:$E$267,Parameters!$M$5,Calendrier!$C$25:$C$267,DH12))</f>
        <v>0</v>
      </c>
      <c r="MT12" s="50">
        <f>IF(DI12="","",COUNTIFS($D$25:$D$267,Parameters!$K$2,$E$25:$E$267,Parameters!$M$5,Calendrier!$C$25:$C$267,DI12)+ COUNTIFS($D$25:$D$267,Parameters!$K$4,$E$25:$E$267,Parameters!$M$5,Calendrier!$C$25:$C$267,DI12))</f>
        <v>0</v>
      </c>
      <c r="MU12" s="50">
        <f>IF(DJ12="","",COUNTIFS($D$25:$D$267,Parameters!$K$2,$E$25:$E$267,Parameters!$M$5,Calendrier!$C$25:$C$267,DJ12)+ COUNTIFS($D$25:$D$267,Parameters!$K$3,$E$25:$E$267,Parameters!$M$5,Calendrier!$C$25:$C$267,DJ12))</f>
        <v>0</v>
      </c>
      <c r="MV12" s="50">
        <f>IF(DK12="","",COUNTIFS($D$25:$D$267,Parameters!$K$2,$E$25:$E$267,Parameters!$M$5,Calendrier!$C$25:$C$267,DK12)+ COUNTIFS($D$25:$D$267,Parameters!$K$4,$E$25:$E$267,Parameters!$M$5,Calendrier!$C$25:$C$267,DK12))</f>
        <v>0</v>
      </c>
      <c r="MW12" s="50">
        <f>IF(DL12="","",COUNTIFS($D$25:$D$267,Parameters!$K$2,$E$25:$E$267,Parameters!$M$5,Calendrier!$C$25:$C$267,DL12)+ COUNTIFS($D$25:$D$267,Parameters!$K$3,$E$25:$E$267,Parameters!$M$5,Calendrier!$C$25:$C$267,DL12))</f>
        <v>0</v>
      </c>
      <c r="MX12" s="50">
        <f>IF(DM12="","",COUNTIFS($D$25:$D$267,Parameters!$K$2,$E$25:$E$267,Parameters!$M$5,Calendrier!$C$25:$C$267,DM12)+ COUNTIFS($D$25:$D$267,Parameters!$K$4,$E$25:$E$267,Parameters!$M$5,Calendrier!$C$25:$C$267,DM12))</f>
        <v>0</v>
      </c>
      <c r="MY12" s="50">
        <f>IF(DN12="","",COUNTIFS($D$25:$D$267,Parameters!$K$2,$E$25:$E$267,Parameters!$M$5,Calendrier!$C$25:$C$267,DN12)+ COUNTIFS($D$25:$D$267,Parameters!$K$3,$E$25:$E$267,Parameters!$M$5,Calendrier!$C$25:$C$267,DN12))</f>
        <v>0</v>
      </c>
      <c r="MZ12" s="50">
        <f>IF(DO12="","",COUNTIFS($D$25:$D$267,Parameters!$K$2,$E$25:$E$267,Parameters!$M$5,Calendrier!$C$25:$C$267,DO12)+ COUNTIFS($D$25:$D$267,Parameters!$K$4,$E$25:$E$267,Parameters!$M$5,Calendrier!$C$25:$C$267,DO12))</f>
        <v>0</v>
      </c>
      <c r="NA12" s="50">
        <f>IF(DP12="","",COUNTIFS($D$25:$D$267,Parameters!$K$2,$E$25:$E$267,Parameters!$M$5,Calendrier!$C$25:$C$267,DP12)+ COUNTIFS($D$25:$D$267,Parameters!$K$3,$E$25:$E$267,Parameters!$M$5,Calendrier!$C$25:$C$267,DP12))</f>
        <v>0</v>
      </c>
      <c r="NB12" s="50">
        <f>IF(DQ12="","",COUNTIFS($D$25:$D$267,Parameters!$K$2,$E$25:$E$267,Parameters!$M$5,Calendrier!$C$25:$C$267,DQ12)+ COUNTIFS($D$25:$D$267,Parameters!$K$4,$E$25:$E$267,Parameters!$M$5,Calendrier!$C$25:$C$267,DQ12))</f>
        <v>0</v>
      </c>
      <c r="NC12" s="50">
        <f>IF(DR12="","",COUNTIFS($D$25:$D$267,Parameters!$K$2,$E$25:$E$267,Parameters!$M$5,Calendrier!$C$25:$C$267,DR12)+ COUNTIFS($D$25:$D$267,Parameters!$K$3,$E$25:$E$267,Parameters!$M$5,Calendrier!$C$25:$C$267,DR12))</f>
        <v>0</v>
      </c>
      <c r="ND12" s="50">
        <f>IF(DS12="","",COUNTIFS($D$25:$D$267,Parameters!$K$2,$E$25:$E$267,Parameters!$M$5,Calendrier!$C$25:$C$267,DS12)+ COUNTIFS($D$25:$D$267,Parameters!$K$4,$E$25:$E$267,Parameters!$M$5,Calendrier!$C$25:$C$267,DS12))</f>
        <v>0</v>
      </c>
      <c r="NE12" s="50">
        <f>IF(DT12="","",COUNTIFS($D$25:$D$267,Parameters!$K$2,$E$25:$E$267,Parameters!$M$5,Calendrier!$C$25:$C$267,DT12)+ COUNTIFS($D$25:$D$267,Parameters!$K$3,$E$25:$E$267,Parameters!$M$5,Calendrier!$C$25:$C$267,DT12))</f>
        <v>0</v>
      </c>
      <c r="NF12" s="57">
        <f>IF(DU12="","",COUNTIFS($D$25:$D$267,Parameters!$K$2,$E$25:$E$267,Parameters!$M$5,Calendrier!$C$25:$C$267,DU12)+ COUNTIFS($D$25:$D$267,Parameters!$K$4,$E$25:$E$267,Parameters!$M$5,Calendrier!$C$25:$C$267,DU12))</f>
        <v>0</v>
      </c>
      <c r="NI12" s="49">
        <f>IF(DX12="","",COUNTIFS($D$25:$D$267,Parameters!$K$2,$E$25:$E$267,Parameters!$M$5,Calendrier!$C$25:$C$267,DX12)+ COUNTIFS($D$25:$D$267,Parameters!$K$3,$E$25:$E$267,Parameters!$M$5,Calendrier!$C$25:$C$267,DX12))</f>
        <v>0</v>
      </c>
      <c r="NJ12" s="50">
        <f>IF(DY12="","",COUNTIFS($D$25:$D$267,Parameters!$K$2,$E$25:$E$267,Parameters!$M$5,Calendrier!$C$25:$C$267,DY12)+ COUNTIFS($D$25:$D$267,Parameters!$K$4,$E$25:$E$267,Parameters!$M$5,Calendrier!$C$25:$C$267,DY12))</f>
        <v>0</v>
      </c>
      <c r="NK12" s="50">
        <f>IF(DZ12="","",COUNTIFS($D$25:$D$267,Parameters!$K$2,$E$25:$E$267,Parameters!$M$5,Calendrier!$C$25:$C$267,DZ12)+ COUNTIFS($D$25:$D$267,Parameters!$K$3,$E$25:$E$267,Parameters!$M$5,Calendrier!$C$25:$C$267,DZ12))</f>
        <v>0</v>
      </c>
      <c r="NL12" s="50">
        <f>IF(EA12="","",COUNTIFS($D$25:$D$267,Parameters!$K$2,$E$25:$E$267,Parameters!$M$5,Calendrier!$C$25:$C$267,EA12)+ COUNTIFS($D$25:$D$267,Parameters!$K$4,$E$25:$E$267,Parameters!$M$5,Calendrier!$C$25:$C$267,EA12))</f>
        <v>0</v>
      </c>
      <c r="NM12" s="50">
        <f>IF(EB12="","",COUNTIFS($D$25:$D$267,Parameters!$K$2,$E$25:$E$267,Parameters!$M$5,Calendrier!$C$25:$C$267,EB12)+ COUNTIFS($D$25:$D$267,Parameters!$K$3,$E$25:$E$267,Parameters!$M$5,Calendrier!$C$25:$C$267,EB12))</f>
        <v>0</v>
      </c>
      <c r="NN12" s="50">
        <f>IF(EC12="","",COUNTIFS($D$25:$D$267,Parameters!$K$2,$E$25:$E$267,Parameters!$M$5,Calendrier!$C$25:$C$267,EC12)+ COUNTIFS($D$25:$D$267,Parameters!$K$4,$E$25:$E$267,Parameters!$M$5,Calendrier!$C$25:$C$267,EC12))</f>
        <v>0</v>
      </c>
      <c r="NO12" s="50">
        <f>IF(ED12="","",COUNTIFS($D$25:$D$267,Parameters!$K$2,$E$25:$E$267,Parameters!$M$5,Calendrier!$C$25:$C$267,ED12)+ COUNTIFS($D$25:$D$267,Parameters!$K$3,$E$25:$E$267,Parameters!$M$5,Calendrier!$C$25:$C$267,ED12))</f>
        <v>0</v>
      </c>
      <c r="NP12" s="50">
        <f>IF(EE12="","",COUNTIFS($D$25:$D$267,Parameters!$K$2,$E$25:$E$267,Parameters!$M$5,Calendrier!$C$25:$C$267,EE12)+ COUNTIFS($D$25:$D$267,Parameters!$K$4,$E$25:$E$267,Parameters!$M$5,Calendrier!$C$25:$C$267,EE12))</f>
        <v>0</v>
      </c>
      <c r="NQ12" s="50">
        <f>IF(EF12="","",COUNTIFS($D$25:$D$267,Parameters!$K$2,$E$25:$E$267,Parameters!$M$5,Calendrier!$C$25:$C$267,EF12)+ COUNTIFS($D$25:$D$267,Parameters!$K$3,$E$25:$E$267,Parameters!$M$5,Calendrier!$C$25:$C$267,EF12))</f>
        <v>0</v>
      </c>
      <c r="NR12" s="50">
        <f>IF(EG12="","",COUNTIFS($D$25:$D$267,Parameters!$K$2,$E$25:$E$267,Parameters!$M$5,Calendrier!$C$25:$C$267,EG12)+ COUNTIFS($D$25:$D$267,Parameters!$K$4,$E$25:$E$267,Parameters!$M$5,Calendrier!$C$25:$C$267,EG12))</f>
        <v>0</v>
      </c>
      <c r="NS12" s="50">
        <f>IF(EH12="","",COUNTIFS($D$25:$D$267,Parameters!$K$2,$E$25:$E$267,Parameters!$M$5,Calendrier!$C$25:$C$267,EH12)+ COUNTIFS($D$25:$D$267,Parameters!$K$3,$E$25:$E$267,Parameters!$M$5,Calendrier!$C$25:$C$267,EH12))</f>
        <v>0</v>
      </c>
      <c r="NT12" s="50">
        <f>IF(EI12="","",COUNTIFS($D$25:$D$267,Parameters!$K$2,$E$25:$E$267,Parameters!$M$5,Calendrier!$C$25:$C$267,EI12)+ COUNTIFS($D$25:$D$267,Parameters!$K$4,$E$25:$E$267,Parameters!$M$5,Calendrier!$C$25:$C$267,EI12))</f>
        <v>0</v>
      </c>
      <c r="NU12" s="50">
        <f>IF(EJ12="","",COUNTIFS($D$25:$D$267,Parameters!$K$2,$E$25:$E$267,Parameters!$M$5,Calendrier!$C$25:$C$267,EJ12)+ COUNTIFS($D$25:$D$267,Parameters!$K$3,$E$25:$E$267,Parameters!$M$5,Calendrier!$C$25:$C$267,EJ12))</f>
        <v>0</v>
      </c>
      <c r="NV12" s="57">
        <f>IF(EK12="","",COUNTIFS($D$25:$D$267,Parameters!$K$2,$E$25:$E$267,Parameters!$M$5,Calendrier!$C$25:$C$267,EK12)+ COUNTIFS($D$25:$D$267,Parameters!$K$4,$E$25:$E$267,Parameters!$M$5,Calendrier!$C$25:$C$267,EK12))</f>
        <v>0</v>
      </c>
      <c r="NY12" s="49">
        <f>IF(EN12="","",COUNTIFS($D$25:$D$267,Parameters!$K$2,$E$25:$E$267,Parameters!$M$5,Calendrier!$C$25:$C$267,EN12)+ COUNTIFS($D$25:$D$267,Parameters!$K$3,$E$25:$E$267,Parameters!$M$5,Calendrier!$C$25:$C$267,EN12))</f>
        <v>0</v>
      </c>
      <c r="NZ12" s="50">
        <f>IF(EO12="","",COUNTIFS($D$25:$D$267,Parameters!$K$2,$E$25:$E$267,Parameters!$M$5,Calendrier!$C$25:$C$267,EO12)+ COUNTIFS($D$25:$D$267,Parameters!$K$4,$E$25:$E$267,Parameters!$M$5,Calendrier!$C$25:$C$267,EO12))</f>
        <v>0</v>
      </c>
      <c r="OA12" s="50">
        <f>IF(EP12="","",COUNTIFS($D$25:$D$267,Parameters!$K$2,$E$25:$E$267,Parameters!$M$5,Calendrier!$C$25:$C$267,EP12)+ COUNTIFS($D$25:$D$267,Parameters!$K$3,$E$25:$E$267,Parameters!$M$5,Calendrier!$C$25:$C$267,EP12))</f>
        <v>0</v>
      </c>
      <c r="OB12" s="50">
        <f>IF(EQ12="","",COUNTIFS($D$25:$D$267,Parameters!$K$2,$E$25:$E$267,Parameters!$M$5,Calendrier!$C$25:$C$267,EQ12)+ COUNTIFS($D$25:$D$267,Parameters!$K$4,$E$25:$E$267,Parameters!$M$5,Calendrier!$C$25:$C$267,EQ12))</f>
        <v>0</v>
      </c>
      <c r="OC12" s="50">
        <f>IF(ER12="","",COUNTIFS($D$25:$D$267,Parameters!$K$2,$E$25:$E$267,Parameters!$M$5,Calendrier!$C$25:$C$267,ER12)+ COUNTIFS($D$25:$D$267,Parameters!$K$3,$E$25:$E$267,Parameters!$M$5,Calendrier!$C$25:$C$267,ER12))</f>
        <v>0</v>
      </c>
      <c r="OD12" s="50">
        <f>IF(ES12="","",COUNTIFS($D$25:$D$267,Parameters!$K$2,$E$25:$E$267,Parameters!$M$5,Calendrier!$C$25:$C$267,ES12)+ COUNTIFS($D$25:$D$267,Parameters!$K$4,$E$25:$E$267,Parameters!$M$5,Calendrier!$C$25:$C$267,ES12))</f>
        <v>0</v>
      </c>
      <c r="OE12" s="50">
        <f>IF(ET12="","",COUNTIFS($D$25:$D$267,Parameters!$K$2,$E$25:$E$267,Parameters!$M$5,Calendrier!$C$25:$C$267,ET12)+ COUNTIFS($D$25:$D$267,Parameters!$K$3,$E$25:$E$267,Parameters!$M$5,Calendrier!$C$25:$C$267,ET12))</f>
        <v>0</v>
      </c>
      <c r="OF12" s="50">
        <f>IF(EU12="","",COUNTIFS($D$25:$D$267,Parameters!$K$2,$E$25:$E$267,Parameters!$M$5,Calendrier!$C$25:$C$267,EU12)+ COUNTIFS($D$25:$D$267,Parameters!$K$4,$E$25:$E$267,Parameters!$M$5,Calendrier!$C$25:$C$267,EU12))</f>
        <v>0</v>
      </c>
      <c r="OG12" s="50">
        <f>IF(EV12="","",COUNTIFS($D$25:$D$267,Parameters!$K$2,$E$25:$E$267,Parameters!$M$5,Calendrier!$C$25:$C$267,EV12)+ COUNTIFS($D$25:$D$267,Parameters!$K$3,$E$25:$E$267,Parameters!$M$5,Calendrier!$C$25:$C$267,EV12))</f>
        <v>0</v>
      </c>
      <c r="OH12" s="50">
        <f>IF(EW12="","",COUNTIFS($D$25:$D$267,Parameters!$K$2,$E$25:$E$267,Parameters!$M$5,Calendrier!$C$25:$C$267,EW12)+ COUNTIFS($D$25:$D$267,Parameters!$K$4,$E$25:$E$267,Parameters!$M$5,Calendrier!$C$25:$C$267,EW12))</f>
        <v>0</v>
      </c>
      <c r="OI12" s="50">
        <f>IF(EX12="","",COUNTIFS($D$25:$D$267,Parameters!$K$2,$E$25:$E$267,Parameters!$M$5,Calendrier!$C$25:$C$267,EX12)+ COUNTIFS($D$25:$D$267,Parameters!$K$3,$E$25:$E$267,Parameters!$M$5,Calendrier!$C$25:$C$267,EX12))</f>
        <v>0</v>
      </c>
      <c r="OJ12" s="50">
        <f>IF(EY12="","",COUNTIFS($D$25:$D$267,Parameters!$K$2,$E$25:$E$267,Parameters!$M$5,Calendrier!$C$25:$C$267,EY12)+ COUNTIFS($D$25:$D$267,Parameters!$K$4,$E$25:$E$267,Parameters!$M$5,Calendrier!$C$25:$C$267,EY12))</f>
        <v>0</v>
      </c>
      <c r="OK12" s="50">
        <f>IF(EZ12="","",COUNTIFS($D$25:$D$267,Parameters!$K$2,$E$25:$E$267,Parameters!$M$5,Calendrier!$C$25:$C$267,EZ12)+ COUNTIFS($D$25:$D$267,Parameters!$K$3,$E$25:$E$267,Parameters!$M$5,Calendrier!$C$25:$C$267,EZ12))</f>
        <v>0</v>
      </c>
      <c r="OL12" s="57">
        <f>IF(FA12="","",COUNTIFS($D$25:$D$267,Parameters!$K$2,$E$25:$E$267,Parameters!$M$5,Calendrier!$C$25:$C$267,FA12)+ COUNTIFS($D$25:$D$267,Parameters!$K$4,$E$25:$E$267,Parameters!$M$5,Calendrier!$C$25:$C$267,FA12))</f>
        <v>0</v>
      </c>
      <c r="OP12" s="49">
        <f>IF(DH12="","",COUNTIFS(Parameters!$Y:$Y,$BF$4,Parameters!$X:$X,DH12))</f>
        <v>0</v>
      </c>
      <c r="OQ12" s="50">
        <f>IF(DI12="","",COUNTIFS(Parameters!$Y:$Y,$BF$4,Parameters!$X:$X,DI12))</f>
        <v>0</v>
      </c>
      <c r="OR12" s="50">
        <f>IF(DJ12="","",COUNTIFS(Parameters!$Y:$Y,$BF$4,Parameters!$X:$X,DJ12))</f>
        <v>0</v>
      </c>
      <c r="OS12" s="50">
        <f>IF(DK12="","",COUNTIFS(Parameters!$Y:$Y,$BF$4,Parameters!$X:$X,DK12))</f>
        <v>0</v>
      </c>
      <c r="OT12" s="50">
        <f>IF(DL12="","",COUNTIFS(Parameters!$Y:$Y,$BF$4,Parameters!$X:$X,DL12))</f>
        <v>0</v>
      </c>
      <c r="OU12" s="50">
        <f>IF(DM12="","",COUNTIFS(Parameters!$Y:$Y,$BF$4,Parameters!$X:$X,DM12))</f>
        <v>0</v>
      </c>
      <c r="OV12" s="50">
        <f>IF(DN12="","",COUNTIFS(Parameters!$Y:$Y,$BF$4,Parameters!$X:$X,DN12))</f>
        <v>0</v>
      </c>
      <c r="OW12" s="50">
        <f>IF(DO12="","",COUNTIFS(Parameters!$Y:$Y,$BF$4,Parameters!$X:$X,DO12))</f>
        <v>0</v>
      </c>
      <c r="OX12" s="50">
        <f>IF(DP12="","",COUNTIFS(Parameters!$Y:$Y,$BF$4,Parameters!$X:$X,DP12))</f>
        <v>0</v>
      </c>
      <c r="OY12" s="50">
        <f>IF(DQ12="","",COUNTIFS(Parameters!$Y:$Y,$BF$4,Parameters!$X:$X,DQ12))</f>
        <v>0</v>
      </c>
      <c r="OZ12" s="50">
        <f>IF(DR12="","",COUNTIFS(Parameters!$Y:$Y,$BF$4,Parameters!$X:$X,DR12))</f>
        <v>0</v>
      </c>
      <c r="PA12" s="50">
        <f>IF(DS12="","",COUNTIFS(Parameters!$Y:$Y,$BF$4,Parameters!$X:$X,DS12))</f>
        <v>0</v>
      </c>
      <c r="PB12" s="50">
        <f>IF(DT12="","",COUNTIFS(Parameters!$Y:$Y,$BF$4,Parameters!$X:$X,DT12))</f>
        <v>0</v>
      </c>
      <c r="PC12" s="57">
        <f>IF(DU12="","",COUNTIFS(Parameters!$Y:$Y,$BF$4,Parameters!$X:$X,DU12))</f>
        <v>0</v>
      </c>
      <c r="PF12" s="49">
        <f>IF(DX12="","",COUNTIFS(Parameters!$Y:$Y,$BF$4,Parameters!$X:$X,DX12))</f>
        <v>0</v>
      </c>
      <c r="PG12" s="50">
        <f>IF(DY12="","",COUNTIFS(Parameters!$Y:$Y,$BF$4,Parameters!$X:$X,DY12))</f>
        <v>0</v>
      </c>
      <c r="PH12" s="50">
        <f>IF(DZ12="","",COUNTIFS(Parameters!$Y:$Y,$BF$4,Parameters!$X:$X,DZ12))</f>
        <v>0</v>
      </c>
      <c r="PI12" s="50">
        <f>IF(EA12="","",COUNTIFS(Parameters!$Y:$Y,$BF$4,Parameters!$X:$X,EA12))</f>
        <v>0</v>
      </c>
      <c r="PJ12" s="50">
        <f>IF(EB12="","",COUNTIFS(Parameters!$Y:$Y,$BF$4,Parameters!$X:$X,EB12))</f>
        <v>0</v>
      </c>
      <c r="PK12" s="50">
        <f>IF(EC12="","",COUNTIFS(Parameters!$Y:$Y,$BF$4,Parameters!$X:$X,EC12))</f>
        <v>0</v>
      </c>
      <c r="PL12" s="50">
        <f>IF(ED12="","",COUNTIFS(Parameters!$Y:$Y,$BF$4,Parameters!$X:$X,ED12))</f>
        <v>0</v>
      </c>
      <c r="PM12" s="50">
        <f>IF(EE12="","",COUNTIFS(Parameters!$Y:$Y,$BF$4,Parameters!$X:$X,EE12))</f>
        <v>0</v>
      </c>
      <c r="PN12" s="50">
        <f>IF(EF12="","",COUNTIFS(Parameters!$Y:$Y,$BF$4,Parameters!$X:$X,EF12))</f>
        <v>0</v>
      </c>
      <c r="PO12" s="50">
        <f>IF(EG12="","",COUNTIFS(Parameters!$Y:$Y,$BF$4,Parameters!$X:$X,EG12))</f>
        <v>0</v>
      </c>
      <c r="PP12" s="50">
        <f>IF(EH12="","",COUNTIFS(Parameters!$Y:$Y,$BF$4,Parameters!$X:$X,EH12))</f>
        <v>0</v>
      </c>
      <c r="PQ12" s="50">
        <f>IF(EI12="","",COUNTIFS(Parameters!$Y:$Y,$BF$4,Parameters!$X:$X,EI12))</f>
        <v>0</v>
      </c>
      <c r="PR12" s="50">
        <f>IF(EJ12="","",COUNTIFS(Parameters!$Y:$Y,$BF$4,Parameters!$X:$X,EJ12))</f>
        <v>0</v>
      </c>
      <c r="PS12" s="57">
        <f>IF(EK12="","",COUNTIFS(Parameters!$Y:$Y,$BF$4,Parameters!$X:$X,EK12))</f>
        <v>0</v>
      </c>
      <c r="PV12" s="49">
        <f>IF(EN12="","",COUNTIFS(Parameters!$Y:$Y,$BF$4,Parameters!$X:$X,EN12))</f>
        <v>0</v>
      </c>
      <c r="PW12" s="50">
        <f>IF(EO12="","",COUNTIFS(Parameters!$Y:$Y,$BF$4,Parameters!$X:$X,EO12))</f>
        <v>0</v>
      </c>
      <c r="PX12" s="50">
        <f>IF(EP12="","",COUNTIFS(Parameters!$Y:$Y,$BF$4,Parameters!$X:$X,EP12))</f>
        <v>0</v>
      </c>
      <c r="PY12" s="50">
        <f>IF(EQ12="","",COUNTIFS(Parameters!$Y:$Y,$BF$4,Parameters!$X:$X,EQ12))</f>
        <v>0</v>
      </c>
      <c r="PZ12" s="50">
        <f>IF(ER12="","",COUNTIFS(Parameters!$Y:$Y,$BF$4,Parameters!$X:$X,ER12))</f>
        <v>0</v>
      </c>
      <c r="QA12" s="50">
        <f>IF(ES12="","",COUNTIFS(Parameters!$Y:$Y,$BF$4,Parameters!$X:$X,ES12))</f>
        <v>0</v>
      </c>
      <c r="QB12" s="50">
        <f>IF(ET12="","",COUNTIFS(Parameters!$Y:$Y,$BF$4,Parameters!$X:$X,ET12))</f>
        <v>0</v>
      </c>
      <c r="QC12" s="50">
        <f>IF(EU12="","",COUNTIFS(Parameters!$Y:$Y,$BF$4,Parameters!$X:$X,EU12))</f>
        <v>0</v>
      </c>
      <c r="QD12" s="50">
        <f>IF(EV12="","",COUNTIFS(Parameters!$Y:$Y,$BF$4,Parameters!$X:$X,EV12))</f>
        <v>0</v>
      </c>
      <c r="QE12" s="50">
        <f>IF(EW12="","",COUNTIFS(Parameters!$Y:$Y,$BF$4,Parameters!$X:$X,EW12))</f>
        <v>0</v>
      </c>
      <c r="QF12" s="50">
        <f>IF(EX12="","",COUNTIFS(Parameters!$Y:$Y,$BF$4,Parameters!$X:$X,EX12))</f>
        <v>0</v>
      </c>
      <c r="QG12" s="50">
        <f>IF(EY12="","",COUNTIFS(Parameters!$Y:$Y,$BF$4,Parameters!$X:$X,EY12))</f>
        <v>0</v>
      </c>
      <c r="QH12" s="50">
        <f>IF(EZ12="","",COUNTIFS(Parameters!$Y:$Y,$BF$4,Parameters!$X:$X,EZ12))</f>
        <v>0</v>
      </c>
      <c r="QI12" s="57">
        <f>IF(FA12="","",COUNTIFS(Parameters!$Y:$Y,$BF$4,Parameters!$X:$X,FA12))</f>
        <v>0</v>
      </c>
      <c r="QN12" s="49">
        <f>IF(DH12="","",COUNTIFS($D$25:$D$267,Parameters!$K$2,$E$25:$E$267,Parameters!$M$6,Calendrier!$C$25:$C$267,DH12)+ COUNTIFS($D$25:$D$267,Parameters!$K$3,$E$25:$E$267,Parameters!$M$6,Calendrier!$C$25:$C$267,DH12))</f>
        <v>0</v>
      </c>
      <c r="QO12" s="50">
        <f>IF(DI12="","",COUNTIFS($D$25:$D$267,Parameters!$K$2,$E$25:$E$267,Parameters!$M$6,Calendrier!$C$25:$C$267,DI12)+ COUNTIFS($D$25:$D$267,Parameters!$K$4,$E$25:$E$267,Parameters!$M$6,Calendrier!$C$25:$C$267,DI12))</f>
        <v>0</v>
      </c>
      <c r="QP12" s="50">
        <f>IF(DJ12="","",COUNTIFS($D$25:$D$267,Parameters!$K$2,$E$25:$E$267,Parameters!$M$6,Calendrier!$C$25:$C$267,DJ12)+ COUNTIFS($D$25:$D$267,Parameters!$K$3,$E$25:$E$267,Parameters!$M$6,Calendrier!$C$25:$C$267,DJ12))</f>
        <v>0</v>
      </c>
      <c r="QQ12" s="50">
        <f>IF(DK12="","",COUNTIFS($D$25:$D$267,Parameters!$K$2,$E$25:$E$267,Parameters!$M$6,Calendrier!$C$25:$C$267,DK12)+ COUNTIFS($D$25:$D$267,Parameters!$K$4,$E$25:$E$267,Parameters!$M$6,Calendrier!$C$25:$C$267,DK12))</f>
        <v>0</v>
      </c>
      <c r="QR12" s="50">
        <f>IF(DL12="","",COUNTIFS($D$25:$D$267,Parameters!$K$2,$E$25:$E$267,Parameters!$M$6,Calendrier!$C$25:$C$267,DL12)+ COUNTIFS($D$25:$D$267,Parameters!$K$3,$E$25:$E$267,Parameters!$M$6,Calendrier!$C$25:$C$267,DL12))</f>
        <v>0</v>
      </c>
      <c r="QS12" s="50">
        <f>IF(DM12="","",COUNTIFS($D$25:$D$267,Parameters!$K$2,$E$25:$E$267,Parameters!$M$6,Calendrier!$C$25:$C$267,DM12)+ COUNTIFS($D$25:$D$267,Parameters!$K$4,$E$25:$E$267,Parameters!$M$6,Calendrier!$C$25:$C$267,DM12))</f>
        <v>0</v>
      </c>
      <c r="QT12" s="50">
        <f>IF(DN12="","",COUNTIFS($D$25:$D$267,Parameters!$K$2,$E$25:$E$267,Parameters!$M$6,Calendrier!$C$25:$C$267,DN12)+ COUNTIFS($D$25:$D$267,Parameters!$K$3,$E$25:$E$267,Parameters!$M$6,Calendrier!$C$25:$C$267,DN12))</f>
        <v>0</v>
      </c>
      <c r="QU12" s="50">
        <f>IF(DO12="","",COUNTIFS($D$25:$D$267,Parameters!$K$2,$E$25:$E$267,Parameters!$M$6,Calendrier!$C$25:$C$267,DO12)+ COUNTIFS($D$25:$D$267,Parameters!$K$4,$E$25:$E$267,Parameters!$M$6,Calendrier!$C$25:$C$267,DO12))</f>
        <v>0</v>
      </c>
      <c r="QV12" s="50">
        <f>IF(DP12="","",COUNTIFS($D$25:$D$267,Parameters!$K$2,$E$25:$E$267,Parameters!$M$6,Calendrier!$C$25:$C$267,DP12)+ COUNTIFS($D$25:$D$267,Parameters!$K$3,$E$25:$E$267,Parameters!$M$6,Calendrier!$C$25:$C$267,DP12))</f>
        <v>0</v>
      </c>
      <c r="QW12" s="50">
        <f>IF(DQ12="","",COUNTIFS($D$25:$D$267,Parameters!$K$2,$E$25:$E$267,Parameters!$M$6,Calendrier!$C$25:$C$267,DQ12)+ COUNTIFS($D$25:$D$267,Parameters!$K$4,$E$25:$E$267,Parameters!$M$6,Calendrier!$C$25:$C$267,DQ12))</f>
        <v>0</v>
      </c>
      <c r="QX12" s="50">
        <f>IF(DR12="","",COUNTIFS($D$25:$D$267,Parameters!$K$2,$E$25:$E$267,Parameters!$M$6,Calendrier!$C$25:$C$267,DR12)+ COUNTIFS($D$25:$D$267,Parameters!$K$3,$E$25:$E$267,Parameters!$M$6,Calendrier!$C$25:$C$267,DR12))</f>
        <v>0</v>
      </c>
      <c r="QY12" s="50">
        <f>IF(DS12="","",COUNTIFS($D$25:$D$267,Parameters!$K$2,$E$25:$E$267,Parameters!$M$6,Calendrier!$C$25:$C$267,DS12)+ COUNTIFS($D$25:$D$267,Parameters!$K$4,$E$25:$E$267,Parameters!$M$6,Calendrier!$C$25:$C$267,DS12))</f>
        <v>0</v>
      </c>
      <c r="QZ12" s="50">
        <f>IF(DT12="","",COUNTIFS($D$25:$D$267,Parameters!$K$2,$E$25:$E$267,Parameters!$M$6,Calendrier!$C$25:$C$267,DT12)+ COUNTIFS($D$25:$D$267,Parameters!$K$3,$E$25:$E$267,Parameters!$M$6,Calendrier!$C$25:$C$267,DT12))</f>
        <v>0</v>
      </c>
      <c r="RA12" s="57">
        <f>IF(DU12="","",COUNTIFS($D$25:$D$267,Parameters!$K$2,$E$25:$E$267,Parameters!$M$6,Calendrier!$C$25:$C$267,DU12)+ COUNTIFS($D$25:$D$267,Parameters!$K$4,$E$25:$E$267,Parameters!$M$6,Calendrier!$C$25:$C$267,DU12))</f>
        <v>0</v>
      </c>
      <c r="RD12" s="49">
        <f>IF(DX12="","",COUNTIFS($D$25:$D$267,Parameters!$K$2,$E$25:$E$267,Parameters!$M$6,Calendrier!$C$25:$C$267,DX12)+ COUNTIFS($D$25:$D$267,Parameters!$K$3,$E$25:$E$267,Parameters!$M$6,Calendrier!$C$25:$C$267,DX12))</f>
        <v>0</v>
      </c>
      <c r="RE12" s="50">
        <f>IF(DY12="","",COUNTIFS($D$25:$D$267,Parameters!$K$2,$E$25:$E$267,Parameters!$M$6,Calendrier!$C$25:$C$267,DY12)+ COUNTIFS($D$25:$D$267,Parameters!$K$4,$E$25:$E$267,Parameters!$M$6,Calendrier!$C$25:$C$267,DY12))</f>
        <v>0</v>
      </c>
      <c r="RF12" s="50">
        <f>IF(DZ12="","",COUNTIFS($D$25:$D$267,Parameters!$K$2,$E$25:$E$267,Parameters!$M$6,Calendrier!$C$25:$C$267,DZ12)+ COUNTIFS($D$25:$D$267,Parameters!$K$3,$E$25:$E$267,Parameters!$M$6,Calendrier!$C$25:$C$267,DZ12))</f>
        <v>0</v>
      </c>
      <c r="RG12" s="50">
        <f>IF(EA12="","",COUNTIFS($D$25:$D$267,Parameters!$K$2,$E$25:$E$267,Parameters!$M$6,Calendrier!$C$25:$C$267,EA12)+ COUNTIFS($D$25:$D$267,Parameters!$K$4,$E$25:$E$267,Parameters!$M$6,Calendrier!$C$25:$C$267,EA12))</f>
        <v>0</v>
      </c>
      <c r="RH12" s="50">
        <f>IF(EB12="","",COUNTIFS($D$25:$D$267,Parameters!$K$2,$E$25:$E$267,Parameters!$M$6,Calendrier!$C$25:$C$267,EB12)+ COUNTIFS($D$25:$D$267,Parameters!$K$3,$E$25:$E$267,Parameters!$M$6,Calendrier!$C$25:$C$267,EB12))</f>
        <v>0</v>
      </c>
      <c r="RI12" s="50">
        <f>IF(EC12="","",COUNTIFS($D$25:$D$267,Parameters!$K$2,$E$25:$E$267,Parameters!$M$6,Calendrier!$C$25:$C$267,EC12)+ COUNTIFS($D$25:$D$267,Parameters!$K$4,$E$25:$E$267,Parameters!$M$6,Calendrier!$C$25:$C$267,EC12))</f>
        <v>0</v>
      </c>
      <c r="RJ12" s="50">
        <f>IF(ED12="","",COUNTIFS($D$25:$D$267,Parameters!$K$2,$E$25:$E$267,Parameters!$M$6,Calendrier!$C$25:$C$267,ED12)+ COUNTIFS($D$25:$D$267,Parameters!$K$3,$E$25:$E$267,Parameters!$M$6,Calendrier!$C$25:$C$267,ED12))</f>
        <v>0</v>
      </c>
      <c r="RK12" s="50">
        <f>IF(EE12="","",COUNTIFS($D$25:$D$267,Parameters!$K$2,$E$25:$E$267,Parameters!$M$6,Calendrier!$C$25:$C$267,EE12)+ COUNTIFS($D$25:$D$267,Parameters!$K$4,$E$25:$E$267,Parameters!$M$6,Calendrier!$C$25:$C$267,EE12))</f>
        <v>0</v>
      </c>
      <c r="RL12" s="50">
        <f>IF(EF12="","",COUNTIFS($D$25:$D$267,Parameters!$K$2,$E$25:$E$267,Parameters!$M$6,Calendrier!$C$25:$C$267,EF12)+ COUNTIFS($D$25:$D$267,Parameters!$K$3,$E$25:$E$267,Parameters!$M$6,Calendrier!$C$25:$C$267,EF12))</f>
        <v>0</v>
      </c>
      <c r="RM12" s="50">
        <f>IF(EG12="","",COUNTIFS($D$25:$D$267,Parameters!$K$2,$E$25:$E$267,Parameters!$M$6,Calendrier!$C$25:$C$267,EG12)+ COUNTIFS($D$25:$D$267,Parameters!$K$4,$E$25:$E$267,Parameters!$M$6,Calendrier!$C$25:$C$267,EG12))</f>
        <v>0</v>
      </c>
      <c r="RN12" s="50">
        <f>IF(EH12="","",COUNTIFS($D$25:$D$267,Parameters!$K$2,$E$25:$E$267,Parameters!$M$6,Calendrier!$C$25:$C$267,EH12)+ COUNTIFS($D$25:$D$267,Parameters!$K$3,$E$25:$E$267,Parameters!$M$6,Calendrier!$C$25:$C$267,EH12))</f>
        <v>0</v>
      </c>
      <c r="RO12" s="50">
        <f>IF(EI12="","",COUNTIFS($D$25:$D$267,Parameters!$K$2,$E$25:$E$267,Parameters!$M$6,Calendrier!$C$25:$C$267,EI12)+ COUNTIFS($D$25:$D$267,Parameters!$K$4,$E$25:$E$267,Parameters!$M$6,Calendrier!$C$25:$C$267,EI12))</f>
        <v>0</v>
      </c>
      <c r="RP12" s="50">
        <f>IF(EJ12="","",COUNTIFS($D$25:$D$267,Parameters!$K$2,$E$25:$E$267,Parameters!$M$6,Calendrier!$C$25:$C$267,EJ12)+ COUNTIFS($D$25:$D$267,Parameters!$K$3,$E$25:$E$267,Parameters!$M$6,Calendrier!$C$25:$C$267,EJ12))</f>
        <v>0</v>
      </c>
      <c r="RQ12" s="57">
        <f>IF(EK12="","",COUNTIFS($D$25:$D$267,Parameters!$K$2,$E$25:$E$267,Parameters!$M$6,Calendrier!$C$25:$C$267,EK12)+ COUNTIFS($D$25:$D$267,Parameters!$K$4,$E$25:$E$267,Parameters!$M$6,Calendrier!$C$25:$C$267,EK12))</f>
        <v>0</v>
      </c>
      <c r="RT12" s="49">
        <f>IF(EN12="","",COUNTIFS($D$25:$D$267,Parameters!$K$2,$E$25:$E$267,Parameters!$M$6,Calendrier!$C$25:$C$267,EN12)+ COUNTIFS($D$25:$D$267,Parameters!$K$3,$E$25:$E$267,Parameters!$M$6,Calendrier!$C$25:$C$267,EN12))</f>
        <v>0</v>
      </c>
      <c r="RU12" s="50">
        <f>IF(EO12="","",COUNTIFS($D$25:$D$267,Parameters!$K$2,$E$25:$E$267,Parameters!$M$6,Calendrier!$C$25:$C$267,EO12)+ COUNTIFS($D$25:$D$267,Parameters!$K$4,$E$25:$E$267,Parameters!$M$6,Calendrier!$C$25:$C$267,EO12))</f>
        <v>0</v>
      </c>
      <c r="RV12" s="50">
        <f>IF(EP12="","",COUNTIFS($D$25:$D$267,Parameters!$K$2,$E$25:$E$267,Parameters!$M$6,Calendrier!$C$25:$C$267,EP12)+ COUNTIFS($D$25:$D$267,Parameters!$K$3,$E$25:$E$267,Parameters!$M$6,Calendrier!$C$25:$C$267,EP12))</f>
        <v>0</v>
      </c>
      <c r="RW12" s="50">
        <f>IF(EQ12="","",COUNTIFS($D$25:$D$267,Parameters!$K$2,$E$25:$E$267,Parameters!$M$6,Calendrier!$C$25:$C$267,EQ12)+ COUNTIFS($D$25:$D$267,Parameters!$K$4,$E$25:$E$267,Parameters!$M$6,Calendrier!$C$25:$C$267,EQ12))</f>
        <v>0</v>
      </c>
      <c r="RX12" s="50">
        <f>IF(ER12="","",COUNTIFS($D$25:$D$267,Parameters!$K$2,$E$25:$E$267,Parameters!$M$6,Calendrier!$C$25:$C$267,ER12)+ COUNTIFS($D$25:$D$267,Parameters!$K$3,$E$25:$E$267,Parameters!$M$6,Calendrier!$C$25:$C$267,ER12))</f>
        <v>0</v>
      </c>
      <c r="RY12" s="50">
        <f>IF(ES12="","",COUNTIFS($D$25:$D$267,Parameters!$K$2,$E$25:$E$267,Parameters!$M$6,Calendrier!$C$25:$C$267,ES12)+ COUNTIFS($D$25:$D$267,Parameters!$K$4,$E$25:$E$267,Parameters!$M$6,Calendrier!$C$25:$C$267,ES12))</f>
        <v>0</v>
      </c>
      <c r="RZ12" s="50">
        <f>IF(ET12="","",COUNTIFS($D$25:$D$267,Parameters!$K$2,$E$25:$E$267,Parameters!$M$6,Calendrier!$C$25:$C$267,ET12)+ COUNTIFS($D$25:$D$267,Parameters!$K$3,$E$25:$E$267,Parameters!$M$6,Calendrier!$C$25:$C$267,ET12))</f>
        <v>0</v>
      </c>
      <c r="SA12" s="50">
        <f>IF(EU12="","",COUNTIFS($D$25:$D$267,Parameters!$K$2,$E$25:$E$267,Parameters!$M$6,Calendrier!$C$25:$C$267,EU12)+ COUNTIFS($D$25:$D$267,Parameters!$K$4,$E$25:$E$267,Parameters!$M$6,Calendrier!$C$25:$C$267,EU12))</f>
        <v>0</v>
      </c>
      <c r="SB12" s="50">
        <f>IF(EV12="","",COUNTIFS($D$25:$D$267,Parameters!$K$2,$E$25:$E$267,Parameters!$M$6,Calendrier!$C$25:$C$267,EV12)+ COUNTIFS($D$25:$D$267,Parameters!$K$3,$E$25:$E$267,Parameters!$M$6,Calendrier!$C$25:$C$267,EV12))</f>
        <v>0</v>
      </c>
      <c r="SC12" s="50">
        <f>IF(EW12="","",COUNTIFS($D$25:$D$267,Parameters!$K$2,$E$25:$E$267,Parameters!$M$6,Calendrier!$C$25:$C$267,EW12)+ COUNTIFS($D$25:$D$267,Parameters!$K$4,$E$25:$E$267,Parameters!$M$6,Calendrier!$C$25:$C$267,EW12))</f>
        <v>0</v>
      </c>
      <c r="SD12" s="50">
        <f>IF(EX12="","",COUNTIFS($D$25:$D$267,Parameters!$K$2,$E$25:$E$267,Parameters!$M$6,Calendrier!$C$25:$C$267,EX12)+ COUNTIFS($D$25:$D$267,Parameters!$K$3,$E$25:$E$267,Parameters!$M$6,Calendrier!$C$25:$C$267,EX12))</f>
        <v>0</v>
      </c>
      <c r="SE12" s="50">
        <f>IF(EY12="","",COUNTIFS($D$25:$D$267,Parameters!$K$2,$E$25:$E$267,Parameters!$M$6,Calendrier!$C$25:$C$267,EY12)+ COUNTIFS($D$25:$D$267,Parameters!$K$4,$E$25:$E$267,Parameters!$M$6,Calendrier!$C$25:$C$267,EY12))</f>
        <v>0</v>
      </c>
      <c r="SF12" s="50">
        <f>IF(EZ12="","",COUNTIFS($D$25:$D$267,Parameters!$K$2,$E$25:$E$267,Parameters!$M$6,Calendrier!$C$25:$C$267,EZ12)+ COUNTIFS($D$25:$D$267,Parameters!$K$3,$E$25:$E$267,Parameters!$M$6,Calendrier!$C$25:$C$267,EZ12))</f>
        <v>0</v>
      </c>
      <c r="SG12" s="57">
        <f>IF(FA12="","",COUNTIFS($D$25:$D$267,Parameters!$K$2,$E$25:$E$267,Parameters!$M$6,Calendrier!$C$25:$C$267,FA12)+ COUNTIFS($D$25:$D$267,Parameters!$K$4,$E$25:$E$267,Parameters!$M$6,Calendrier!$C$25:$C$267,FA12))</f>
        <v>0</v>
      </c>
      <c r="SL12" s="49">
        <f>IF(DH12="","",COUNTIFS($D$25:$D$267,Parameters!$K$2,$E$25:$E$267,Parameters!$M$7,Calendrier!$C$25:$C$267,DH12)+ COUNTIFS($D$25:$D$267,Parameters!$K$3,$E$25:$E$267,Parameters!$M$7,Calendrier!$C$25:$C$267,DH12))</f>
        <v>0</v>
      </c>
      <c r="SM12" s="50">
        <f>IF(DI12="","",COUNTIFS($D$25:$D$267,Parameters!$K$2,$E$25:$E$267,Parameters!$M$7,Calendrier!$C$25:$C$267,DI12)+ COUNTIFS($D$25:$D$267,Parameters!$K$4,$E$25:$E$267,Parameters!$M$7,Calendrier!$C$25:$C$267,DI12))</f>
        <v>0</v>
      </c>
      <c r="SN12" s="50">
        <f>IF(DJ12="","",COUNTIFS($D$25:$D$267,Parameters!$K$2,$E$25:$E$267,Parameters!$M$7,Calendrier!$C$25:$C$267,DJ12)+ COUNTIFS($D$25:$D$267,Parameters!$K$3,$E$25:$E$267,Parameters!$M$7,Calendrier!$C$25:$C$267,DJ12))</f>
        <v>0</v>
      </c>
      <c r="SO12" s="50">
        <f>IF(DK12="","",COUNTIFS($D$25:$D$267,Parameters!$K$2,$E$25:$E$267,Parameters!$M$7,Calendrier!$C$25:$C$267,DK12)+ COUNTIFS($D$25:$D$267,Parameters!$K$4,$E$25:$E$267,Parameters!$M$7,Calendrier!$C$25:$C$267,DK12))</f>
        <v>0</v>
      </c>
      <c r="SP12" s="50">
        <f>IF(DL12="","",COUNTIFS($D$25:$D$267,Parameters!$K$2,$E$25:$E$267,Parameters!$M$7,Calendrier!$C$25:$C$267,DL12)+ COUNTIFS($D$25:$D$267,Parameters!$K$3,$E$25:$E$267,Parameters!$M$7,Calendrier!$C$25:$C$267,DL12))</f>
        <v>0</v>
      </c>
      <c r="SQ12" s="50">
        <f>IF(DM12="","",COUNTIFS($D$25:$D$267,Parameters!$K$2,$E$25:$E$267,Parameters!$M$7,Calendrier!$C$25:$C$267,DM12)+ COUNTIFS($D$25:$D$267,Parameters!$K$4,$E$25:$E$267,Parameters!$M$7,Calendrier!$C$25:$C$267,DM12))</f>
        <v>0</v>
      </c>
      <c r="SR12" s="50">
        <f>IF(DN12="","",COUNTIFS($D$25:$D$267,Parameters!$K$2,$E$25:$E$267,Parameters!$M$7,Calendrier!$C$25:$C$267,DN12)+ COUNTIFS($D$25:$D$267,Parameters!$K$3,$E$25:$E$267,Parameters!$M$7,Calendrier!$C$25:$C$267,DN12))</f>
        <v>0</v>
      </c>
      <c r="SS12" s="50">
        <f>IF(DO12="","",COUNTIFS($D$25:$D$267,Parameters!$K$2,$E$25:$E$267,Parameters!$M$7,Calendrier!$C$25:$C$267,DO12)+ COUNTIFS($D$25:$D$267,Parameters!$K$4,$E$25:$E$267,Parameters!$M$7,Calendrier!$C$25:$C$267,DO12))</f>
        <v>0</v>
      </c>
      <c r="ST12" s="50">
        <f>IF(DP12="","",COUNTIFS($D$25:$D$267,Parameters!$K$2,$E$25:$E$267,Parameters!$M$7,Calendrier!$C$25:$C$267,DP12)+ COUNTIFS($D$25:$D$267,Parameters!$K$3,$E$25:$E$267,Parameters!$M$7,Calendrier!$C$25:$C$267,DP12))</f>
        <v>0</v>
      </c>
      <c r="SU12" s="50">
        <f>IF(DQ12="","",COUNTIFS($D$25:$D$267,Parameters!$K$2,$E$25:$E$267,Parameters!$M$7,Calendrier!$C$25:$C$267,DQ12)+ COUNTIFS($D$25:$D$267,Parameters!$K$4,$E$25:$E$267,Parameters!$M$7,Calendrier!$C$25:$C$267,DQ12))</f>
        <v>0</v>
      </c>
      <c r="SV12" s="50">
        <f>IF(DR12="","",COUNTIFS($D$25:$D$267,Parameters!$K$2,$E$25:$E$267,Parameters!$M$7,Calendrier!$C$25:$C$267,DR12)+ COUNTIFS($D$25:$D$267,Parameters!$K$3,$E$25:$E$267,Parameters!$M$7,Calendrier!$C$25:$C$267,DR12))</f>
        <v>0</v>
      </c>
      <c r="SW12" s="50">
        <f>IF(DS12="","",COUNTIFS($D$25:$D$267,Parameters!$K$2,$E$25:$E$267,Parameters!$M$7,Calendrier!$C$25:$C$267,DS12)+ COUNTIFS($D$25:$D$267,Parameters!$K$4,$E$25:$E$267,Parameters!$M$7,Calendrier!$C$25:$C$267,DS12))</f>
        <v>0</v>
      </c>
      <c r="SX12" s="50">
        <f>IF(DT12="","",COUNTIFS($D$25:$D$267,Parameters!$K$2,$E$25:$E$267,Parameters!$M$7,Calendrier!$C$25:$C$267,DT12)+ COUNTIFS($D$25:$D$267,Parameters!$K$3,$E$25:$E$267,Parameters!$M$7,Calendrier!$C$25:$C$267,DT12))</f>
        <v>0</v>
      </c>
      <c r="SY12" s="57">
        <f>IF(DU12="","",COUNTIFS($D$25:$D$267,Parameters!$K$2,$E$25:$E$267,Parameters!$M$7,Calendrier!$C$25:$C$267,DU12)+ COUNTIFS($D$25:$D$267,Parameters!$K$4,$E$25:$E$267,Parameters!$M$7,Calendrier!$C$25:$C$267,DU12))</f>
        <v>0</v>
      </c>
      <c r="TB12" s="49">
        <f>IF(DX12="","",COUNTIFS($D$25:$D$267,Parameters!$K$2,$E$25:$E$267,Parameters!$M$7,Calendrier!$C$25:$C$267,DX12)+ COUNTIFS($D$25:$D$267,Parameters!$K$3,$E$25:$E$267,Parameters!$M$7,Calendrier!$C$25:$C$267,DX12))</f>
        <v>0</v>
      </c>
      <c r="TC12" s="50">
        <f>IF(DY12="","",COUNTIFS($D$25:$D$267,Parameters!$K$2,$E$25:$E$267,Parameters!$M$7,Calendrier!$C$25:$C$267,DY12)+ COUNTIFS($D$25:$D$267,Parameters!$K$4,$E$25:$E$267,Parameters!$M$7,Calendrier!$C$25:$C$267,DY12))</f>
        <v>0</v>
      </c>
      <c r="TD12" s="50">
        <f>IF(DZ12="","",COUNTIFS($D$25:$D$267,Parameters!$K$2,$E$25:$E$267,Parameters!$M$7,Calendrier!$C$25:$C$267,DZ12)+ COUNTIFS($D$25:$D$267,Parameters!$K$3,$E$25:$E$267,Parameters!$M$7,Calendrier!$C$25:$C$267,DZ12))</f>
        <v>0</v>
      </c>
      <c r="TE12" s="50">
        <f>IF(EA12="","",COUNTIFS($D$25:$D$267,Parameters!$K$2,$E$25:$E$267,Parameters!$M$7,Calendrier!$C$25:$C$267,EA12)+ COUNTIFS($D$25:$D$267,Parameters!$K$4,$E$25:$E$267,Parameters!$M$7,Calendrier!$C$25:$C$267,EA12))</f>
        <v>0</v>
      </c>
      <c r="TF12" s="50">
        <f>IF(EB12="","",COUNTIFS($D$25:$D$267,Parameters!$K$2,$E$25:$E$267,Parameters!$M$7,Calendrier!$C$25:$C$267,EB12)+ COUNTIFS($D$25:$D$267,Parameters!$K$3,$E$25:$E$267,Parameters!$M$7,Calendrier!$C$25:$C$267,EB12))</f>
        <v>0</v>
      </c>
      <c r="TG12" s="50">
        <f>IF(EC12="","",COUNTIFS($D$25:$D$267,Parameters!$K$2,$E$25:$E$267,Parameters!$M$7,Calendrier!$C$25:$C$267,EC12)+ COUNTIFS($D$25:$D$267,Parameters!$K$4,$E$25:$E$267,Parameters!$M$7,Calendrier!$C$25:$C$267,EC12))</f>
        <v>0</v>
      </c>
      <c r="TH12" s="50">
        <f>IF(ED12="","",COUNTIFS($D$25:$D$267,Parameters!$K$2,$E$25:$E$267,Parameters!$M$7,Calendrier!$C$25:$C$267,ED12)+ COUNTIFS($D$25:$D$267,Parameters!$K$3,$E$25:$E$267,Parameters!$M$7,Calendrier!$C$25:$C$267,ED12))</f>
        <v>0</v>
      </c>
      <c r="TI12" s="50">
        <f>IF(EE12="","",COUNTIFS($D$25:$D$267,Parameters!$K$2,$E$25:$E$267,Parameters!$M$7,Calendrier!$C$25:$C$267,EE12)+ COUNTIFS($D$25:$D$267,Parameters!$K$4,$E$25:$E$267,Parameters!$M$7,Calendrier!$C$25:$C$267,EE12))</f>
        <v>0</v>
      </c>
      <c r="TJ12" s="50">
        <f>IF(EF12="","",COUNTIFS($D$25:$D$267,Parameters!$K$2,$E$25:$E$267,Parameters!$M$7,Calendrier!$C$25:$C$267,EF12)+ COUNTIFS($D$25:$D$267,Parameters!$K$3,$E$25:$E$267,Parameters!$M$7,Calendrier!$C$25:$C$267,EF12))</f>
        <v>0</v>
      </c>
      <c r="TK12" s="50">
        <f>IF(EG12="","",COUNTIFS($D$25:$D$267,Parameters!$K$2,$E$25:$E$267,Parameters!$M$7,Calendrier!$C$25:$C$267,EG12)+ COUNTIFS($D$25:$D$267,Parameters!$K$4,$E$25:$E$267,Parameters!$M$7,Calendrier!$C$25:$C$267,EG12))</f>
        <v>0</v>
      </c>
      <c r="TL12" s="50">
        <f>IF(EH12="","",COUNTIFS($D$25:$D$267,Parameters!$K$2,$E$25:$E$267,Parameters!$M$7,Calendrier!$C$25:$C$267,EH12)+ COUNTIFS($D$25:$D$267,Parameters!$K$3,$E$25:$E$267,Parameters!$M$7,Calendrier!$C$25:$C$267,EH12))</f>
        <v>0</v>
      </c>
      <c r="TM12" s="50">
        <f>IF(EI12="","",COUNTIFS($D$25:$D$267,Parameters!$K$2,$E$25:$E$267,Parameters!$M$7,Calendrier!$C$25:$C$267,EI12)+ COUNTIFS($D$25:$D$267,Parameters!$K$4,$E$25:$E$267,Parameters!$M$7,Calendrier!$C$25:$C$267,EI12))</f>
        <v>0</v>
      </c>
      <c r="TN12" s="50">
        <f>IF(EJ12="","",COUNTIFS($D$25:$D$267,Parameters!$K$2,$E$25:$E$267,Parameters!$M$7,Calendrier!$C$25:$C$267,EJ12)+ COUNTIFS($D$25:$D$267,Parameters!$K$3,$E$25:$E$267,Parameters!$M$7,Calendrier!$C$25:$C$267,EJ12))</f>
        <v>0</v>
      </c>
      <c r="TO12" s="57">
        <f>IF(EK12="","",COUNTIFS($D$25:$D$267,Parameters!$K$2,$E$25:$E$267,Parameters!$M$7,Calendrier!$C$25:$C$267,EK12)+ COUNTIFS($D$25:$D$267,Parameters!$K$4,$E$25:$E$267,Parameters!$M$7,Calendrier!$C$25:$C$267,EK12))</f>
        <v>0</v>
      </c>
      <c r="TR12" s="49">
        <f>IF(EN12="","",COUNTIFS($D$25:$D$267,Parameters!$K$2,$E$25:$E$267,Parameters!$M$7,Calendrier!$C$25:$C$267,EN12)+ COUNTIFS($D$25:$D$267,Parameters!$K$3,$E$25:$E$267,Parameters!$M$7,Calendrier!$C$25:$C$267,EN12))</f>
        <v>0</v>
      </c>
      <c r="TS12" s="50">
        <f>IF(EO12="","",COUNTIFS($D$25:$D$267,Parameters!$K$2,$E$25:$E$267,Parameters!$M$7,Calendrier!$C$25:$C$267,EO12)+ COUNTIFS($D$25:$D$267,Parameters!$K$4,$E$25:$E$267,Parameters!$M$7,Calendrier!$C$25:$C$267,EO12))</f>
        <v>0</v>
      </c>
      <c r="TT12" s="50">
        <f>IF(EP12="","",COUNTIFS($D$25:$D$267,Parameters!$K$2,$E$25:$E$267,Parameters!$M$7,Calendrier!$C$25:$C$267,EP12)+ COUNTIFS($D$25:$D$267,Parameters!$K$3,$E$25:$E$267,Parameters!$M$7,Calendrier!$C$25:$C$267,EP12))</f>
        <v>0</v>
      </c>
      <c r="TU12" s="50">
        <f>IF(EQ12="","",COUNTIFS($D$25:$D$267,Parameters!$K$2,$E$25:$E$267,Parameters!$M$7,Calendrier!$C$25:$C$267,EQ12)+ COUNTIFS($D$25:$D$267,Parameters!$K$4,$E$25:$E$267,Parameters!$M$7,Calendrier!$C$25:$C$267,EQ12))</f>
        <v>0</v>
      </c>
      <c r="TV12" s="50">
        <f>IF(ER12="","",COUNTIFS($D$25:$D$267,Parameters!$K$2,$E$25:$E$267,Parameters!$M$7,Calendrier!$C$25:$C$267,ER12)+ COUNTIFS($D$25:$D$267,Parameters!$K$3,$E$25:$E$267,Parameters!$M$7,Calendrier!$C$25:$C$267,ER12))</f>
        <v>0</v>
      </c>
      <c r="TW12" s="50">
        <f>IF(ES12="","",COUNTIFS($D$25:$D$267,Parameters!$K$2,$E$25:$E$267,Parameters!$M$7,Calendrier!$C$25:$C$267,ES12)+ COUNTIFS($D$25:$D$267,Parameters!$K$4,$E$25:$E$267,Parameters!$M$7,Calendrier!$C$25:$C$267,ES12))</f>
        <v>0</v>
      </c>
      <c r="TX12" s="50">
        <f>IF(ET12="","",COUNTIFS($D$25:$D$267,Parameters!$K$2,$E$25:$E$267,Parameters!$M$7,Calendrier!$C$25:$C$267,ET12)+ COUNTIFS($D$25:$D$267,Parameters!$K$3,$E$25:$E$267,Parameters!$M$7,Calendrier!$C$25:$C$267,ET12))</f>
        <v>0</v>
      </c>
      <c r="TY12" s="50">
        <f>IF(EU12="","",COUNTIFS($D$25:$D$267,Parameters!$K$2,$E$25:$E$267,Parameters!$M$7,Calendrier!$C$25:$C$267,EU12)+ COUNTIFS($D$25:$D$267,Parameters!$K$4,$E$25:$E$267,Parameters!$M$7,Calendrier!$C$25:$C$267,EU12))</f>
        <v>0</v>
      </c>
      <c r="TZ12" s="50">
        <f>IF(EV12="","",COUNTIFS($D$25:$D$267,Parameters!$K$2,$E$25:$E$267,Parameters!$M$7,Calendrier!$C$25:$C$267,EV12)+ COUNTIFS($D$25:$D$267,Parameters!$K$3,$E$25:$E$267,Parameters!$M$7,Calendrier!$C$25:$C$267,EV12))</f>
        <v>0</v>
      </c>
      <c r="UA12" s="50">
        <f>IF(EW12="","",COUNTIFS($D$25:$D$267,Parameters!$K$2,$E$25:$E$267,Parameters!$M$7,Calendrier!$C$25:$C$267,EW12)+ COUNTIFS($D$25:$D$267,Parameters!$K$4,$E$25:$E$267,Parameters!$M$7,Calendrier!$C$25:$C$267,EW12))</f>
        <v>0</v>
      </c>
      <c r="UB12" s="50">
        <f>IF(EX12="","",COUNTIFS($D$25:$D$267,Parameters!$K$2,$E$25:$E$267,Parameters!$M$7,Calendrier!$C$25:$C$267,EX12)+ COUNTIFS($D$25:$D$267,Parameters!$K$3,$E$25:$E$267,Parameters!$M$7,Calendrier!$C$25:$C$267,EX12))</f>
        <v>0</v>
      </c>
      <c r="UC12" s="50">
        <f>IF(EY12="","",COUNTIFS($D$25:$D$267,Parameters!$K$2,$E$25:$E$267,Parameters!$M$7,Calendrier!$C$25:$C$267,EY12)+ COUNTIFS($D$25:$D$267,Parameters!$K$4,$E$25:$E$267,Parameters!$M$7,Calendrier!$C$25:$C$267,EY12))</f>
        <v>0</v>
      </c>
      <c r="UD12" s="50">
        <f>IF(EZ12="","",COUNTIFS($D$25:$D$267,Parameters!$K$2,$E$25:$E$267,Parameters!$M$7,Calendrier!$C$25:$C$267,EZ12)+ COUNTIFS($D$25:$D$267,Parameters!$K$3,$E$25:$E$267,Parameters!$M$7,Calendrier!$C$25:$C$267,EZ12))</f>
        <v>0</v>
      </c>
      <c r="UE12" s="57">
        <f>IF(FA12="","",COUNTIFS($D$25:$D$267,Parameters!$K$2,$E$25:$E$267,Parameters!$M$7,Calendrier!$C$25:$C$267,FA12)+ COUNTIFS($D$25:$D$267,Parameters!$K$4,$E$25:$E$267,Parameters!$M$7,Calendrier!$C$25:$C$267,FA12))</f>
        <v>0</v>
      </c>
    </row>
    <row r="13" spans="2:551" x14ac:dyDescent="0.3">
      <c r="B13" s="11"/>
      <c r="D13" s="3" t="s">
        <v>2</v>
      </c>
      <c r="E13" s="34" t="s">
        <v>16</v>
      </c>
      <c r="F13" s="34" t="s">
        <v>16</v>
      </c>
      <c r="G13" s="12"/>
      <c r="K13" s="31"/>
      <c r="L13" s="22">
        <f t="shared" si="58"/>
        <v>19</v>
      </c>
      <c r="M13" s="23"/>
      <c r="N13" s="22">
        <f t="shared" si="59"/>
        <v>20</v>
      </c>
      <c r="O13" s="23"/>
      <c r="P13" s="22">
        <f t="shared" si="59"/>
        <v>21</v>
      </c>
      <c r="Q13" s="23"/>
      <c r="R13" s="22">
        <f t="shared" si="59"/>
        <v>22</v>
      </c>
      <c r="S13" s="23"/>
      <c r="T13" s="22">
        <f t="shared" si="59"/>
        <v>23</v>
      </c>
      <c r="U13" s="23"/>
      <c r="V13" s="22">
        <f t="shared" si="59"/>
        <v>24</v>
      </c>
      <c r="W13" s="23"/>
      <c r="X13" s="22">
        <f t="shared" si="59"/>
        <v>25</v>
      </c>
      <c r="Y13" s="23"/>
      <c r="Z13" s="31"/>
      <c r="AA13" s="31"/>
      <c r="AB13" s="22">
        <f t="shared" si="36"/>
        <v>16</v>
      </c>
      <c r="AC13" s="23"/>
      <c r="AD13" s="22">
        <f t="shared" si="60"/>
        <v>17</v>
      </c>
      <c r="AE13" s="23"/>
      <c r="AF13" s="22">
        <f t="shared" si="60"/>
        <v>18</v>
      </c>
      <c r="AG13" s="23"/>
      <c r="AH13" s="22">
        <f t="shared" si="60"/>
        <v>19</v>
      </c>
      <c r="AI13" s="23"/>
      <c r="AJ13" s="22">
        <f t="shared" si="60"/>
        <v>20</v>
      </c>
      <c r="AK13" s="23"/>
      <c r="AL13" s="22">
        <f t="shared" si="60"/>
        <v>21</v>
      </c>
      <c r="AM13" s="23"/>
      <c r="AN13" s="22">
        <f t="shared" si="60"/>
        <v>22</v>
      </c>
      <c r="AO13" s="23"/>
      <c r="AP13" s="31"/>
      <c r="AQ13" s="31"/>
      <c r="AR13" s="22">
        <f t="shared" si="61"/>
        <v>16</v>
      </c>
      <c r="AS13" s="23"/>
      <c r="AT13" s="22">
        <f t="shared" si="62"/>
        <v>17</v>
      </c>
      <c r="AU13" s="23"/>
      <c r="AV13" s="22">
        <f t="shared" si="63"/>
        <v>18</v>
      </c>
      <c r="AW13" s="23"/>
      <c r="AX13" s="22">
        <f t="shared" si="64"/>
        <v>19</v>
      </c>
      <c r="AY13" s="23"/>
      <c r="AZ13" s="22">
        <f t="shared" si="65"/>
        <v>20</v>
      </c>
      <c r="BA13" s="23"/>
      <c r="BB13" s="22">
        <f t="shared" si="66"/>
        <v>21</v>
      </c>
      <c r="BC13" s="23"/>
      <c r="BD13" s="22">
        <f t="shared" si="67"/>
        <v>22</v>
      </c>
      <c r="BE13" s="23"/>
      <c r="BF13" s="31"/>
      <c r="BG13" s="31"/>
      <c r="BJ13" s="42"/>
      <c r="BK13" s="6">
        <v>1</v>
      </c>
      <c r="BL13" s="6">
        <v>1</v>
      </c>
      <c r="BM13" s="6">
        <v>1</v>
      </c>
      <c r="BN13" s="6">
        <v>1</v>
      </c>
      <c r="BO13" s="6">
        <v>1</v>
      </c>
      <c r="BP13" s="6">
        <v>1</v>
      </c>
      <c r="BQ13" s="6">
        <v>1</v>
      </c>
      <c r="BR13" s="6">
        <v>1</v>
      </c>
      <c r="BS13" s="6">
        <v>1</v>
      </c>
      <c r="BT13" s="6">
        <v>1</v>
      </c>
      <c r="BU13" s="6">
        <v>1</v>
      </c>
      <c r="BV13" s="6">
        <v>1</v>
      </c>
      <c r="BW13" s="6">
        <v>1</v>
      </c>
      <c r="CA13" s="6">
        <v>2</v>
      </c>
      <c r="CB13" s="6">
        <v>2</v>
      </c>
      <c r="CC13" s="6">
        <v>2</v>
      </c>
      <c r="CD13" s="6">
        <v>2</v>
      </c>
      <c r="CE13" s="6">
        <v>2</v>
      </c>
      <c r="CF13" s="6">
        <v>2</v>
      </c>
      <c r="CG13" s="6">
        <v>2</v>
      </c>
      <c r="CH13" s="6">
        <v>2</v>
      </c>
      <c r="CI13" s="6">
        <v>2</v>
      </c>
      <c r="CJ13" s="6">
        <v>2</v>
      </c>
      <c r="CK13" s="6">
        <v>2</v>
      </c>
      <c r="CL13" s="6">
        <v>2</v>
      </c>
      <c r="CM13" s="6">
        <v>2</v>
      </c>
      <c r="CQ13" s="6">
        <v>3</v>
      </c>
      <c r="CR13" s="6">
        <v>3</v>
      </c>
      <c r="CS13" s="6">
        <v>3</v>
      </c>
      <c r="CT13" s="6">
        <v>3</v>
      </c>
      <c r="CU13" s="6">
        <v>3</v>
      </c>
      <c r="CV13" s="6">
        <v>3</v>
      </c>
      <c r="CW13" s="6">
        <v>3</v>
      </c>
      <c r="CX13" s="6">
        <v>3</v>
      </c>
      <c r="CY13" s="6">
        <v>3</v>
      </c>
      <c r="CZ13" s="6">
        <v>3</v>
      </c>
      <c r="DA13" s="6">
        <v>3</v>
      </c>
      <c r="DB13" s="6">
        <v>3</v>
      </c>
      <c r="DC13" s="6">
        <v>3</v>
      </c>
      <c r="DG13" s="42"/>
      <c r="DH13" s="43">
        <f t="shared" si="37"/>
        <v>46041</v>
      </c>
      <c r="DI13" s="44">
        <f t="shared" ref="DI13" si="86">DH13</f>
        <v>46041</v>
      </c>
      <c r="DJ13" s="44">
        <f t="shared" si="0"/>
        <v>46042</v>
      </c>
      <c r="DK13" s="44">
        <f t="shared" ref="DK13" si="87">DJ13</f>
        <v>46042</v>
      </c>
      <c r="DL13" s="44">
        <f t="shared" si="2"/>
        <v>46043</v>
      </c>
      <c r="DM13" s="44">
        <f t="shared" ref="DM13" si="88">DL13</f>
        <v>46043</v>
      </c>
      <c r="DN13" s="44">
        <f t="shared" si="4"/>
        <v>46044</v>
      </c>
      <c r="DO13" s="44">
        <f t="shared" ref="DO13" si="89">DN13</f>
        <v>46044</v>
      </c>
      <c r="DP13" s="44">
        <f t="shared" si="6"/>
        <v>46045</v>
      </c>
      <c r="DQ13" s="44">
        <f t="shared" ref="DQ13" si="90">DP13</f>
        <v>46045</v>
      </c>
      <c r="DR13" s="44">
        <f t="shared" si="8"/>
        <v>46046</v>
      </c>
      <c r="DS13" s="44">
        <f t="shared" ref="DS13" si="91">DR13</f>
        <v>46046</v>
      </c>
      <c r="DT13" s="44">
        <f t="shared" si="10"/>
        <v>46047</v>
      </c>
      <c r="DU13" s="45">
        <f t="shared" si="11"/>
        <v>46047</v>
      </c>
      <c r="DX13" s="43">
        <f t="shared" si="44"/>
        <v>46069</v>
      </c>
      <c r="DY13" s="44">
        <f t="shared" ref="DY13" si="92">DX13</f>
        <v>46069</v>
      </c>
      <c r="DZ13" s="44">
        <f t="shared" si="12"/>
        <v>46070</v>
      </c>
      <c r="EA13" s="44">
        <f t="shared" ref="EA13" si="93">DZ13</f>
        <v>46070</v>
      </c>
      <c r="EB13" s="44">
        <f t="shared" si="14"/>
        <v>46071</v>
      </c>
      <c r="EC13" s="44">
        <f t="shared" ref="EC13" si="94">EB13</f>
        <v>46071</v>
      </c>
      <c r="ED13" s="44">
        <f t="shared" si="16"/>
        <v>46072</v>
      </c>
      <c r="EE13" s="44">
        <f t="shared" ref="EE13" si="95">ED13</f>
        <v>46072</v>
      </c>
      <c r="EF13" s="44">
        <f t="shared" si="18"/>
        <v>46073</v>
      </c>
      <c r="EG13" s="44">
        <f t="shared" ref="EG13" si="96">EF13</f>
        <v>46073</v>
      </c>
      <c r="EH13" s="44">
        <f t="shared" si="20"/>
        <v>46074</v>
      </c>
      <c r="EI13" s="44">
        <f t="shared" ref="EI13" si="97">EH13</f>
        <v>46074</v>
      </c>
      <c r="EJ13" s="44">
        <f t="shared" si="22"/>
        <v>46075</v>
      </c>
      <c r="EK13" s="45">
        <f t="shared" si="23"/>
        <v>46075</v>
      </c>
      <c r="EN13" s="43">
        <f t="shared" si="51"/>
        <v>46097</v>
      </c>
      <c r="EO13" s="44">
        <f t="shared" ref="EO13" si="98">EN13</f>
        <v>46097</v>
      </c>
      <c r="EP13" s="44">
        <f t="shared" si="24"/>
        <v>46098</v>
      </c>
      <c r="EQ13" s="44">
        <f t="shared" ref="EQ13" si="99">EP13</f>
        <v>46098</v>
      </c>
      <c r="ER13" s="44">
        <f t="shared" si="26"/>
        <v>46099</v>
      </c>
      <c r="ES13" s="44">
        <f t="shared" ref="ES13" si="100">ER13</f>
        <v>46099</v>
      </c>
      <c r="ET13" s="44">
        <f t="shared" si="28"/>
        <v>46100</v>
      </c>
      <c r="EU13" s="44">
        <f t="shared" ref="EU13" si="101">ET13</f>
        <v>46100</v>
      </c>
      <c r="EV13" s="44">
        <f t="shared" si="30"/>
        <v>46101</v>
      </c>
      <c r="EW13" s="44">
        <f t="shared" ref="EW13" si="102">EV13</f>
        <v>46101</v>
      </c>
      <c r="EX13" s="44">
        <f t="shared" si="32"/>
        <v>46102</v>
      </c>
      <c r="EY13" s="44">
        <f t="shared" ref="EY13" si="103">EX13</f>
        <v>46102</v>
      </c>
      <c r="EZ13" s="44">
        <f t="shared" si="34"/>
        <v>46103</v>
      </c>
      <c r="FA13" s="45">
        <f t="shared" si="35"/>
        <v>46103</v>
      </c>
      <c r="FB13" s="44"/>
      <c r="FE13" s="49">
        <f>COUNTIFS(Parameters!$S:$S,$D$4,Parameters!$Q:$Q,DH13)</f>
        <v>0</v>
      </c>
      <c r="FF13" s="50">
        <f>COUNTIFS(Parameters!$S:$S,$D$4,Parameters!$Q:$Q,DI13)</f>
        <v>0</v>
      </c>
      <c r="FG13" s="50">
        <f>COUNTIFS(Parameters!$S:$S,$D$4,Parameters!$Q:$Q,DJ13)</f>
        <v>0</v>
      </c>
      <c r="FH13" s="50">
        <f>COUNTIFS(Parameters!$S:$S,$D$4,Parameters!$Q:$Q,DK13)</f>
        <v>0</v>
      </c>
      <c r="FI13" s="50">
        <f>COUNTIFS(Parameters!$S:$S,$D$4,Parameters!$Q:$Q,DL13)</f>
        <v>0</v>
      </c>
      <c r="FJ13" s="50">
        <f>COUNTIFS(Parameters!$S:$S,$D$4,Parameters!$Q:$Q,DM13)</f>
        <v>0</v>
      </c>
      <c r="FK13" s="50">
        <f>COUNTIFS(Parameters!$S:$S,$D$4,Parameters!$Q:$Q,DN13)</f>
        <v>0</v>
      </c>
      <c r="FL13" s="50">
        <f>COUNTIFS(Parameters!$S:$S,$D$4,Parameters!$Q:$Q,DO13)</f>
        <v>0</v>
      </c>
      <c r="FM13" s="50">
        <f>COUNTIFS(Parameters!$S:$S,$D$4,Parameters!$Q:$Q,DP13)</f>
        <v>0</v>
      </c>
      <c r="FN13" s="50">
        <f>COUNTIFS(Parameters!$S:$S,$D$4,Parameters!$Q:$Q,DQ13)</f>
        <v>0</v>
      </c>
      <c r="FO13" s="50">
        <f>COUNTIFS(Parameters!$S:$S,$D$4,Parameters!$Q:$Q,DR13)</f>
        <v>0</v>
      </c>
      <c r="FP13" s="50">
        <f>COUNTIFS(Parameters!$S:$S,$D$4,Parameters!$Q:$Q,DS13)</f>
        <v>0</v>
      </c>
      <c r="FQ13" s="50">
        <f>COUNTIFS(Parameters!$S:$S,$D$4,Parameters!$Q:$Q,DT13)</f>
        <v>0</v>
      </c>
      <c r="FR13" s="57">
        <f>COUNTIFS(Parameters!$S:$S,$D$4,Parameters!$Q:$Q,DU13)</f>
        <v>0</v>
      </c>
      <c r="FU13" s="49">
        <f>COUNTIFS(Parameters!$S:$S,$D$4,Parameters!$Q:$Q,DX13)</f>
        <v>0</v>
      </c>
      <c r="FV13" s="50">
        <f>COUNTIFS(Parameters!$S:$S,$D$4,Parameters!$Q:$Q,DY13)</f>
        <v>0</v>
      </c>
      <c r="FW13" s="50">
        <f>COUNTIFS(Parameters!$S:$S,$D$4,Parameters!$Q:$Q,DZ13)</f>
        <v>0</v>
      </c>
      <c r="FX13" s="50">
        <f>COUNTIFS(Parameters!$S:$S,$D$4,Parameters!$Q:$Q,EA13)</f>
        <v>0</v>
      </c>
      <c r="FY13" s="50">
        <f>COUNTIFS(Parameters!$S:$S,$D$4,Parameters!$Q:$Q,EB13)</f>
        <v>0</v>
      </c>
      <c r="FZ13" s="50">
        <f>COUNTIFS(Parameters!$S:$S,$D$4,Parameters!$Q:$Q,EC13)</f>
        <v>0</v>
      </c>
      <c r="GA13" s="50">
        <f>COUNTIFS(Parameters!$S:$S,$D$4,Parameters!$Q:$Q,ED13)</f>
        <v>0</v>
      </c>
      <c r="GB13" s="50">
        <f>COUNTIFS(Parameters!$S:$S,$D$4,Parameters!$Q:$Q,EE13)</f>
        <v>0</v>
      </c>
      <c r="GC13" s="50">
        <f>COUNTIFS(Parameters!$S:$S,$D$4,Parameters!$Q:$Q,EF13)</f>
        <v>0</v>
      </c>
      <c r="GD13" s="50">
        <f>COUNTIFS(Parameters!$S:$S,$D$4,Parameters!$Q:$Q,EG13)</f>
        <v>0</v>
      </c>
      <c r="GE13" s="50">
        <f>COUNTIFS(Parameters!$S:$S,$D$4,Parameters!$Q:$Q,EH13)</f>
        <v>0</v>
      </c>
      <c r="GF13" s="50">
        <f>COUNTIFS(Parameters!$S:$S,$D$4,Parameters!$Q:$Q,EI13)</f>
        <v>0</v>
      </c>
      <c r="GG13" s="50">
        <f>COUNTIFS(Parameters!$S:$S,$D$4,Parameters!$Q:$Q,EJ13)</f>
        <v>0</v>
      </c>
      <c r="GH13" s="57">
        <f>COUNTIFS(Parameters!$S:$S,$D$4,Parameters!$Q:$Q,EK13)</f>
        <v>0</v>
      </c>
      <c r="GK13" s="49">
        <f>COUNTIFS(Parameters!$S:$S,$D$4,Parameters!$Q:$Q,EN13)</f>
        <v>0</v>
      </c>
      <c r="GL13" s="50">
        <f>COUNTIFS(Parameters!$S:$S,$D$4,Parameters!$Q:$Q,EO13)</f>
        <v>0</v>
      </c>
      <c r="GM13" s="50">
        <f>COUNTIFS(Parameters!$S:$S,$D$4,Parameters!$Q:$Q,EP13)</f>
        <v>0</v>
      </c>
      <c r="GN13" s="50">
        <f>COUNTIFS(Parameters!$S:$S,$D$4,Parameters!$Q:$Q,EQ13)</f>
        <v>0</v>
      </c>
      <c r="GO13" s="50">
        <f>COUNTIFS(Parameters!$S:$S,$D$4,Parameters!$Q:$Q,ER13)</f>
        <v>0</v>
      </c>
      <c r="GP13" s="50">
        <f>COUNTIFS(Parameters!$S:$S,$D$4,Parameters!$Q:$Q,ES13)</f>
        <v>0</v>
      </c>
      <c r="GQ13" s="50">
        <f>COUNTIFS(Parameters!$S:$S,$D$4,Parameters!$Q:$Q,ET13)</f>
        <v>0</v>
      </c>
      <c r="GR13" s="50">
        <f>COUNTIFS(Parameters!$S:$S,$D$4,Parameters!$Q:$Q,EU13)</f>
        <v>0</v>
      </c>
      <c r="GS13" s="50">
        <f>COUNTIFS(Parameters!$S:$S,$D$4,Parameters!$Q:$Q,EV13)</f>
        <v>0</v>
      </c>
      <c r="GT13" s="50">
        <f>COUNTIFS(Parameters!$S:$S,$D$4,Parameters!$Q:$Q,EW13)</f>
        <v>0</v>
      </c>
      <c r="GU13" s="50">
        <f>COUNTIFS(Parameters!$S:$S,$D$4,Parameters!$Q:$Q,EX13)</f>
        <v>0</v>
      </c>
      <c r="GV13" s="50">
        <f>COUNTIFS(Parameters!$S:$S,$D$4,Parameters!$Q:$Q,EY13)</f>
        <v>0</v>
      </c>
      <c r="GW13" s="50">
        <f>COUNTIFS(Parameters!$S:$S,$D$4,Parameters!$Q:$Q,EZ13)</f>
        <v>0</v>
      </c>
      <c r="GX13" s="57">
        <f>COUNTIFS(Parameters!$S:$S,$D$4,Parameters!$Q:$Q,FA13)</f>
        <v>0</v>
      </c>
      <c r="HB13" s="49">
        <f>IF(DH13="","",COUNTIFS($D$25:$D$267,Parameters!$K$2,$E$25:$E$267,Parameters!$M$2,Calendrier!$C$25:$C$267,DH13)+ COUNTIFS($D$25:$D$267,Parameters!$K$3,$E$25:$E$267,Parameters!$M$2,Calendrier!$C$25:$C$267,DH13))</f>
        <v>0</v>
      </c>
      <c r="HC13" s="50">
        <f>IF(DI13="","",COUNTIFS($D$25:$D$267,Parameters!$K$2,$E$25:$E$267,Parameters!$M$2,Calendrier!$C$25:$C$267,DI13)+ COUNTIFS($D$25:$D$267,Parameters!$K$4,$E$25:$E$267,Parameters!$M$2,Calendrier!$C$25:$C$267,DI13))</f>
        <v>0</v>
      </c>
      <c r="HD13" s="50">
        <f>IF(DJ13="","",COUNTIFS($D$25:$D$267,Parameters!$K$2,$E$25:$E$267,Parameters!$M$2,Calendrier!$C$25:$C$267,DJ13)+ COUNTIFS($D$25:$D$267,Parameters!$K$3,$E$25:$E$267,Parameters!$M$2,Calendrier!$C$25:$C$267,DJ13))</f>
        <v>0</v>
      </c>
      <c r="HE13" s="50">
        <f>IF(DK13="","",COUNTIFS($D$25:$D$267,Parameters!$K$2,$E$25:$E$267,Parameters!$M$2,Calendrier!$C$25:$C$267,DK13)+ COUNTIFS($D$25:$D$267,Parameters!$K$4,$E$25:$E$267,Parameters!$M$2,Calendrier!$C$25:$C$267,DK13))</f>
        <v>0</v>
      </c>
      <c r="HF13" s="50">
        <f>IF(DL13="","",COUNTIFS($D$25:$D$267,Parameters!$K$2,$E$25:$E$267,Parameters!$M$2,Calendrier!$C$25:$C$267,DL13)+ COUNTIFS($D$25:$D$267,Parameters!$K$3,$E$25:$E$267,Parameters!$M$2,Calendrier!$C$25:$C$267,DL13))</f>
        <v>0</v>
      </c>
      <c r="HG13" s="50">
        <f>IF(DM13="","",COUNTIFS($D$25:$D$267,Parameters!$K$2,$E$25:$E$267,Parameters!$M$2,Calendrier!$C$25:$C$267,DM13)+ COUNTIFS($D$25:$D$267,Parameters!$K$4,$E$25:$E$267,Parameters!$M$2,Calendrier!$C$25:$C$267,DM13))</f>
        <v>0</v>
      </c>
      <c r="HH13" s="50">
        <f>IF(DN13="","",COUNTIFS($D$25:$D$267,Parameters!$K$2,$E$25:$E$267,Parameters!$M$2,Calendrier!$C$25:$C$267,DN13)+ COUNTIFS($D$25:$D$267,Parameters!$K$3,$E$25:$E$267,Parameters!$M$2,Calendrier!$C$25:$C$267,DN13))</f>
        <v>0</v>
      </c>
      <c r="HI13" s="50">
        <f>IF(DO13="","",COUNTIFS($D$25:$D$267,Parameters!$K$2,$E$25:$E$267,Parameters!$M$2,Calendrier!$C$25:$C$267,DO13)+ COUNTIFS($D$25:$D$267,Parameters!$K$4,$E$25:$E$267,Parameters!$M$2,Calendrier!$C$25:$C$267,DO13))</f>
        <v>0</v>
      </c>
      <c r="HJ13" s="50">
        <f>IF(DP13="","",COUNTIFS($D$25:$D$267,Parameters!$K$2,$E$25:$E$267,Parameters!$M$2,Calendrier!$C$25:$C$267,DP13)+ COUNTIFS($D$25:$D$267,Parameters!$K$3,$E$25:$E$267,Parameters!$M$2,Calendrier!$C$25:$C$267,DP13))</f>
        <v>0</v>
      </c>
      <c r="HK13" s="50">
        <f>IF(DQ13="","",COUNTIFS($D$25:$D$267,Parameters!$K$2,$E$25:$E$267,Parameters!$M$2,Calendrier!$C$25:$C$267,DQ13)+ COUNTIFS($D$25:$D$267,Parameters!$K$4,$E$25:$E$267,Parameters!$M$2,Calendrier!$C$25:$C$267,DQ13))</f>
        <v>0</v>
      </c>
      <c r="HL13" s="50">
        <f>IF(DR13="","",COUNTIFS($D$25:$D$267,Parameters!$K$2,$E$25:$E$267,Parameters!$M$2,Calendrier!$C$25:$C$267,DR13)+ COUNTIFS($D$25:$D$267,Parameters!$K$3,$E$25:$E$267,Parameters!$M$2,Calendrier!$C$25:$C$267,DR13))</f>
        <v>0</v>
      </c>
      <c r="HM13" s="50">
        <f>IF(DS13="","",COUNTIFS($D$25:$D$267,Parameters!$K$2,$E$25:$E$267,Parameters!$M$2,Calendrier!$C$25:$C$267,DS13)+ COUNTIFS($D$25:$D$267,Parameters!$K$4,$E$25:$E$267,Parameters!$M$2,Calendrier!$C$25:$C$267,DS13))</f>
        <v>0</v>
      </c>
      <c r="HN13" s="50">
        <f>IF(DT13="","",COUNTIFS($D$25:$D$267,Parameters!$K$2,$E$25:$E$267,Parameters!$M$2,Calendrier!$C$25:$C$267,DT13)+ COUNTIFS($D$25:$D$267,Parameters!$K$3,$E$25:$E$267,Parameters!$M$2,Calendrier!$C$25:$C$267,DT13))</f>
        <v>0</v>
      </c>
      <c r="HO13" s="57">
        <f>IF(DU13="","",COUNTIFS($D$25:$D$267,Parameters!$K$2,$E$25:$E$267,Parameters!$M$2,Calendrier!$C$25:$C$267,DU13)+ COUNTIFS($D$25:$D$267,Parameters!$K$4,$E$25:$E$267,Parameters!$M$2,Calendrier!$C$25:$C$267,DU13))</f>
        <v>0</v>
      </c>
      <c r="HR13" s="49">
        <f>IF(DX13="","",COUNTIFS($D$25:$D$267,Parameters!$K$2,$E$25:$E$267,Parameters!$M$2,Calendrier!$C$25:$C$267,DX13)+ COUNTIFS($D$25:$D$267,Parameters!$K$3,$E$25:$E$267,Parameters!$M$2,Calendrier!$C$25:$C$267,DX13))</f>
        <v>0</v>
      </c>
      <c r="HS13" s="50">
        <f>IF(DY13="","",COUNTIFS($D$25:$D$267,Parameters!$K$2,$E$25:$E$267,Parameters!$M$2,Calendrier!$C$25:$C$267,DY13)+ COUNTIFS($D$25:$D$267,Parameters!$K$4,$E$25:$E$267,Parameters!$M$2,Calendrier!$C$25:$C$267,DY13))</f>
        <v>0</v>
      </c>
      <c r="HT13" s="50">
        <f>IF(DZ13="","",COUNTIFS($D$25:$D$267,Parameters!$K$2,$E$25:$E$267,Parameters!$M$2,Calendrier!$C$25:$C$267,DZ13)+ COUNTIFS($D$25:$D$267,Parameters!$K$3,$E$25:$E$267,Parameters!$M$2,Calendrier!$C$25:$C$267,DZ13))</f>
        <v>0</v>
      </c>
      <c r="HU13" s="50">
        <f>IF(EA13="","",COUNTIFS($D$25:$D$267,Parameters!$K$2,$E$25:$E$267,Parameters!$M$2,Calendrier!$C$25:$C$267,EA13)+ COUNTIFS($D$25:$D$267,Parameters!$K$4,$E$25:$E$267,Parameters!$M$2,Calendrier!$C$25:$C$267,EA13))</f>
        <v>0</v>
      </c>
      <c r="HV13" s="50">
        <f>IF(EB13="","",COUNTIFS($D$25:$D$267,Parameters!$K$2,$E$25:$E$267,Parameters!$M$2,Calendrier!$C$25:$C$267,EB13)+ COUNTIFS($D$25:$D$267,Parameters!$K$3,$E$25:$E$267,Parameters!$M$2,Calendrier!$C$25:$C$267,EB13))</f>
        <v>0</v>
      </c>
      <c r="HW13" s="50">
        <f>IF(EC13="","",COUNTIFS($D$25:$D$267,Parameters!$K$2,$E$25:$E$267,Parameters!$M$2,Calendrier!$C$25:$C$267,EC13)+ COUNTIFS($D$25:$D$267,Parameters!$K$4,$E$25:$E$267,Parameters!$M$2,Calendrier!$C$25:$C$267,EC13))</f>
        <v>0</v>
      </c>
      <c r="HX13" s="50">
        <f>IF(ED13="","",COUNTIFS($D$25:$D$267,Parameters!$K$2,$E$25:$E$267,Parameters!$M$2,Calendrier!$C$25:$C$267,ED13)+ COUNTIFS($D$25:$D$267,Parameters!$K$3,$E$25:$E$267,Parameters!$M$2,Calendrier!$C$25:$C$267,ED13))</f>
        <v>0</v>
      </c>
      <c r="HY13" s="50">
        <f>IF(EE13="","",COUNTIFS($D$25:$D$267,Parameters!$K$2,$E$25:$E$267,Parameters!$M$2,Calendrier!$C$25:$C$267,EE13)+ COUNTIFS($D$25:$D$267,Parameters!$K$4,$E$25:$E$267,Parameters!$M$2,Calendrier!$C$25:$C$267,EE13))</f>
        <v>0</v>
      </c>
      <c r="HZ13" s="50">
        <f>IF(EF13="","",COUNTIFS($D$25:$D$267,Parameters!$K$2,$E$25:$E$267,Parameters!$M$2,Calendrier!$C$25:$C$267,EF13)+ COUNTIFS($D$25:$D$267,Parameters!$K$3,$E$25:$E$267,Parameters!$M$2,Calendrier!$C$25:$C$267,EF13))</f>
        <v>0</v>
      </c>
      <c r="IA13" s="50">
        <f>IF(EG13="","",COUNTIFS($D$25:$D$267,Parameters!$K$2,$E$25:$E$267,Parameters!$M$2,Calendrier!$C$25:$C$267,EG13)+ COUNTIFS($D$25:$D$267,Parameters!$K$4,$E$25:$E$267,Parameters!$M$2,Calendrier!$C$25:$C$267,EG13))</f>
        <v>0</v>
      </c>
      <c r="IB13" s="50">
        <f>IF(EH13="","",COUNTIFS($D$25:$D$267,Parameters!$K$2,$E$25:$E$267,Parameters!$M$2,Calendrier!$C$25:$C$267,EH13)+ COUNTIFS($D$25:$D$267,Parameters!$K$3,$E$25:$E$267,Parameters!$M$2,Calendrier!$C$25:$C$267,EH13))</f>
        <v>0</v>
      </c>
      <c r="IC13" s="50">
        <f>IF(EI13="","",COUNTIFS($D$25:$D$267,Parameters!$K$2,$E$25:$E$267,Parameters!$M$2,Calendrier!$C$25:$C$267,EI13)+ COUNTIFS($D$25:$D$267,Parameters!$K$4,$E$25:$E$267,Parameters!$M$2,Calendrier!$C$25:$C$267,EI13))</f>
        <v>0</v>
      </c>
      <c r="ID13" s="50">
        <f>IF(EJ13="","",COUNTIFS($D$25:$D$267,Parameters!$K$2,$E$25:$E$267,Parameters!$M$2,Calendrier!$C$25:$C$267,EJ13)+ COUNTIFS($D$25:$D$267,Parameters!$K$3,$E$25:$E$267,Parameters!$M$2,Calendrier!$C$25:$C$267,EJ13))</f>
        <v>0</v>
      </c>
      <c r="IE13" s="57">
        <f>IF(EK13="","",COUNTIFS($D$25:$D$267,Parameters!$K$2,$E$25:$E$267,Parameters!$M$2,Calendrier!$C$25:$C$267,EK13)+ COUNTIFS($D$25:$D$267,Parameters!$K$4,$E$25:$E$267,Parameters!$M$2,Calendrier!$C$25:$C$267,EK13))</f>
        <v>0</v>
      </c>
      <c r="IH13" s="49">
        <f>IF(EN13="","",COUNTIFS($D$25:$D$267,Parameters!$K$2,$E$25:$E$267,Parameters!$M$2,Calendrier!$C$25:$C$267,EN13)+ COUNTIFS($D$25:$D$267,Parameters!$K$3,$E$25:$E$267,Parameters!$M$2,Calendrier!$C$25:$C$267,EN13))</f>
        <v>0</v>
      </c>
      <c r="II13" s="50">
        <f>IF(EO13="","",COUNTIFS($D$25:$D$267,Parameters!$K$2,$E$25:$E$267,Parameters!$M$2,Calendrier!$C$25:$C$267,EO13)+ COUNTIFS($D$25:$D$267,Parameters!$K$4,$E$25:$E$267,Parameters!$M$2,Calendrier!$C$25:$C$267,EO13))</f>
        <v>0</v>
      </c>
      <c r="IJ13" s="50">
        <f>IF(EP13="","",COUNTIFS($D$25:$D$267,Parameters!$K$2,$E$25:$E$267,Parameters!$M$2,Calendrier!$C$25:$C$267,EP13)+ COUNTIFS($D$25:$D$267,Parameters!$K$3,$E$25:$E$267,Parameters!$M$2,Calendrier!$C$25:$C$267,EP13))</f>
        <v>0</v>
      </c>
      <c r="IK13" s="50">
        <f>IF(EQ13="","",COUNTIFS($D$25:$D$267,Parameters!$K$2,$E$25:$E$267,Parameters!$M$2,Calendrier!$C$25:$C$267,EQ13)+ COUNTIFS($D$25:$D$267,Parameters!$K$4,$E$25:$E$267,Parameters!$M$2,Calendrier!$C$25:$C$267,EQ13))</f>
        <v>0</v>
      </c>
      <c r="IL13" s="50">
        <f>IF(ER13="","",COUNTIFS($D$25:$D$267,Parameters!$K$2,$E$25:$E$267,Parameters!$M$2,Calendrier!$C$25:$C$267,ER13)+ COUNTIFS($D$25:$D$267,Parameters!$K$3,$E$25:$E$267,Parameters!$M$2,Calendrier!$C$25:$C$267,ER13))</f>
        <v>0</v>
      </c>
      <c r="IM13" s="50">
        <f>IF(ES13="","",COUNTIFS($D$25:$D$267,Parameters!$K$2,$E$25:$E$267,Parameters!$M$2,Calendrier!$C$25:$C$267,ES13)+ COUNTIFS($D$25:$D$267,Parameters!$K$4,$E$25:$E$267,Parameters!$M$2,Calendrier!$C$25:$C$267,ES13))</f>
        <v>0</v>
      </c>
      <c r="IN13" s="50">
        <f>IF(ET13="","",COUNTIFS($D$25:$D$267,Parameters!$K$2,$E$25:$E$267,Parameters!$M$2,Calendrier!$C$25:$C$267,ET13)+ COUNTIFS($D$25:$D$267,Parameters!$K$3,$E$25:$E$267,Parameters!$M$2,Calendrier!$C$25:$C$267,ET13))</f>
        <v>0</v>
      </c>
      <c r="IO13" s="50">
        <f>IF(EU13="","",COUNTIFS($D$25:$D$267,Parameters!$K$2,$E$25:$E$267,Parameters!$M$2,Calendrier!$C$25:$C$267,EU13)+ COUNTIFS($D$25:$D$267,Parameters!$K$4,$E$25:$E$267,Parameters!$M$2,Calendrier!$C$25:$C$267,EU13))</f>
        <v>0</v>
      </c>
      <c r="IP13" s="50">
        <f>IF(EV13="","",COUNTIFS($D$25:$D$267,Parameters!$K$2,$E$25:$E$267,Parameters!$M$2,Calendrier!$C$25:$C$267,EV13)+ COUNTIFS($D$25:$D$267,Parameters!$K$3,$E$25:$E$267,Parameters!$M$2,Calendrier!$C$25:$C$267,EV13))</f>
        <v>0</v>
      </c>
      <c r="IQ13" s="50">
        <f>IF(EW13="","",COUNTIFS($D$25:$D$267,Parameters!$K$2,$E$25:$E$267,Parameters!$M$2,Calendrier!$C$25:$C$267,EW13)+ COUNTIFS($D$25:$D$267,Parameters!$K$4,$E$25:$E$267,Parameters!$M$2,Calendrier!$C$25:$C$267,EW13))</f>
        <v>0</v>
      </c>
      <c r="IR13" s="50">
        <f>IF(EX13="","",COUNTIFS($D$25:$D$267,Parameters!$K$2,$E$25:$E$267,Parameters!$M$2,Calendrier!$C$25:$C$267,EX13)+ COUNTIFS($D$25:$D$267,Parameters!$K$3,$E$25:$E$267,Parameters!$M$2,Calendrier!$C$25:$C$267,EX13))</f>
        <v>0</v>
      </c>
      <c r="IS13" s="50">
        <f>IF(EY13="","",COUNTIFS($D$25:$D$267,Parameters!$K$2,$E$25:$E$267,Parameters!$M$2,Calendrier!$C$25:$C$267,EY13)+ COUNTIFS($D$25:$D$267,Parameters!$K$4,$E$25:$E$267,Parameters!$M$2,Calendrier!$C$25:$C$267,EY13))</f>
        <v>0</v>
      </c>
      <c r="IT13" s="50">
        <f>IF(EZ13="","",COUNTIFS($D$25:$D$267,Parameters!$K$2,$E$25:$E$267,Parameters!$M$2,Calendrier!$C$25:$C$267,EZ13)+ COUNTIFS($D$25:$D$267,Parameters!$K$3,$E$25:$E$267,Parameters!$M$2,Calendrier!$C$25:$C$267,EZ13))</f>
        <v>0</v>
      </c>
      <c r="IU13" s="57">
        <f>IF(FA13="","",COUNTIFS($D$25:$D$267,Parameters!$K$2,$E$25:$E$267,Parameters!$M$2,Calendrier!$C$25:$C$267,FA13)+ COUNTIFS($D$25:$D$267,Parameters!$K$4,$E$25:$E$267,Parameters!$M$2,Calendrier!$C$25:$C$267,FA13))</f>
        <v>0</v>
      </c>
      <c r="IY13" s="49">
        <f>IF(DH13="","",COUNTIFS($D$25:$D$267,Parameters!$K$2,$E$25:$E$267,Parameters!$M$3,Calendrier!$C$25:$C$267,DH13)+ COUNTIFS($D$25:$D$267,Parameters!$K$3,$E$25:$E$267,Parameters!$M$3,Calendrier!$C$25:$C$267,DH13))</f>
        <v>0</v>
      </c>
      <c r="IZ13" s="50">
        <f>IF(DI13="","",COUNTIFS($D$25:$D$267,Parameters!$K$2,$E$25:$E$267,Parameters!$M$3,Calendrier!$C$25:$C$267,DI13)+ COUNTIFS($D$25:$D$267,Parameters!$K$4,$E$25:$E$267,Parameters!$M$3,Calendrier!$C$25:$C$267,DI13))</f>
        <v>0</v>
      </c>
      <c r="JA13" s="50">
        <f>IF(DJ13="","",COUNTIFS($D$25:$D$267,Parameters!$K$2,$E$25:$E$267,Parameters!$M$3,Calendrier!$C$25:$C$267,DJ13)+ COUNTIFS($D$25:$D$267,Parameters!$K$3,$E$25:$E$267,Parameters!$M$3,Calendrier!$C$25:$C$267,DJ13))</f>
        <v>0</v>
      </c>
      <c r="JB13" s="50">
        <f>IF(DK13="","",COUNTIFS($D$25:$D$267,Parameters!$K$2,$E$25:$E$267,Parameters!$M$3,Calendrier!$C$25:$C$267,DK13)+ COUNTIFS($D$25:$D$267,Parameters!$K$4,$E$25:$E$267,Parameters!$M$3,Calendrier!$C$25:$C$267,DK13))</f>
        <v>0</v>
      </c>
      <c r="JC13" s="50">
        <f>IF(DL13="","",COUNTIFS($D$25:$D$267,Parameters!$K$2,$E$25:$E$267,Parameters!$M$3,Calendrier!$C$25:$C$267,DL13)+ COUNTIFS($D$25:$D$267,Parameters!$K$3,$E$25:$E$267,Parameters!$M$3,Calendrier!$C$25:$C$267,DL13))</f>
        <v>0</v>
      </c>
      <c r="JD13" s="50">
        <f>IF(DM13="","",COUNTIFS($D$25:$D$267,Parameters!$K$2,$E$25:$E$267,Parameters!$M$3,Calendrier!$C$25:$C$267,DM13)+ COUNTIFS($D$25:$D$267,Parameters!$K$4,$E$25:$E$267,Parameters!$M$3,Calendrier!$C$25:$C$267,DM13))</f>
        <v>0</v>
      </c>
      <c r="JE13" s="50">
        <f>IF(DN13="","",COUNTIFS($D$25:$D$267,Parameters!$K$2,$E$25:$E$267,Parameters!$M$3,Calendrier!$C$25:$C$267,DN13)+ COUNTIFS($D$25:$D$267,Parameters!$K$3,$E$25:$E$267,Parameters!$M$3,Calendrier!$C$25:$C$267,DN13))</f>
        <v>0</v>
      </c>
      <c r="JF13" s="50">
        <f>IF(DO13="","",COUNTIFS($D$25:$D$267,Parameters!$K$2,$E$25:$E$267,Parameters!$M$3,Calendrier!$C$25:$C$267,DO13)+ COUNTIFS($D$25:$D$267,Parameters!$K$4,$E$25:$E$267,Parameters!$M$3,Calendrier!$C$25:$C$267,DO13))</f>
        <v>0</v>
      </c>
      <c r="JG13" s="50">
        <f>IF(DP13="","",COUNTIFS($D$25:$D$267,Parameters!$K$2,$E$25:$E$267,Parameters!$M$3,Calendrier!$C$25:$C$267,DP13)+ COUNTIFS($D$25:$D$267,Parameters!$K$3,$E$25:$E$267,Parameters!$M$3,Calendrier!$C$25:$C$267,DP13))</f>
        <v>0</v>
      </c>
      <c r="JH13" s="50">
        <f>IF(DQ13="","",COUNTIFS($D$25:$D$267,Parameters!$K$2,$E$25:$E$267,Parameters!$M$3,Calendrier!$C$25:$C$267,DQ13)+ COUNTIFS($D$25:$D$267,Parameters!$K$4,$E$25:$E$267,Parameters!$M$3,Calendrier!$C$25:$C$267,DQ13))</f>
        <v>0</v>
      </c>
      <c r="JI13" s="50">
        <f>IF(DR13="","",COUNTIFS($D$25:$D$267,Parameters!$K$2,$E$25:$E$267,Parameters!$M$3,Calendrier!$C$25:$C$267,DR13)+ COUNTIFS($D$25:$D$267,Parameters!$K$3,$E$25:$E$267,Parameters!$M$3,Calendrier!$C$25:$C$267,DR13))</f>
        <v>0</v>
      </c>
      <c r="JJ13" s="50">
        <f>IF(DS13="","",COUNTIFS($D$25:$D$267,Parameters!$K$2,$E$25:$E$267,Parameters!$M$3,Calendrier!$C$25:$C$267,DS13)+ COUNTIFS($D$25:$D$267,Parameters!$K$4,$E$25:$E$267,Parameters!$M$3,Calendrier!$C$25:$C$267,DS13))</f>
        <v>0</v>
      </c>
      <c r="JK13" s="50">
        <f>IF(DT13="","",COUNTIFS($D$25:$D$267,Parameters!$K$2,$E$25:$E$267,Parameters!$M$3,Calendrier!$C$25:$C$267,DT13)+ COUNTIFS($D$25:$D$267,Parameters!$K$3,$E$25:$E$267,Parameters!$M$3,Calendrier!$C$25:$C$267,DT13))</f>
        <v>0</v>
      </c>
      <c r="JL13" s="57">
        <f>IF(DU13="","",COUNTIFS($D$25:$D$267,Parameters!$K$2,$E$25:$E$267,Parameters!$M$3,Calendrier!$C$25:$C$267,DU13)+ COUNTIFS($D$25:$D$267,Parameters!$K$4,$E$25:$E$267,Parameters!$M$3,Calendrier!$C$25:$C$267,DU13))</f>
        <v>0</v>
      </c>
      <c r="JO13" s="49">
        <f>IF(DX13="","",COUNTIFS($D$25:$D$267,Parameters!$K$2,$E$25:$E$267,Parameters!$M$3,Calendrier!$C$25:$C$267,DX13)+ COUNTIFS($D$25:$D$267,Parameters!$K$3,$E$25:$E$267,Parameters!$M$3,Calendrier!$C$25:$C$267,DX13))</f>
        <v>0</v>
      </c>
      <c r="JP13" s="50">
        <f>IF(DY13="","",COUNTIFS($D$25:$D$267,Parameters!$K$2,$E$25:$E$267,Parameters!$M$3,Calendrier!$C$25:$C$267,DY13)+ COUNTIFS($D$25:$D$267,Parameters!$K$4,$E$25:$E$267,Parameters!$M$3,Calendrier!$C$25:$C$267,DY13))</f>
        <v>0</v>
      </c>
      <c r="JQ13" s="50">
        <f>IF(DZ13="","",COUNTIFS($D$25:$D$267,Parameters!$K$2,$E$25:$E$267,Parameters!$M$3,Calendrier!$C$25:$C$267,DZ13)+ COUNTIFS($D$25:$D$267,Parameters!$K$3,$E$25:$E$267,Parameters!$M$3,Calendrier!$C$25:$C$267,DZ13))</f>
        <v>0</v>
      </c>
      <c r="JR13" s="50">
        <f>IF(EA13="","",COUNTIFS($D$25:$D$267,Parameters!$K$2,$E$25:$E$267,Parameters!$M$3,Calendrier!$C$25:$C$267,EA13)+ COUNTIFS($D$25:$D$267,Parameters!$K$4,$E$25:$E$267,Parameters!$M$3,Calendrier!$C$25:$C$267,EA13))</f>
        <v>0</v>
      </c>
      <c r="JS13" s="50">
        <f>IF(EB13="","",COUNTIFS($D$25:$D$267,Parameters!$K$2,$E$25:$E$267,Parameters!$M$3,Calendrier!$C$25:$C$267,EB13)+ COUNTIFS($D$25:$D$267,Parameters!$K$3,$E$25:$E$267,Parameters!$M$3,Calendrier!$C$25:$C$267,EB13))</f>
        <v>0</v>
      </c>
      <c r="JT13" s="50">
        <f>IF(EC13="","",COUNTIFS($D$25:$D$267,Parameters!$K$2,$E$25:$E$267,Parameters!$M$3,Calendrier!$C$25:$C$267,EC13)+ COUNTIFS($D$25:$D$267,Parameters!$K$4,$E$25:$E$267,Parameters!$M$3,Calendrier!$C$25:$C$267,EC13))</f>
        <v>0</v>
      </c>
      <c r="JU13" s="50">
        <f>IF(ED13="","",COUNTIFS($D$25:$D$267,Parameters!$K$2,$E$25:$E$267,Parameters!$M$3,Calendrier!$C$25:$C$267,ED13)+ COUNTIFS($D$25:$D$267,Parameters!$K$3,$E$25:$E$267,Parameters!$M$3,Calendrier!$C$25:$C$267,ED13))</f>
        <v>0</v>
      </c>
      <c r="JV13" s="50">
        <f>IF(EE13="","",COUNTIFS($D$25:$D$267,Parameters!$K$2,$E$25:$E$267,Parameters!$M$3,Calendrier!$C$25:$C$267,EE13)+ COUNTIFS($D$25:$D$267,Parameters!$K$4,$E$25:$E$267,Parameters!$M$3,Calendrier!$C$25:$C$267,EE13))</f>
        <v>0</v>
      </c>
      <c r="JW13" s="50">
        <f>IF(EF13="","",COUNTIFS($D$25:$D$267,Parameters!$K$2,$E$25:$E$267,Parameters!$M$3,Calendrier!$C$25:$C$267,EF13)+ COUNTIFS($D$25:$D$267,Parameters!$K$3,$E$25:$E$267,Parameters!$M$3,Calendrier!$C$25:$C$267,EF13))</f>
        <v>0</v>
      </c>
      <c r="JX13" s="50">
        <f>IF(EG13="","",COUNTIFS($D$25:$D$267,Parameters!$K$2,$E$25:$E$267,Parameters!$M$3,Calendrier!$C$25:$C$267,EG13)+ COUNTIFS($D$25:$D$267,Parameters!$K$4,$E$25:$E$267,Parameters!$M$3,Calendrier!$C$25:$C$267,EG13))</f>
        <v>0</v>
      </c>
      <c r="JY13" s="50">
        <f>IF(EH13="","",COUNTIFS($D$25:$D$267,Parameters!$K$2,$E$25:$E$267,Parameters!$M$3,Calendrier!$C$25:$C$267,EH13)+ COUNTIFS($D$25:$D$267,Parameters!$K$3,$E$25:$E$267,Parameters!$M$3,Calendrier!$C$25:$C$267,EH13))</f>
        <v>0</v>
      </c>
      <c r="JZ13" s="50">
        <f>IF(EI13="","",COUNTIFS($D$25:$D$267,Parameters!$K$2,$E$25:$E$267,Parameters!$M$3,Calendrier!$C$25:$C$267,EI13)+ COUNTIFS($D$25:$D$267,Parameters!$K$4,$E$25:$E$267,Parameters!$M$3,Calendrier!$C$25:$C$267,EI13))</f>
        <v>0</v>
      </c>
      <c r="KA13" s="50">
        <f>IF(EJ13="","",COUNTIFS($D$25:$D$267,Parameters!$K$2,$E$25:$E$267,Parameters!$M$3,Calendrier!$C$25:$C$267,EJ13)+ COUNTIFS($D$25:$D$267,Parameters!$K$3,$E$25:$E$267,Parameters!$M$3,Calendrier!$C$25:$C$267,EJ13))</f>
        <v>0</v>
      </c>
      <c r="KB13" s="57">
        <f>IF(EK13="","",COUNTIFS($D$25:$D$267,Parameters!$K$2,$E$25:$E$267,Parameters!$M$3,Calendrier!$C$25:$C$267,EK13)+ COUNTIFS($D$25:$D$267,Parameters!$K$4,$E$25:$E$267,Parameters!$M$3,Calendrier!$C$25:$C$267,EK13))</f>
        <v>0</v>
      </c>
      <c r="KE13" s="49">
        <f>IF(EN13="","",COUNTIFS($D$25:$D$267,Parameters!$K$2,$E$25:$E$267,Parameters!$M$3,Calendrier!$C$25:$C$267,EN13)+ COUNTIFS($D$25:$D$267,Parameters!$K$3,$E$25:$E$267,Parameters!$M$3,Calendrier!$C$25:$C$267,EN13))</f>
        <v>0</v>
      </c>
      <c r="KF13" s="50">
        <f>IF(EO13="","",COUNTIFS($D$25:$D$267,Parameters!$K$2,$E$25:$E$267,Parameters!$M$3,Calendrier!$C$25:$C$267,EO13)+ COUNTIFS($D$25:$D$267,Parameters!$K$4,$E$25:$E$267,Parameters!$M$3,Calendrier!$C$25:$C$267,EO13))</f>
        <v>0</v>
      </c>
      <c r="KG13" s="50">
        <f>IF(EP13="","",COUNTIFS($D$25:$D$267,Parameters!$K$2,$E$25:$E$267,Parameters!$M$3,Calendrier!$C$25:$C$267,EP13)+ COUNTIFS($D$25:$D$267,Parameters!$K$3,$E$25:$E$267,Parameters!$M$3,Calendrier!$C$25:$C$267,EP13))</f>
        <v>0</v>
      </c>
      <c r="KH13" s="50">
        <f>IF(EQ13="","",COUNTIFS($D$25:$D$267,Parameters!$K$2,$E$25:$E$267,Parameters!$M$3,Calendrier!$C$25:$C$267,EQ13)+ COUNTIFS($D$25:$D$267,Parameters!$K$4,$E$25:$E$267,Parameters!$M$3,Calendrier!$C$25:$C$267,EQ13))</f>
        <v>0</v>
      </c>
      <c r="KI13" s="50">
        <f>IF(ER13="","",COUNTIFS($D$25:$D$267,Parameters!$K$2,$E$25:$E$267,Parameters!$M$3,Calendrier!$C$25:$C$267,ER13)+ COUNTIFS($D$25:$D$267,Parameters!$K$3,$E$25:$E$267,Parameters!$M$3,Calendrier!$C$25:$C$267,ER13))</f>
        <v>0</v>
      </c>
      <c r="KJ13" s="50">
        <f>IF(ES13="","",COUNTIFS($D$25:$D$267,Parameters!$K$2,$E$25:$E$267,Parameters!$M$3,Calendrier!$C$25:$C$267,ES13)+ COUNTIFS($D$25:$D$267,Parameters!$K$4,$E$25:$E$267,Parameters!$M$3,Calendrier!$C$25:$C$267,ES13))</f>
        <v>0</v>
      </c>
      <c r="KK13" s="50">
        <f>IF(ET13="","",COUNTIFS($D$25:$D$267,Parameters!$K$2,$E$25:$E$267,Parameters!$M$3,Calendrier!$C$25:$C$267,ET13)+ COUNTIFS($D$25:$D$267,Parameters!$K$3,$E$25:$E$267,Parameters!$M$3,Calendrier!$C$25:$C$267,ET13))</f>
        <v>0</v>
      </c>
      <c r="KL13" s="50">
        <f>IF(EU13="","",COUNTIFS($D$25:$D$267,Parameters!$K$2,$E$25:$E$267,Parameters!$M$3,Calendrier!$C$25:$C$267,EU13)+ COUNTIFS($D$25:$D$267,Parameters!$K$4,$E$25:$E$267,Parameters!$M$3,Calendrier!$C$25:$C$267,EU13))</f>
        <v>0</v>
      </c>
      <c r="KM13" s="50">
        <f>IF(EV13="","",COUNTIFS($D$25:$D$267,Parameters!$K$2,$E$25:$E$267,Parameters!$M$3,Calendrier!$C$25:$C$267,EV13)+ COUNTIFS($D$25:$D$267,Parameters!$K$3,$E$25:$E$267,Parameters!$M$3,Calendrier!$C$25:$C$267,EV13))</f>
        <v>0</v>
      </c>
      <c r="KN13" s="50">
        <f>IF(EW13="","",COUNTIFS($D$25:$D$267,Parameters!$K$2,$E$25:$E$267,Parameters!$M$3,Calendrier!$C$25:$C$267,EW13)+ COUNTIFS($D$25:$D$267,Parameters!$K$4,$E$25:$E$267,Parameters!$M$3,Calendrier!$C$25:$C$267,EW13))</f>
        <v>0</v>
      </c>
      <c r="KO13" s="50">
        <f>IF(EX13="","",COUNTIFS($D$25:$D$267,Parameters!$K$2,$E$25:$E$267,Parameters!$M$3,Calendrier!$C$25:$C$267,EX13)+ COUNTIFS($D$25:$D$267,Parameters!$K$3,$E$25:$E$267,Parameters!$M$3,Calendrier!$C$25:$C$267,EX13))</f>
        <v>0</v>
      </c>
      <c r="KP13" s="50">
        <f>IF(EY13="","",COUNTIFS($D$25:$D$267,Parameters!$K$2,$E$25:$E$267,Parameters!$M$3,Calendrier!$C$25:$C$267,EY13)+ COUNTIFS($D$25:$D$267,Parameters!$K$4,$E$25:$E$267,Parameters!$M$3,Calendrier!$C$25:$C$267,EY13))</f>
        <v>0</v>
      </c>
      <c r="KQ13" s="50">
        <f>IF(EZ13="","",COUNTIFS($D$25:$D$267,Parameters!$K$2,$E$25:$E$267,Parameters!$M$3,Calendrier!$C$25:$C$267,EZ13)+ COUNTIFS($D$25:$D$267,Parameters!$K$3,$E$25:$E$267,Parameters!$M$3,Calendrier!$C$25:$C$267,EZ13))</f>
        <v>0</v>
      </c>
      <c r="KR13" s="57">
        <f>IF(FA13="","",COUNTIFS($D$25:$D$267,Parameters!$K$2,$E$25:$E$267,Parameters!$M$3,Calendrier!$C$25:$C$267,FA13)+ COUNTIFS($D$25:$D$267,Parameters!$K$4,$E$25:$E$267,Parameters!$M$3,Calendrier!$C$25:$C$267,FA13))</f>
        <v>0</v>
      </c>
      <c r="KV13" s="49">
        <f>IF(DH13="","",COUNTIFS($D$25:$D$267,Parameters!$K$2,$E$25:$E$267,Parameters!$M$4,Calendrier!$C$25:$C$267,DH13)+ COUNTIFS($D$25:$D$267,Parameters!$K$3,$E$25:$E$267,Parameters!$M$4,Calendrier!$C$25:$C$267,DH13))</f>
        <v>0</v>
      </c>
      <c r="KW13" s="50">
        <f>IF(DI13="","",COUNTIFS($D$25:$D$267,Parameters!$K$2,$E$25:$E$267,Parameters!$M$4,Calendrier!$C$25:$C$267,DI13)+ COUNTIFS($D$25:$D$267,Parameters!$K$4,$E$25:$E$267,Parameters!$M$4,Calendrier!$C$25:$C$267,DI13))</f>
        <v>0</v>
      </c>
      <c r="KX13" s="50">
        <f>IF(DJ13="","",COUNTIFS($D$25:$D$267,Parameters!$K$2,$E$25:$E$267,Parameters!$M$4,Calendrier!$C$25:$C$267,DJ13)+ COUNTIFS($D$25:$D$267,Parameters!$K$3,$E$25:$E$267,Parameters!$M$4,Calendrier!$C$25:$C$267,DJ13))</f>
        <v>0</v>
      </c>
      <c r="KY13" s="50">
        <f>IF(DK13="","",COUNTIFS($D$25:$D$267,Parameters!$K$2,$E$25:$E$267,Parameters!$M$4,Calendrier!$C$25:$C$267,DK13)+ COUNTIFS($D$25:$D$267,Parameters!$K$4,$E$25:$E$267,Parameters!$M$4,Calendrier!$C$25:$C$267,DK13))</f>
        <v>0</v>
      </c>
      <c r="KZ13" s="50">
        <f>IF(DL13="","",COUNTIFS($D$25:$D$267,Parameters!$K$2,$E$25:$E$267,Parameters!$M$4,Calendrier!$C$25:$C$267,DL13)+ COUNTIFS($D$25:$D$267,Parameters!$K$3,$E$25:$E$267,Parameters!$M$4,Calendrier!$C$25:$C$267,DL13))</f>
        <v>0</v>
      </c>
      <c r="LA13" s="50">
        <f>IF(DM13="","",COUNTIFS($D$25:$D$267,Parameters!$K$2,$E$25:$E$267,Parameters!$M$4,Calendrier!$C$25:$C$267,DM13)+ COUNTIFS($D$25:$D$267,Parameters!$K$4,$E$25:$E$267,Parameters!$M$4,Calendrier!$C$25:$C$267,DM13))</f>
        <v>0</v>
      </c>
      <c r="LB13" s="50">
        <f>IF(DN13="","",COUNTIFS($D$25:$D$267,Parameters!$K$2,$E$25:$E$267,Parameters!$M$4,Calendrier!$C$25:$C$267,DN13)+ COUNTIFS($D$25:$D$267,Parameters!$K$3,$E$25:$E$267,Parameters!$M$4,Calendrier!$C$25:$C$267,DN13))</f>
        <v>0</v>
      </c>
      <c r="LC13" s="50">
        <f>IF(DO13="","",COUNTIFS($D$25:$D$267,Parameters!$K$2,$E$25:$E$267,Parameters!$M$4,Calendrier!$C$25:$C$267,DO13)+ COUNTIFS($D$25:$D$267,Parameters!$K$4,$E$25:$E$267,Parameters!$M$4,Calendrier!$C$25:$C$267,DO13))</f>
        <v>0</v>
      </c>
      <c r="LD13" s="50">
        <f>IF(DP13="","",COUNTIFS($D$25:$D$267,Parameters!$K$2,$E$25:$E$267,Parameters!$M$4,Calendrier!$C$25:$C$267,DP13)+ COUNTIFS($D$25:$D$267,Parameters!$K$3,$E$25:$E$267,Parameters!$M$4,Calendrier!$C$25:$C$267,DP13))</f>
        <v>0</v>
      </c>
      <c r="LE13" s="50">
        <f>IF(DQ13="","",COUNTIFS($D$25:$D$267,Parameters!$K$2,$E$25:$E$267,Parameters!$M$4,Calendrier!$C$25:$C$267,DQ13)+ COUNTIFS($D$25:$D$267,Parameters!$K$4,$E$25:$E$267,Parameters!$M$4,Calendrier!$C$25:$C$267,DQ13))</f>
        <v>0</v>
      </c>
      <c r="LF13" s="50">
        <f>IF(DR13="","",COUNTIFS($D$25:$D$267,Parameters!$K$2,$E$25:$E$267,Parameters!$M$4,Calendrier!$C$25:$C$267,DR13)+ COUNTIFS($D$25:$D$267,Parameters!$K$3,$E$25:$E$267,Parameters!$M$4,Calendrier!$C$25:$C$267,DR13))</f>
        <v>0</v>
      </c>
      <c r="LG13" s="50">
        <f>IF(DS13="","",COUNTIFS($D$25:$D$267,Parameters!$K$2,$E$25:$E$267,Parameters!$M$4,Calendrier!$C$25:$C$267,DS13)+ COUNTIFS($D$25:$D$267,Parameters!$K$4,$E$25:$E$267,Parameters!$M$4,Calendrier!$C$25:$C$267,DS13))</f>
        <v>0</v>
      </c>
      <c r="LH13" s="50">
        <f>IF(DT13="","",COUNTIFS($D$25:$D$267,Parameters!$K$2,$E$25:$E$267,Parameters!$M$4,Calendrier!$C$25:$C$267,DT13)+ COUNTIFS($D$25:$D$267,Parameters!$K$3,$E$25:$E$267,Parameters!$M$4,Calendrier!$C$25:$C$267,DT13))</f>
        <v>0</v>
      </c>
      <c r="LI13" s="57">
        <f>IF(DU13="","",COUNTIFS($D$25:$D$267,Parameters!$K$2,$E$25:$E$267,Parameters!$M$4,Calendrier!$C$25:$C$267,DU13)+ COUNTIFS($D$25:$D$267,Parameters!$K$4,$E$25:$E$267,Parameters!$M$4,Calendrier!$C$25:$C$267,DU13))</f>
        <v>0</v>
      </c>
      <c r="LL13" s="49">
        <f>IF(DX13="","",COUNTIFS($D$25:$D$267,Parameters!$K$2,$E$25:$E$267,Parameters!$M$4,Calendrier!$C$25:$C$267,DX13)+ COUNTIFS($D$25:$D$267,Parameters!$K$3,$E$25:$E$267,Parameters!$M$4,Calendrier!$C$25:$C$267,DX13))</f>
        <v>0</v>
      </c>
      <c r="LM13" s="50">
        <f>IF(DY13="","",COUNTIFS($D$25:$D$267,Parameters!$K$2,$E$25:$E$267,Parameters!$M$4,Calendrier!$C$25:$C$267,DY13)+ COUNTIFS($D$25:$D$267,Parameters!$K$4,$E$25:$E$267,Parameters!$M$4,Calendrier!$C$25:$C$267,DY13))</f>
        <v>0</v>
      </c>
      <c r="LN13" s="50">
        <f>IF(DZ13="","",COUNTIFS($D$25:$D$267,Parameters!$K$2,$E$25:$E$267,Parameters!$M$4,Calendrier!$C$25:$C$267,DZ13)+ COUNTIFS($D$25:$D$267,Parameters!$K$3,$E$25:$E$267,Parameters!$M$4,Calendrier!$C$25:$C$267,DZ13))</f>
        <v>0</v>
      </c>
      <c r="LO13" s="50">
        <f>IF(EA13="","",COUNTIFS($D$25:$D$267,Parameters!$K$2,$E$25:$E$267,Parameters!$M$4,Calendrier!$C$25:$C$267,EA13)+ COUNTIFS($D$25:$D$267,Parameters!$K$4,$E$25:$E$267,Parameters!$M$4,Calendrier!$C$25:$C$267,EA13))</f>
        <v>0</v>
      </c>
      <c r="LP13" s="50">
        <f>IF(EB13="","",COUNTIFS($D$25:$D$267,Parameters!$K$2,$E$25:$E$267,Parameters!$M$4,Calendrier!$C$25:$C$267,EB13)+ COUNTIFS($D$25:$D$267,Parameters!$K$3,$E$25:$E$267,Parameters!$M$4,Calendrier!$C$25:$C$267,EB13))</f>
        <v>0</v>
      </c>
      <c r="LQ13" s="50">
        <f>IF(EC13="","",COUNTIFS($D$25:$D$267,Parameters!$K$2,$E$25:$E$267,Parameters!$M$4,Calendrier!$C$25:$C$267,EC13)+ COUNTIFS($D$25:$D$267,Parameters!$K$4,$E$25:$E$267,Parameters!$M$4,Calendrier!$C$25:$C$267,EC13))</f>
        <v>0</v>
      </c>
      <c r="LR13" s="50">
        <f>IF(ED13="","",COUNTIFS($D$25:$D$267,Parameters!$K$2,$E$25:$E$267,Parameters!$M$4,Calendrier!$C$25:$C$267,ED13)+ COUNTIFS($D$25:$D$267,Parameters!$K$3,$E$25:$E$267,Parameters!$M$4,Calendrier!$C$25:$C$267,ED13))</f>
        <v>0</v>
      </c>
      <c r="LS13" s="50">
        <f>IF(EE13="","",COUNTIFS($D$25:$D$267,Parameters!$K$2,$E$25:$E$267,Parameters!$M$4,Calendrier!$C$25:$C$267,EE13)+ COUNTIFS($D$25:$D$267,Parameters!$K$4,$E$25:$E$267,Parameters!$M$4,Calendrier!$C$25:$C$267,EE13))</f>
        <v>0</v>
      </c>
      <c r="LT13" s="50">
        <f>IF(EF13="","",COUNTIFS($D$25:$D$267,Parameters!$K$2,$E$25:$E$267,Parameters!$M$4,Calendrier!$C$25:$C$267,EF13)+ COUNTIFS($D$25:$D$267,Parameters!$K$3,$E$25:$E$267,Parameters!$M$4,Calendrier!$C$25:$C$267,EF13))</f>
        <v>0</v>
      </c>
      <c r="LU13" s="50">
        <f>IF(EG13="","",COUNTIFS($D$25:$D$267,Parameters!$K$2,$E$25:$E$267,Parameters!$M$4,Calendrier!$C$25:$C$267,EG13)+ COUNTIFS($D$25:$D$267,Parameters!$K$4,$E$25:$E$267,Parameters!$M$4,Calendrier!$C$25:$C$267,EG13))</f>
        <v>0</v>
      </c>
      <c r="LV13" s="50">
        <f>IF(EH13="","",COUNTIFS($D$25:$D$267,Parameters!$K$2,$E$25:$E$267,Parameters!$M$4,Calendrier!$C$25:$C$267,EH13)+ COUNTIFS($D$25:$D$267,Parameters!$K$3,$E$25:$E$267,Parameters!$M$4,Calendrier!$C$25:$C$267,EH13))</f>
        <v>0</v>
      </c>
      <c r="LW13" s="50">
        <f>IF(EI13="","",COUNTIFS($D$25:$D$267,Parameters!$K$2,$E$25:$E$267,Parameters!$M$4,Calendrier!$C$25:$C$267,EI13)+ COUNTIFS($D$25:$D$267,Parameters!$K$4,$E$25:$E$267,Parameters!$M$4,Calendrier!$C$25:$C$267,EI13))</f>
        <v>0</v>
      </c>
      <c r="LX13" s="50">
        <f>IF(EJ13="","",COUNTIFS($D$25:$D$267,Parameters!$K$2,$E$25:$E$267,Parameters!$M$4,Calendrier!$C$25:$C$267,EJ13)+ COUNTIFS($D$25:$D$267,Parameters!$K$3,$E$25:$E$267,Parameters!$M$4,Calendrier!$C$25:$C$267,EJ13))</f>
        <v>0</v>
      </c>
      <c r="LY13" s="57">
        <f>IF(EK13="","",COUNTIFS($D$25:$D$267,Parameters!$K$2,$E$25:$E$267,Parameters!$M$4,Calendrier!$C$25:$C$267,EK13)+ COUNTIFS($D$25:$D$267,Parameters!$K$4,$E$25:$E$267,Parameters!$M$4,Calendrier!$C$25:$C$267,EK13))</f>
        <v>0</v>
      </c>
      <c r="MB13" s="49">
        <f>IF(EN13="","",COUNTIFS($D$25:$D$267,Parameters!$K$2,$E$25:$E$267,Parameters!$M$4,Calendrier!$C$25:$C$267,EN13)+ COUNTIFS($D$25:$D$267,Parameters!$K$3,$E$25:$E$267,Parameters!$M$4,Calendrier!$C$25:$C$267,EN13))</f>
        <v>0</v>
      </c>
      <c r="MC13" s="50">
        <f>IF(EO13="","",COUNTIFS($D$25:$D$267,Parameters!$K$2,$E$25:$E$267,Parameters!$M$4,Calendrier!$C$25:$C$267,EO13)+ COUNTIFS($D$25:$D$267,Parameters!$K$4,$E$25:$E$267,Parameters!$M$4,Calendrier!$C$25:$C$267,EO13))</f>
        <v>0</v>
      </c>
      <c r="MD13" s="50">
        <f>IF(EP13="","",COUNTIFS($D$25:$D$267,Parameters!$K$2,$E$25:$E$267,Parameters!$M$4,Calendrier!$C$25:$C$267,EP13)+ COUNTIFS($D$25:$D$267,Parameters!$K$3,$E$25:$E$267,Parameters!$M$4,Calendrier!$C$25:$C$267,EP13))</f>
        <v>0</v>
      </c>
      <c r="ME13" s="50">
        <f>IF(EQ13="","",COUNTIFS($D$25:$D$267,Parameters!$K$2,$E$25:$E$267,Parameters!$M$4,Calendrier!$C$25:$C$267,EQ13)+ COUNTIFS($D$25:$D$267,Parameters!$K$4,$E$25:$E$267,Parameters!$M$4,Calendrier!$C$25:$C$267,EQ13))</f>
        <v>0</v>
      </c>
      <c r="MF13" s="50">
        <f>IF(ER13="","",COUNTIFS($D$25:$D$267,Parameters!$K$2,$E$25:$E$267,Parameters!$M$4,Calendrier!$C$25:$C$267,ER13)+ COUNTIFS($D$25:$D$267,Parameters!$K$3,$E$25:$E$267,Parameters!$M$4,Calendrier!$C$25:$C$267,ER13))</f>
        <v>0</v>
      </c>
      <c r="MG13" s="50">
        <f>IF(ES13="","",COUNTIFS($D$25:$D$267,Parameters!$K$2,$E$25:$E$267,Parameters!$M$4,Calendrier!$C$25:$C$267,ES13)+ COUNTIFS($D$25:$D$267,Parameters!$K$4,$E$25:$E$267,Parameters!$M$4,Calendrier!$C$25:$C$267,ES13))</f>
        <v>0</v>
      </c>
      <c r="MH13" s="50">
        <f>IF(ET13="","",COUNTIFS($D$25:$D$267,Parameters!$K$2,$E$25:$E$267,Parameters!$M$4,Calendrier!$C$25:$C$267,ET13)+ COUNTIFS($D$25:$D$267,Parameters!$K$3,$E$25:$E$267,Parameters!$M$4,Calendrier!$C$25:$C$267,ET13))</f>
        <v>0</v>
      </c>
      <c r="MI13" s="50">
        <f>IF(EU13="","",COUNTIFS($D$25:$D$267,Parameters!$K$2,$E$25:$E$267,Parameters!$M$4,Calendrier!$C$25:$C$267,EU13)+ COUNTIFS($D$25:$D$267,Parameters!$K$4,$E$25:$E$267,Parameters!$M$4,Calendrier!$C$25:$C$267,EU13))</f>
        <v>0</v>
      </c>
      <c r="MJ13" s="50">
        <f>IF(EV13="","",COUNTIFS($D$25:$D$267,Parameters!$K$2,$E$25:$E$267,Parameters!$M$4,Calendrier!$C$25:$C$267,EV13)+ COUNTIFS($D$25:$D$267,Parameters!$K$3,$E$25:$E$267,Parameters!$M$4,Calendrier!$C$25:$C$267,EV13))</f>
        <v>0</v>
      </c>
      <c r="MK13" s="50">
        <f>IF(EW13="","",COUNTIFS($D$25:$D$267,Parameters!$K$2,$E$25:$E$267,Parameters!$M$4,Calendrier!$C$25:$C$267,EW13)+ COUNTIFS($D$25:$D$267,Parameters!$K$4,$E$25:$E$267,Parameters!$M$4,Calendrier!$C$25:$C$267,EW13))</f>
        <v>0</v>
      </c>
      <c r="ML13" s="50">
        <f>IF(EX13="","",COUNTIFS($D$25:$D$267,Parameters!$K$2,$E$25:$E$267,Parameters!$M$4,Calendrier!$C$25:$C$267,EX13)+ COUNTIFS($D$25:$D$267,Parameters!$K$3,$E$25:$E$267,Parameters!$M$4,Calendrier!$C$25:$C$267,EX13))</f>
        <v>0</v>
      </c>
      <c r="MM13" s="50">
        <f>IF(EY13="","",COUNTIFS($D$25:$D$267,Parameters!$K$2,$E$25:$E$267,Parameters!$M$4,Calendrier!$C$25:$C$267,EY13)+ COUNTIFS($D$25:$D$267,Parameters!$K$4,$E$25:$E$267,Parameters!$M$4,Calendrier!$C$25:$C$267,EY13))</f>
        <v>0</v>
      </c>
      <c r="MN13" s="50">
        <f>IF(EZ13="","",COUNTIFS($D$25:$D$267,Parameters!$K$2,$E$25:$E$267,Parameters!$M$4,Calendrier!$C$25:$C$267,EZ13)+ COUNTIFS($D$25:$D$267,Parameters!$K$3,$E$25:$E$267,Parameters!$M$4,Calendrier!$C$25:$C$267,EZ13))</f>
        <v>0</v>
      </c>
      <c r="MO13" s="57">
        <f>IF(FA13="","",COUNTIFS($D$25:$D$267,Parameters!$K$2,$E$25:$E$267,Parameters!$M$4,Calendrier!$C$25:$C$267,FA13)+ COUNTIFS($D$25:$D$267,Parameters!$K$4,$E$25:$E$267,Parameters!$M$4,Calendrier!$C$25:$C$267,FA13))</f>
        <v>0</v>
      </c>
      <c r="MS13" s="49">
        <f>IF(DH13="","",COUNTIFS($D$25:$D$267,Parameters!$K$2,$E$25:$E$267,Parameters!$M$5,Calendrier!$C$25:$C$267,DH13)+ COUNTIFS($D$25:$D$267,Parameters!$K$3,$E$25:$E$267,Parameters!$M$5,Calendrier!$C$25:$C$267,DH13))</f>
        <v>0</v>
      </c>
      <c r="MT13" s="50">
        <f>IF(DI13="","",COUNTIFS($D$25:$D$267,Parameters!$K$2,$E$25:$E$267,Parameters!$M$5,Calendrier!$C$25:$C$267,DI13)+ COUNTIFS($D$25:$D$267,Parameters!$K$4,$E$25:$E$267,Parameters!$M$5,Calendrier!$C$25:$C$267,DI13))</f>
        <v>0</v>
      </c>
      <c r="MU13" s="50">
        <f>IF(DJ13="","",COUNTIFS($D$25:$D$267,Parameters!$K$2,$E$25:$E$267,Parameters!$M$5,Calendrier!$C$25:$C$267,DJ13)+ COUNTIFS($D$25:$D$267,Parameters!$K$3,$E$25:$E$267,Parameters!$M$5,Calendrier!$C$25:$C$267,DJ13))</f>
        <v>0</v>
      </c>
      <c r="MV13" s="50">
        <f>IF(DK13="","",COUNTIFS($D$25:$D$267,Parameters!$K$2,$E$25:$E$267,Parameters!$M$5,Calendrier!$C$25:$C$267,DK13)+ COUNTIFS($D$25:$D$267,Parameters!$K$4,$E$25:$E$267,Parameters!$M$5,Calendrier!$C$25:$C$267,DK13))</f>
        <v>0</v>
      </c>
      <c r="MW13" s="50">
        <f>IF(DL13="","",COUNTIFS($D$25:$D$267,Parameters!$K$2,$E$25:$E$267,Parameters!$M$5,Calendrier!$C$25:$C$267,DL13)+ COUNTIFS($D$25:$D$267,Parameters!$K$3,$E$25:$E$267,Parameters!$M$5,Calendrier!$C$25:$C$267,DL13))</f>
        <v>0</v>
      </c>
      <c r="MX13" s="50">
        <f>IF(DM13="","",COUNTIFS($D$25:$D$267,Parameters!$K$2,$E$25:$E$267,Parameters!$M$5,Calendrier!$C$25:$C$267,DM13)+ COUNTIFS($D$25:$D$267,Parameters!$K$4,$E$25:$E$267,Parameters!$M$5,Calendrier!$C$25:$C$267,DM13))</f>
        <v>0</v>
      </c>
      <c r="MY13" s="50">
        <f>IF(DN13="","",COUNTIFS($D$25:$D$267,Parameters!$K$2,$E$25:$E$267,Parameters!$M$5,Calendrier!$C$25:$C$267,DN13)+ COUNTIFS($D$25:$D$267,Parameters!$K$3,$E$25:$E$267,Parameters!$M$5,Calendrier!$C$25:$C$267,DN13))</f>
        <v>0</v>
      </c>
      <c r="MZ13" s="50">
        <f>IF(DO13="","",COUNTIFS($D$25:$D$267,Parameters!$K$2,$E$25:$E$267,Parameters!$M$5,Calendrier!$C$25:$C$267,DO13)+ COUNTIFS($D$25:$D$267,Parameters!$K$4,$E$25:$E$267,Parameters!$M$5,Calendrier!$C$25:$C$267,DO13))</f>
        <v>0</v>
      </c>
      <c r="NA13" s="50">
        <f>IF(DP13="","",COUNTIFS($D$25:$D$267,Parameters!$K$2,$E$25:$E$267,Parameters!$M$5,Calendrier!$C$25:$C$267,DP13)+ COUNTIFS($D$25:$D$267,Parameters!$K$3,$E$25:$E$267,Parameters!$M$5,Calendrier!$C$25:$C$267,DP13))</f>
        <v>0</v>
      </c>
      <c r="NB13" s="50">
        <f>IF(DQ13="","",COUNTIFS($D$25:$D$267,Parameters!$K$2,$E$25:$E$267,Parameters!$M$5,Calendrier!$C$25:$C$267,DQ13)+ COUNTIFS($D$25:$D$267,Parameters!$K$4,$E$25:$E$267,Parameters!$M$5,Calendrier!$C$25:$C$267,DQ13))</f>
        <v>0</v>
      </c>
      <c r="NC13" s="50">
        <f>IF(DR13="","",COUNTIFS($D$25:$D$267,Parameters!$K$2,$E$25:$E$267,Parameters!$M$5,Calendrier!$C$25:$C$267,DR13)+ COUNTIFS($D$25:$D$267,Parameters!$K$3,$E$25:$E$267,Parameters!$M$5,Calendrier!$C$25:$C$267,DR13))</f>
        <v>0</v>
      </c>
      <c r="ND13" s="50">
        <f>IF(DS13="","",COUNTIFS($D$25:$D$267,Parameters!$K$2,$E$25:$E$267,Parameters!$M$5,Calendrier!$C$25:$C$267,DS13)+ COUNTIFS($D$25:$D$267,Parameters!$K$4,$E$25:$E$267,Parameters!$M$5,Calendrier!$C$25:$C$267,DS13))</f>
        <v>0</v>
      </c>
      <c r="NE13" s="50">
        <f>IF(DT13="","",COUNTIFS($D$25:$D$267,Parameters!$K$2,$E$25:$E$267,Parameters!$M$5,Calendrier!$C$25:$C$267,DT13)+ COUNTIFS($D$25:$D$267,Parameters!$K$3,$E$25:$E$267,Parameters!$M$5,Calendrier!$C$25:$C$267,DT13))</f>
        <v>0</v>
      </c>
      <c r="NF13" s="57">
        <f>IF(DU13="","",COUNTIFS($D$25:$D$267,Parameters!$K$2,$E$25:$E$267,Parameters!$M$5,Calendrier!$C$25:$C$267,DU13)+ COUNTIFS($D$25:$D$267,Parameters!$K$4,$E$25:$E$267,Parameters!$M$5,Calendrier!$C$25:$C$267,DU13))</f>
        <v>0</v>
      </c>
      <c r="NI13" s="49">
        <f>IF(DX13="","",COUNTIFS($D$25:$D$267,Parameters!$K$2,$E$25:$E$267,Parameters!$M$5,Calendrier!$C$25:$C$267,DX13)+ COUNTIFS($D$25:$D$267,Parameters!$K$3,$E$25:$E$267,Parameters!$M$5,Calendrier!$C$25:$C$267,DX13))</f>
        <v>0</v>
      </c>
      <c r="NJ13" s="50">
        <f>IF(DY13="","",COUNTIFS($D$25:$D$267,Parameters!$K$2,$E$25:$E$267,Parameters!$M$5,Calendrier!$C$25:$C$267,DY13)+ COUNTIFS($D$25:$D$267,Parameters!$K$4,$E$25:$E$267,Parameters!$M$5,Calendrier!$C$25:$C$267,DY13))</f>
        <v>0</v>
      </c>
      <c r="NK13" s="50">
        <f>IF(DZ13="","",COUNTIFS($D$25:$D$267,Parameters!$K$2,$E$25:$E$267,Parameters!$M$5,Calendrier!$C$25:$C$267,DZ13)+ COUNTIFS($D$25:$D$267,Parameters!$K$3,$E$25:$E$267,Parameters!$M$5,Calendrier!$C$25:$C$267,DZ13))</f>
        <v>0</v>
      </c>
      <c r="NL13" s="50">
        <f>IF(EA13="","",COUNTIFS($D$25:$D$267,Parameters!$K$2,$E$25:$E$267,Parameters!$M$5,Calendrier!$C$25:$C$267,EA13)+ COUNTIFS($D$25:$D$267,Parameters!$K$4,$E$25:$E$267,Parameters!$M$5,Calendrier!$C$25:$C$267,EA13))</f>
        <v>0</v>
      </c>
      <c r="NM13" s="50">
        <f>IF(EB13="","",COUNTIFS($D$25:$D$267,Parameters!$K$2,$E$25:$E$267,Parameters!$M$5,Calendrier!$C$25:$C$267,EB13)+ COUNTIFS($D$25:$D$267,Parameters!$K$3,$E$25:$E$267,Parameters!$M$5,Calendrier!$C$25:$C$267,EB13))</f>
        <v>0</v>
      </c>
      <c r="NN13" s="50">
        <f>IF(EC13="","",COUNTIFS($D$25:$D$267,Parameters!$K$2,$E$25:$E$267,Parameters!$M$5,Calendrier!$C$25:$C$267,EC13)+ COUNTIFS($D$25:$D$267,Parameters!$K$4,$E$25:$E$267,Parameters!$M$5,Calendrier!$C$25:$C$267,EC13))</f>
        <v>0</v>
      </c>
      <c r="NO13" s="50">
        <f>IF(ED13="","",COUNTIFS($D$25:$D$267,Parameters!$K$2,$E$25:$E$267,Parameters!$M$5,Calendrier!$C$25:$C$267,ED13)+ COUNTIFS($D$25:$D$267,Parameters!$K$3,$E$25:$E$267,Parameters!$M$5,Calendrier!$C$25:$C$267,ED13))</f>
        <v>0</v>
      </c>
      <c r="NP13" s="50">
        <f>IF(EE13="","",COUNTIFS($D$25:$D$267,Parameters!$K$2,$E$25:$E$267,Parameters!$M$5,Calendrier!$C$25:$C$267,EE13)+ COUNTIFS($D$25:$D$267,Parameters!$K$4,$E$25:$E$267,Parameters!$M$5,Calendrier!$C$25:$C$267,EE13))</f>
        <v>0</v>
      </c>
      <c r="NQ13" s="50">
        <f>IF(EF13="","",COUNTIFS($D$25:$D$267,Parameters!$K$2,$E$25:$E$267,Parameters!$M$5,Calendrier!$C$25:$C$267,EF13)+ COUNTIFS($D$25:$D$267,Parameters!$K$3,$E$25:$E$267,Parameters!$M$5,Calendrier!$C$25:$C$267,EF13))</f>
        <v>0</v>
      </c>
      <c r="NR13" s="50">
        <f>IF(EG13="","",COUNTIFS($D$25:$D$267,Parameters!$K$2,$E$25:$E$267,Parameters!$M$5,Calendrier!$C$25:$C$267,EG13)+ COUNTIFS($D$25:$D$267,Parameters!$K$4,$E$25:$E$267,Parameters!$M$5,Calendrier!$C$25:$C$267,EG13))</f>
        <v>0</v>
      </c>
      <c r="NS13" s="50">
        <f>IF(EH13="","",COUNTIFS($D$25:$D$267,Parameters!$K$2,$E$25:$E$267,Parameters!$M$5,Calendrier!$C$25:$C$267,EH13)+ COUNTIFS($D$25:$D$267,Parameters!$K$3,$E$25:$E$267,Parameters!$M$5,Calendrier!$C$25:$C$267,EH13))</f>
        <v>0</v>
      </c>
      <c r="NT13" s="50">
        <f>IF(EI13="","",COUNTIFS($D$25:$D$267,Parameters!$K$2,$E$25:$E$267,Parameters!$M$5,Calendrier!$C$25:$C$267,EI13)+ COUNTIFS($D$25:$D$267,Parameters!$K$4,$E$25:$E$267,Parameters!$M$5,Calendrier!$C$25:$C$267,EI13))</f>
        <v>0</v>
      </c>
      <c r="NU13" s="50">
        <f>IF(EJ13="","",COUNTIFS($D$25:$D$267,Parameters!$K$2,$E$25:$E$267,Parameters!$M$5,Calendrier!$C$25:$C$267,EJ13)+ COUNTIFS($D$25:$D$267,Parameters!$K$3,$E$25:$E$267,Parameters!$M$5,Calendrier!$C$25:$C$267,EJ13))</f>
        <v>0</v>
      </c>
      <c r="NV13" s="57">
        <f>IF(EK13="","",COUNTIFS($D$25:$D$267,Parameters!$K$2,$E$25:$E$267,Parameters!$M$5,Calendrier!$C$25:$C$267,EK13)+ COUNTIFS($D$25:$D$267,Parameters!$K$4,$E$25:$E$267,Parameters!$M$5,Calendrier!$C$25:$C$267,EK13))</f>
        <v>0</v>
      </c>
      <c r="NY13" s="49">
        <f>IF(EN13="","",COUNTIFS($D$25:$D$267,Parameters!$K$2,$E$25:$E$267,Parameters!$M$5,Calendrier!$C$25:$C$267,EN13)+ COUNTIFS($D$25:$D$267,Parameters!$K$3,$E$25:$E$267,Parameters!$M$5,Calendrier!$C$25:$C$267,EN13))</f>
        <v>0</v>
      </c>
      <c r="NZ13" s="50">
        <f>IF(EO13="","",COUNTIFS($D$25:$D$267,Parameters!$K$2,$E$25:$E$267,Parameters!$M$5,Calendrier!$C$25:$C$267,EO13)+ COUNTIFS($D$25:$D$267,Parameters!$K$4,$E$25:$E$267,Parameters!$M$5,Calendrier!$C$25:$C$267,EO13))</f>
        <v>0</v>
      </c>
      <c r="OA13" s="50">
        <f>IF(EP13="","",COUNTIFS($D$25:$D$267,Parameters!$K$2,$E$25:$E$267,Parameters!$M$5,Calendrier!$C$25:$C$267,EP13)+ COUNTIFS($D$25:$D$267,Parameters!$K$3,$E$25:$E$267,Parameters!$M$5,Calendrier!$C$25:$C$267,EP13))</f>
        <v>0</v>
      </c>
      <c r="OB13" s="50">
        <f>IF(EQ13="","",COUNTIFS($D$25:$D$267,Parameters!$K$2,$E$25:$E$267,Parameters!$M$5,Calendrier!$C$25:$C$267,EQ13)+ COUNTIFS($D$25:$D$267,Parameters!$K$4,$E$25:$E$267,Parameters!$M$5,Calendrier!$C$25:$C$267,EQ13))</f>
        <v>0</v>
      </c>
      <c r="OC13" s="50">
        <f>IF(ER13="","",COUNTIFS($D$25:$D$267,Parameters!$K$2,$E$25:$E$267,Parameters!$M$5,Calendrier!$C$25:$C$267,ER13)+ COUNTIFS($D$25:$D$267,Parameters!$K$3,$E$25:$E$267,Parameters!$M$5,Calendrier!$C$25:$C$267,ER13))</f>
        <v>0</v>
      </c>
      <c r="OD13" s="50">
        <f>IF(ES13="","",COUNTIFS($D$25:$D$267,Parameters!$K$2,$E$25:$E$267,Parameters!$M$5,Calendrier!$C$25:$C$267,ES13)+ COUNTIFS($D$25:$D$267,Parameters!$K$4,$E$25:$E$267,Parameters!$M$5,Calendrier!$C$25:$C$267,ES13))</f>
        <v>0</v>
      </c>
      <c r="OE13" s="50">
        <f>IF(ET13="","",COUNTIFS($D$25:$D$267,Parameters!$K$2,$E$25:$E$267,Parameters!$M$5,Calendrier!$C$25:$C$267,ET13)+ COUNTIFS($D$25:$D$267,Parameters!$K$3,$E$25:$E$267,Parameters!$M$5,Calendrier!$C$25:$C$267,ET13))</f>
        <v>0</v>
      </c>
      <c r="OF13" s="50">
        <f>IF(EU13="","",COUNTIFS($D$25:$D$267,Parameters!$K$2,$E$25:$E$267,Parameters!$M$5,Calendrier!$C$25:$C$267,EU13)+ COUNTIFS($D$25:$D$267,Parameters!$K$4,$E$25:$E$267,Parameters!$M$5,Calendrier!$C$25:$C$267,EU13))</f>
        <v>0</v>
      </c>
      <c r="OG13" s="50">
        <f>IF(EV13="","",COUNTIFS($D$25:$D$267,Parameters!$K$2,$E$25:$E$267,Parameters!$M$5,Calendrier!$C$25:$C$267,EV13)+ COUNTIFS($D$25:$D$267,Parameters!$K$3,$E$25:$E$267,Parameters!$M$5,Calendrier!$C$25:$C$267,EV13))</f>
        <v>0</v>
      </c>
      <c r="OH13" s="50">
        <f>IF(EW13="","",COUNTIFS($D$25:$D$267,Parameters!$K$2,$E$25:$E$267,Parameters!$M$5,Calendrier!$C$25:$C$267,EW13)+ COUNTIFS($D$25:$D$267,Parameters!$K$4,$E$25:$E$267,Parameters!$M$5,Calendrier!$C$25:$C$267,EW13))</f>
        <v>0</v>
      </c>
      <c r="OI13" s="50">
        <f>IF(EX13="","",COUNTIFS($D$25:$D$267,Parameters!$K$2,$E$25:$E$267,Parameters!$M$5,Calendrier!$C$25:$C$267,EX13)+ COUNTIFS($D$25:$D$267,Parameters!$K$3,$E$25:$E$267,Parameters!$M$5,Calendrier!$C$25:$C$267,EX13))</f>
        <v>0</v>
      </c>
      <c r="OJ13" s="50">
        <f>IF(EY13="","",COUNTIFS($D$25:$D$267,Parameters!$K$2,$E$25:$E$267,Parameters!$M$5,Calendrier!$C$25:$C$267,EY13)+ COUNTIFS($D$25:$D$267,Parameters!$K$4,$E$25:$E$267,Parameters!$M$5,Calendrier!$C$25:$C$267,EY13))</f>
        <v>0</v>
      </c>
      <c r="OK13" s="50">
        <f>IF(EZ13="","",COUNTIFS($D$25:$D$267,Parameters!$K$2,$E$25:$E$267,Parameters!$M$5,Calendrier!$C$25:$C$267,EZ13)+ COUNTIFS($D$25:$D$267,Parameters!$K$3,$E$25:$E$267,Parameters!$M$5,Calendrier!$C$25:$C$267,EZ13))</f>
        <v>0</v>
      </c>
      <c r="OL13" s="57">
        <f>IF(FA13="","",COUNTIFS($D$25:$D$267,Parameters!$K$2,$E$25:$E$267,Parameters!$M$5,Calendrier!$C$25:$C$267,FA13)+ COUNTIFS($D$25:$D$267,Parameters!$K$4,$E$25:$E$267,Parameters!$M$5,Calendrier!$C$25:$C$267,FA13))</f>
        <v>0</v>
      </c>
      <c r="OP13" s="49">
        <f>IF(DH13="","",COUNTIFS(Parameters!$Y:$Y,$BF$4,Parameters!$X:$X,DH13))</f>
        <v>0</v>
      </c>
      <c r="OQ13" s="50">
        <f>IF(DI13="","",COUNTIFS(Parameters!$Y:$Y,$BF$4,Parameters!$X:$X,DI13))</f>
        <v>0</v>
      </c>
      <c r="OR13" s="50">
        <f>IF(DJ13="","",COUNTIFS(Parameters!$Y:$Y,$BF$4,Parameters!$X:$X,DJ13))</f>
        <v>0</v>
      </c>
      <c r="OS13" s="50">
        <f>IF(DK13="","",COUNTIFS(Parameters!$Y:$Y,$BF$4,Parameters!$X:$X,DK13))</f>
        <v>0</v>
      </c>
      <c r="OT13" s="50">
        <f>IF(DL13="","",COUNTIFS(Parameters!$Y:$Y,$BF$4,Parameters!$X:$X,DL13))</f>
        <v>0</v>
      </c>
      <c r="OU13" s="50">
        <f>IF(DM13="","",COUNTIFS(Parameters!$Y:$Y,$BF$4,Parameters!$X:$X,DM13))</f>
        <v>0</v>
      </c>
      <c r="OV13" s="50">
        <f>IF(DN13="","",COUNTIFS(Parameters!$Y:$Y,$BF$4,Parameters!$X:$X,DN13))</f>
        <v>0</v>
      </c>
      <c r="OW13" s="50">
        <f>IF(DO13="","",COUNTIFS(Parameters!$Y:$Y,$BF$4,Parameters!$X:$X,DO13))</f>
        <v>0</v>
      </c>
      <c r="OX13" s="50">
        <f>IF(DP13="","",COUNTIFS(Parameters!$Y:$Y,$BF$4,Parameters!$X:$X,DP13))</f>
        <v>0</v>
      </c>
      <c r="OY13" s="50">
        <f>IF(DQ13="","",COUNTIFS(Parameters!$Y:$Y,$BF$4,Parameters!$X:$X,DQ13))</f>
        <v>0</v>
      </c>
      <c r="OZ13" s="50">
        <f>IF(DR13="","",COUNTIFS(Parameters!$Y:$Y,$BF$4,Parameters!$X:$X,DR13))</f>
        <v>0</v>
      </c>
      <c r="PA13" s="50">
        <f>IF(DS13="","",COUNTIFS(Parameters!$Y:$Y,$BF$4,Parameters!$X:$X,DS13))</f>
        <v>0</v>
      </c>
      <c r="PB13" s="50">
        <f>IF(DT13="","",COUNTIFS(Parameters!$Y:$Y,$BF$4,Parameters!$X:$X,DT13))</f>
        <v>0</v>
      </c>
      <c r="PC13" s="57">
        <f>IF(DU13="","",COUNTIFS(Parameters!$Y:$Y,$BF$4,Parameters!$X:$X,DU13))</f>
        <v>0</v>
      </c>
      <c r="PF13" s="49">
        <f>IF(DX13="","",COUNTIFS(Parameters!$Y:$Y,$BF$4,Parameters!$X:$X,DX13))</f>
        <v>0</v>
      </c>
      <c r="PG13" s="50">
        <f>IF(DY13="","",COUNTIFS(Parameters!$Y:$Y,$BF$4,Parameters!$X:$X,DY13))</f>
        <v>0</v>
      </c>
      <c r="PH13" s="50">
        <f>IF(DZ13="","",COUNTIFS(Parameters!$Y:$Y,$BF$4,Parameters!$X:$X,DZ13))</f>
        <v>0</v>
      </c>
      <c r="PI13" s="50">
        <f>IF(EA13="","",COUNTIFS(Parameters!$Y:$Y,$BF$4,Parameters!$X:$X,EA13))</f>
        <v>0</v>
      </c>
      <c r="PJ13" s="50">
        <f>IF(EB13="","",COUNTIFS(Parameters!$Y:$Y,$BF$4,Parameters!$X:$X,EB13))</f>
        <v>0</v>
      </c>
      <c r="PK13" s="50">
        <f>IF(EC13="","",COUNTIFS(Parameters!$Y:$Y,$BF$4,Parameters!$X:$X,EC13))</f>
        <v>0</v>
      </c>
      <c r="PL13" s="50">
        <f>IF(ED13="","",COUNTIFS(Parameters!$Y:$Y,$BF$4,Parameters!$X:$X,ED13))</f>
        <v>0</v>
      </c>
      <c r="PM13" s="50">
        <f>IF(EE13="","",COUNTIFS(Parameters!$Y:$Y,$BF$4,Parameters!$X:$X,EE13))</f>
        <v>0</v>
      </c>
      <c r="PN13" s="50">
        <f>IF(EF13="","",COUNTIFS(Parameters!$Y:$Y,$BF$4,Parameters!$X:$X,EF13))</f>
        <v>0</v>
      </c>
      <c r="PO13" s="50">
        <f>IF(EG13="","",COUNTIFS(Parameters!$Y:$Y,$BF$4,Parameters!$X:$X,EG13))</f>
        <v>0</v>
      </c>
      <c r="PP13" s="50">
        <f>IF(EH13="","",COUNTIFS(Parameters!$Y:$Y,$BF$4,Parameters!$X:$X,EH13))</f>
        <v>0</v>
      </c>
      <c r="PQ13" s="50">
        <f>IF(EI13="","",COUNTIFS(Parameters!$Y:$Y,$BF$4,Parameters!$X:$X,EI13))</f>
        <v>0</v>
      </c>
      <c r="PR13" s="50">
        <f>IF(EJ13="","",COUNTIFS(Parameters!$Y:$Y,$BF$4,Parameters!$X:$X,EJ13))</f>
        <v>0</v>
      </c>
      <c r="PS13" s="57">
        <f>IF(EK13="","",COUNTIFS(Parameters!$Y:$Y,$BF$4,Parameters!$X:$X,EK13))</f>
        <v>0</v>
      </c>
      <c r="PV13" s="49">
        <f>IF(EN13="","",COUNTIFS(Parameters!$Y:$Y,$BF$4,Parameters!$X:$X,EN13))</f>
        <v>0</v>
      </c>
      <c r="PW13" s="50">
        <f>IF(EO13="","",COUNTIFS(Parameters!$Y:$Y,$BF$4,Parameters!$X:$X,EO13))</f>
        <v>0</v>
      </c>
      <c r="PX13" s="50">
        <f>IF(EP13="","",COUNTIFS(Parameters!$Y:$Y,$BF$4,Parameters!$X:$X,EP13))</f>
        <v>0</v>
      </c>
      <c r="PY13" s="50">
        <f>IF(EQ13="","",COUNTIFS(Parameters!$Y:$Y,$BF$4,Parameters!$X:$X,EQ13))</f>
        <v>0</v>
      </c>
      <c r="PZ13" s="50">
        <f>IF(ER13="","",COUNTIFS(Parameters!$Y:$Y,$BF$4,Parameters!$X:$X,ER13))</f>
        <v>0</v>
      </c>
      <c r="QA13" s="50">
        <f>IF(ES13="","",COUNTIFS(Parameters!$Y:$Y,$BF$4,Parameters!$X:$X,ES13))</f>
        <v>0</v>
      </c>
      <c r="QB13" s="50">
        <f>IF(ET13="","",COUNTIFS(Parameters!$Y:$Y,$BF$4,Parameters!$X:$X,ET13))</f>
        <v>0</v>
      </c>
      <c r="QC13" s="50">
        <f>IF(EU13="","",COUNTIFS(Parameters!$Y:$Y,$BF$4,Parameters!$X:$X,EU13))</f>
        <v>0</v>
      </c>
      <c r="QD13" s="50">
        <f>IF(EV13="","",COUNTIFS(Parameters!$Y:$Y,$BF$4,Parameters!$X:$X,EV13))</f>
        <v>0</v>
      </c>
      <c r="QE13" s="50">
        <f>IF(EW13="","",COUNTIFS(Parameters!$Y:$Y,$BF$4,Parameters!$X:$X,EW13))</f>
        <v>0</v>
      </c>
      <c r="QF13" s="50">
        <f>IF(EX13="","",COUNTIFS(Parameters!$Y:$Y,$BF$4,Parameters!$X:$X,EX13))</f>
        <v>0</v>
      </c>
      <c r="QG13" s="50">
        <f>IF(EY13="","",COUNTIFS(Parameters!$Y:$Y,$BF$4,Parameters!$X:$X,EY13))</f>
        <v>0</v>
      </c>
      <c r="QH13" s="50">
        <f>IF(EZ13="","",COUNTIFS(Parameters!$Y:$Y,$BF$4,Parameters!$X:$X,EZ13))</f>
        <v>0</v>
      </c>
      <c r="QI13" s="57">
        <f>IF(FA13="","",COUNTIFS(Parameters!$Y:$Y,$BF$4,Parameters!$X:$X,FA13))</f>
        <v>0</v>
      </c>
      <c r="QN13" s="49">
        <f>IF(DH13="","",COUNTIFS($D$25:$D$267,Parameters!$K$2,$E$25:$E$267,Parameters!$M$6,Calendrier!$C$25:$C$267,DH13)+ COUNTIFS($D$25:$D$267,Parameters!$K$3,$E$25:$E$267,Parameters!$M$6,Calendrier!$C$25:$C$267,DH13))</f>
        <v>0</v>
      </c>
      <c r="QO13" s="50">
        <f>IF(DI13="","",COUNTIFS($D$25:$D$267,Parameters!$K$2,$E$25:$E$267,Parameters!$M$6,Calendrier!$C$25:$C$267,DI13)+ COUNTIFS($D$25:$D$267,Parameters!$K$4,$E$25:$E$267,Parameters!$M$6,Calendrier!$C$25:$C$267,DI13))</f>
        <v>0</v>
      </c>
      <c r="QP13" s="50">
        <f>IF(DJ13="","",COUNTIFS($D$25:$D$267,Parameters!$K$2,$E$25:$E$267,Parameters!$M$6,Calendrier!$C$25:$C$267,DJ13)+ COUNTIFS($D$25:$D$267,Parameters!$K$3,$E$25:$E$267,Parameters!$M$6,Calendrier!$C$25:$C$267,DJ13))</f>
        <v>0</v>
      </c>
      <c r="QQ13" s="50">
        <f>IF(DK13="","",COUNTIFS($D$25:$D$267,Parameters!$K$2,$E$25:$E$267,Parameters!$M$6,Calendrier!$C$25:$C$267,DK13)+ COUNTIFS($D$25:$D$267,Parameters!$K$4,$E$25:$E$267,Parameters!$M$6,Calendrier!$C$25:$C$267,DK13))</f>
        <v>0</v>
      </c>
      <c r="QR13" s="50">
        <f>IF(DL13="","",COUNTIFS($D$25:$D$267,Parameters!$K$2,$E$25:$E$267,Parameters!$M$6,Calendrier!$C$25:$C$267,DL13)+ COUNTIFS($D$25:$D$267,Parameters!$K$3,$E$25:$E$267,Parameters!$M$6,Calendrier!$C$25:$C$267,DL13))</f>
        <v>0</v>
      </c>
      <c r="QS13" s="50">
        <f>IF(DM13="","",COUNTIFS($D$25:$D$267,Parameters!$K$2,$E$25:$E$267,Parameters!$M$6,Calendrier!$C$25:$C$267,DM13)+ COUNTIFS($D$25:$D$267,Parameters!$K$4,$E$25:$E$267,Parameters!$M$6,Calendrier!$C$25:$C$267,DM13))</f>
        <v>0</v>
      </c>
      <c r="QT13" s="50">
        <f>IF(DN13="","",COUNTIFS($D$25:$D$267,Parameters!$K$2,$E$25:$E$267,Parameters!$M$6,Calendrier!$C$25:$C$267,DN13)+ COUNTIFS($D$25:$D$267,Parameters!$K$3,$E$25:$E$267,Parameters!$M$6,Calendrier!$C$25:$C$267,DN13))</f>
        <v>0</v>
      </c>
      <c r="QU13" s="50">
        <f>IF(DO13="","",COUNTIFS($D$25:$D$267,Parameters!$K$2,$E$25:$E$267,Parameters!$M$6,Calendrier!$C$25:$C$267,DO13)+ COUNTIFS($D$25:$D$267,Parameters!$K$4,$E$25:$E$267,Parameters!$M$6,Calendrier!$C$25:$C$267,DO13))</f>
        <v>0</v>
      </c>
      <c r="QV13" s="50">
        <f>IF(DP13="","",COUNTIFS($D$25:$D$267,Parameters!$K$2,$E$25:$E$267,Parameters!$M$6,Calendrier!$C$25:$C$267,DP13)+ COUNTIFS($D$25:$D$267,Parameters!$K$3,$E$25:$E$267,Parameters!$M$6,Calendrier!$C$25:$C$267,DP13))</f>
        <v>0</v>
      </c>
      <c r="QW13" s="50">
        <f>IF(DQ13="","",COUNTIFS($D$25:$D$267,Parameters!$K$2,$E$25:$E$267,Parameters!$M$6,Calendrier!$C$25:$C$267,DQ13)+ COUNTIFS($D$25:$D$267,Parameters!$K$4,$E$25:$E$267,Parameters!$M$6,Calendrier!$C$25:$C$267,DQ13))</f>
        <v>0</v>
      </c>
      <c r="QX13" s="50">
        <f>IF(DR13="","",COUNTIFS($D$25:$D$267,Parameters!$K$2,$E$25:$E$267,Parameters!$M$6,Calendrier!$C$25:$C$267,DR13)+ COUNTIFS($D$25:$D$267,Parameters!$K$3,$E$25:$E$267,Parameters!$M$6,Calendrier!$C$25:$C$267,DR13))</f>
        <v>0</v>
      </c>
      <c r="QY13" s="50">
        <f>IF(DS13="","",COUNTIFS($D$25:$D$267,Parameters!$K$2,$E$25:$E$267,Parameters!$M$6,Calendrier!$C$25:$C$267,DS13)+ COUNTIFS($D$25:$D$267,Parameters!$K$4,$E$25:$E$267,Parameters!$M$6,Calendrier!$C$25:$C$267,DS13))</f>
        <v>0</v>
      </c>
      <c r="QZ13" s="50">
        <f>IF(DT13="","",COUNTIFS($D$25:$D$267,Parameters!$K$2,$E$25:$E$267,Parameters!$M$6,Calendrier!$C$25:$C$267,DT13)+ COUNTIFS($D$25:$D$267,Parameters!$K$3,$E$25:$E$267,Parameters!$M$6,Calendrier!$C$25:$C$267,DT13))</f>
        <v>0</v>
      </c>
      <c r="RA13" s="57">
        <f>IF(DU13="","",COUNTIFS($D$25:$D$267,Parameters!$K$2,$E$25:$E$267,Parameters!$M$6,Calendrier!$C$25:$C$267,DU13)+ COUNTIFS($D$25:$D$267,Parameters!$K$4,$E$25:$E$267,Parameters!$M$6,Calendrier!$C$25:$C$267,DU13))</f>
        <v>0</v>
      </c>
      <c r="RD13" s="49">
        <f>IF(DX13="","",COUNTIFS($D$25:$D$267,Parameters!$K$2,$E$25:$E$267,Parameters!$M$6,Calendrier!$C$25:$C$267,DX13)+ COUNTIFS($D$25:$D$267,Parameters!$K$3,$E$25:$E$267,Parameters!$M$6,Calendrier!$C$25:$C$267,DX13))</f>
        <v>0</v>
      </c>
      <c r="RE13" s="50">
        <f>IF(DY13="","",COUNTIFS($D$25:$D$267,Parameters!$K$2,$E$25:$E$267,Parameters!$M$6,Calendrier!$C$25:$C$267,DY13)+ COUNTIFS($D$25:$D$267,Parameters!$K$4,$E$25:$E$267,Parameters!$M$6,Calendrier!$C$25:$C$267,DY13))</f>
        <v>0</v>
      </c>
      <c r="RF13" s="50">
        <f>IF(DZ13="","",COUNTIFS($D$25:$D$267,Parameters!$K$2,$E$25:$E$267,Parameters!$M$6,Calendrier!$C$25:$C$267,DZ13)+ COUNTIFS($D$25:$D$267,Parameters!$K$3,$E$25:$E$267,Parameters!$M$6,Calendrier!$C$25:$C$267,DZ13))</f>
        <v>0</v>
      </c>
      <c r="RG13" s="50">
        <f>IF(EA13="","",COUNTIFS($D$25:$D$267,Parameters!$K$2,$E$25:$E$267,Parameters!$M$6,Calendrier!$C$25:$C$267,EA13)+ COUNTIFS($D$25:$D$267,Parameters!$K$4,$E$25:$E$267,Parameters!$M$6,Calendrier!$C$25:$C$267,EA13))</f>
        <v>0</v>
      </c>
      <c r="RH13" s="50">
        <f>IF(EB13="","",COUNTIFS($D$25:$D$267,Parameters!$K$2,$E$25:$E$267,Parameters!$M$6,Calendrier!$C$25:$C$267,EB13)+ COUNTIFS($D$25:$D$267,Parameters!$K$3,$E$25:$E$267,Parameters!$M$6,Calendrier!$C$25:$C$267,EB13))</f>
        <v>0</v>
      </c>
      <c r="RI13" s="50">
        <f>IF(EC13="","",COUNTIFS($D$25:$D$267,Parameters!$K$2,$E$25:$E$267,Parameters!$M$6,Calendrier!$C$25:$C$267,EC13)+ COUNTIFS($D$25:$D$267,Parameters!$K$4,$E$25:$E$267,Parameters!$M$6,Calendrier!$C$25:$C$267,EC13))</f>
        <v>0</v>
      </c>
      <c r="RJ13" s="50">
        <f>IF(ED13="","",COUNTIFS($D$25:$D$267,Parameters!$K$2,$E$25:$E$267,Parameters!$M$6,Calendrier!$C$25:$C$267,ED13)+ COUNTIFS($D$25:$D$267,Parameters!$K$3,$E$25:$E$267,Parameters!$M$6,Calendrier!$C$25:$C$267,ED13))</f>
        <v>0</v>
      </c>
      <c r="RK13" s="50">
        <f>IF(EE13="","",COUNTIFS($D$25:$D$267,Parameters!$K$2,$E$25:$E$267,Parameters!$M$6,Calendrier!$C$25:$C$267,EE13)+ COUNTIFS($D$25:$D$267,Parameters!$K$4,$E$25:$E$267,Parameters!$M$6,Calendrier!$C$25:$C$267,EE13))</f>
        <v>0</v>
      </c>
      <c r="RL13" s="50">
        <f>IF(EF13="","",COUNTIFS($D$25:$D$267,Parameters!$K$2,$E$25:$E$267,Parameters!$M$6,Calendrier!$C$25:$C$267,EF13)+ COUNTIFS($D$25:$D$267,Parameters!$K$3,$E$25:$E$267,Parameters!$M$6,Calendrier!$C$25:$C$267,EF13))</f>
        <v>0</v>
      </c>
      <c r="RM13" s="50">
        <f>IF(EG13="","",COUNTIFS($D$25:$D$267,Parameters!$K$2,$E$25:$E$267,Parameters!$M$6,Calendrier!$C$25:$C$267,EG13)+ COUNTIFS($D$25:$D$267,Parameters!$K$4,$E$25:$E$267,Parameters!$M$6,Calendrier!$C$25:$C$267,EG13))</f>
        <v>0</v>
      </c>
      <c r="RN13" s="50">
        <f>IF(EH13="","",COUNTIFS($D$25:$D$267,Parameters!$K$2,$E$25:$E$267,Parameters!$M$6,Calendrier!$C$25:$C$267,EH13)+ COUNTIFS($D$25:$D$267,Parameters!$K$3,$E$25:$E$267,Parameters!$M$6,Calendrier!$C$25:$C$267,EH13))</f>
        <v>0</v>
      </c>
      <c r="RO13" s="50">
        <f>IF(EI13="","",COUNTIFS($D$25:$D$267,Parameters!$K$2,$E$25:$E$267,Parameters!$M$6,Calendrier!$C$25:$C$267,EI13)+ COUNTIFS($D$25:$D$267,Parameters!$K$4,$E$25:$E$267,Parameters!$M$6,Calendrier!$C$25:$C$267,EI13))</f>
        <v>0</v>
      </c>
      <c r="RP13" s="50">
        <f>IF(EJ13="","",COUNTIFS($D$25:$D$267,Parameters!$K$2,$E$25:$E$267,Parameters!$M$6,Calendrier!$C$25:$C$267,EJ13)+ COUNTIFS($D$25:$D$267,Parameters!$K$3,$E$25:$E$267,Parameters!$M$6,Calendrier!$C$25:$C$267,EJ13))</f>
        <v>0</v>
      </c>
      <c r="RQ13" s="57">
        <f>IF(EK13="","",COUNTIFS($D$25:$D$267,Parameters!$K$2,$E$25:$E$267,Parameters!$M$6,Calendrier!$C$25:$C$267,EK13)+ COUNTIFS($D$25:$D$267,Parameters!$K$4,$E$25:$E$267,Parameters!$M$6,Calendrier!$C$25:$C$267,EK13))</f>
        <v>0</v>
      </c>
      <c r="RT13" s="49">
        <f>IF(EN13="","",COUNTIFS($D$25:$D$267,Parameters!$K$2,$E$25:$E$267,Parameters!$M$6,Calendrier!$C$25:$C$267,EN13)+ COUNTIFS($D$25:$D$267,Parameters!$K$3,$E$25:$E$267,Parameters!$M$6,Calendrier!$C$25:$C$267,EN13))</f>
        <v>0</v>
      </c>
      <c r="RU13" s="50">
        <f>IF(EO13="","",COUNTIFS($D$25:$D$267,Parameters!$K$2,$E$25:$E$267,Parameters!$M$6,Calendrier!$C$25:$C$267,EO13)+ COUNTIFS($D$25:$D$267,Parameters!$K$4,$E$25:$E$267,Parameters!$M$6,Calendrier!$C$25:$C$267,EO13))</f>
        <v>0</v>
      </c>
      <c r="RV13" s="50">
        <f>IF(EP13="","",COUNTIFS($D$25:$D$267,Parameters!$K$2,$E$25:$E$267,Parameters!$M$6,Calendrier!$C$25:$C$267,EP13)+ COUNTIFS($D$25:$D$267,Parameters!$K$3,$E$25:$E$267,Parameters!$M$6,Calendrier!$C$25:$C$267,EP13))</f>
        <v>0</v>
      </c>
      <c r="RW13" s="50">
        <f>IF(EQ13="","",COUNTIFS($D$25:$D$267,Parameters!$K$2,$E$25:$E$267,Parameters!$M$6,Calendrier!$C$25:$C$267,EQ13)+ COUNTIFS($D$25:$D$267,Parameters!$K$4,$E$25:$E$267,Parameters!$M$6,Calendrier!$C$25:$C$267,EQ13))</f>
        <v>0</v>
      </c>
      <c r="RX13" s="50">
        <f>IF(ER13="","",COUNTIFS($D$25:$D$267,Parameters!$K$2,$E$25:$E$267,Parameters!$M$6,Calendrier!$C$25:$C$267,ER13)+ COUNTIFS($D$25:$D$267,Parameters!$K$3,$E$25:$E$267,Parameters!$M$6,Calendrier!$C$25:$C$267,ER13))</f>
        <v>0</v>
      </c>
      <c r="RY13" s="50">
        <f>IF(ES13="","",COUNTIFS($D$25:$D$267,Parameters!$K$2,$E$25:$E$267,Parameters!$M$6,Calendrier!$C$25:$C$267,ES13)+ COUNTIFS($D$25:$D$267,Parameters!$K$4,$E$25:$E$267,Parameters!$M$6,Calendrier!$C$25:$C$267,ES13))</f>
        <v>0</v>
      </c>
      <c r="RZ13" s="50">
        <f>IF(ET13="","",COUNTIFS($D$25:$D$267,Parameters!$K$2,$E$25:$E$267,Parameters!$M$6,Calendrier!$C$25:$C$267,ET13)+ COUNTIFS($D$25:$D$267,Parameters!$K$3,$E$25:$E$267,Parameters!$M$6,Calendrier!$C$25:$C$267,ET13))</f>
        <v>0</v>
      </c>
      <c r="SA13" s="50">
        <f>IF(EU13="","",COUNTIFS($D$25:$D$267,Parameters!$K$2,$E$25:$E$267,Parameters!$M$6,Calendrier!$C$25:$C$267,EU13)+ COUNTIFS($D$25:$D$267,Parameters!$K$4,$E$25:$E$267,Parameters!$M$6,Calendrier!$C$25:$C$267,EU13))</f>
        <v>0</v>
      </c>
      <c r="SB13" s="50">
        <f>IF(EV13="","",COUNTIFS($D$25:$D$267,Parameters!$K$2,$E$25:$E$267,Parameters!$M$6,Calendrier!$C$25:$C$267,EV13)+ COUNTIFS($D$25:$D$267,Parameters!$K$3,$E$25:$E$267,Parameters!$M$6,Calendrier!$C$25:$C$267,EV13))</f>
        <v>0</v>
      </c>
      <c r="SC13" s="50">
        <f>IF(EW13="","",COUNTIFS($D$25:$D$267,Parameters!$K$2,$E$25:$E$267,Parameters!$M$6,Calendrier!$C$25:$C$267,EW13)+ COUNTIFS($D$25:$D$267,Parameters!$K$4,$E$25:$E$267,Parameters!$M$6,Calendrier!$C$25:$C$267,EW13))</f>
        <v>0</v>
      </c>
      <c r="SD13" s="50">
        <f>IF(EX13="","",COUNTIFS($D$25:$D$267,Parameters!$K$2,$E$25:$E$267,Parameters!$M$6,Calendrier!$C$25:$C$267,EX13)+ COUNTIFS($D$25:$D$267,Parameters!$K$3,$E$25:$E$267,Parameters!$M$6,Calendrier!$C$25:$C$267,EX13))</f>
        <v>0</v>
      </c>
      <c r="SE13" s="50">
        <f>IF(EY13="","",COUNTIFS($D$25:$D$267,Parameters!$K$2,$E$25:$E$267,Parameters!$M$6,Calendrier!$C$25:$C$267,EY13)+ COUNTIFS($D$25:$D$267,Parameters!$K$4,$E$25:$E$267,Parameters!$M$6,Calendrier!$C$25:$C$267,EY13))</f>
        <v>0</v>
      </c>
      <c r="SF13" s="50">
        <f>IF(EZ13="","",COUNTIFS($D$25:$D$267,Parameters!$K$2,$E$25:$E$267,Parameters!$M$6,Calendrier!$C$25:$C$267,EZ13)+ COUNTIFS($D$25:$D$267,Parameters!$K$3,$E$25:$E$267,Parameters!$M$6,Calendrier!$C$25:$C$267,EZ13))</f>
        <v>0</v>
      </c>
      <c r="SG13" s="57">
        <f>IF(FA13="","",COUNTIFS($D$25:$D$267,Parameters!$K$2,$E$25:$E$267,Parameters!$M$6,Calendrier!$C$25:$C$267,FA13)+ COUNTIFS($D$25:$D$267,Parameters!$K$4,$E$25:$E$267,Parameters!$M$6,Calendrier!$C$25:$C$267,FA13))</f>
        <v>0</v>
      </c>
      <c r="SL13" s="49">
        <f>IF(DH13="","",COUNTIFS($D$25:$D$267,Parameters!$K$2,$E$25:$E$267,Parameters!$M$7,Calendrier!$C$25:$C$267,DH13)+ COUNTIFS($D$25:$D$267,Parameters!$K$3,$E$25:$E$267,Parameters!$M$7,Calendrier!$C$25:$C$267,DH13))</f>
        <v>0</v>
      </c>
      <c r="SM13" s="50">
        <f>IF(DI13="","",COUNTIFS($D$25:$D$267,Parameters!$K$2,$E$25:$E$267,Parameters!$M$7,Calendrier!$C$25:$C$267,DI13)+ COUNTIFS($D$25:$D$267,Parameters!$K$4,$E$25:$E$267,Parameters!$M$7,Calendrier!$C$25:$C$267,DI13))</f>
        <v>0</v>
      </c>
      <c r="SN13" s="50">
        <f>IF(DJ13="","",COUNTIFS($D$25:$D$267,Parameters!$K$2,$E$25:$E$267,Parameters!$M$7,Calendrier!$C$25:$C$267,DJ13)+ COUNTIFS($D$25:$D$267,Parameters!$K$3,$E$25:$E$267,Parameters!$M$7,Calendrier!$C$25:$C$267,DJ13))</f>
        <v>0</v>
      </c>
      <c r="SO13" s="50">
        <f>IF(DK13="","",COUNTIFS($D$25:$D$267,Parameters!$K$2,$E$25:$E$267,Parameters!$M$7,Calendrier!$C$25:$C$267,DK13)+ COUNTIFS($D$25:$D$267,Parameters!$K$4,$E$25:$E$267,Parameters!$M$7,Calendrier!$C$25:$C$267,DK13))</f>
        <v>0</v>
      </c>
      <c r="SP13" s="50">
        <f>IF(DL13="","",COUNTIFS($D$25:$D$267,Parameters!$K$2,$E$25:$E$267,Parameters!$M$7,Calendrier!$C$25:$C$267,DL13)+ COUNTIFS($D$25:$D$267,Parameters!$K$3,$E$25:$E$267,Parameters!$M$7,Calendrier!$C$25:$C$267,DL13))</f>
        <v>0</v>
      </c>
      <c r="SQ13" s="50">
        <f>IF(DM13="","",COUNTIFS($D$25:$D$267,Parameters!$K$2,$E$25:$E$267,Parameters!$M$7,Calendrier!$C$25:$C$267,DM13)+ COUNTIFS($D$25:$D$267,Parameters!$K$4,$E$25:$E$267,Parameters!$M$7,Calendrier!$C$25:$C$267,DM13))</f>
        <v>0</v>
      </c>
      <c r="SR13" s="50">
        <f>IF(DN13="","",COUNTIFS($D$25:$D$267,Parameters!$K$2,$E$25:$E$267,Parameters!$M$7,Calendrier!$C$25:$C$267,DN13)+ COUNTIFS($D$25:$D$267,Parameters!$K$3,$E$25:$E$267,Parameters!$M$7,Calendrier!$C$25:$C$267,DN13))</f>
        <v>0</v>
      </c>
      <c r="SS13" s="50">
        <f>IF(DO13="","",COUNTIFS($D$25:$D$267,Parameters!$K$2,$E$25:$E$267,Parameters!$M$7,Calendrier!$C$25:$C$267,DO13)+ COUNTIFS($D$25:$D$267,Parameters!$K$4,$E$25:$E$267,Parameters!$M$7,Calendrier!$C$25:$C$267,DO13))</f>
        <v>0</v>
      </c>
      <c r="ST13" s="50">
        <f>IF(DP13="","",COUNTIFS($D$25:$D$267,Parameters!$K$2,$E$25:$E$267,Parameters!$M$7,Calendrier!$C$25:$C$267,DP13)+ COUNTIFS($D$25:$D$267,Parameters!$K$3,$E$25:$E$267,Parameters!$M$7,Calendrier!$C$25:$C$267,DP13))</f>
        <v>0</v>
      </c>
      <c r="SU13" s="50">
        <f>IF(DQ13="","",COUNTIFS($D$25:$D$267,Parameters!$K$2,$E$25:$E$267,Parameters!$M$7,Calendrier!$C$25:$C$267,DQ13)+ COUNTIFS($D$25:$D$267,Parameters!$K$4,$E$25:$E$267,Parameters!$M$7,Calendrier!$C$25:$C$267,DQ13))</f>
        <v>0</v>
      </c>
      <c r="SV13" s="50">
        <f>IF(DR13="","",COUNTIFS($D$25:$D$267,Parameters!$K$2,$E$25:$E$267,Parameters!$M$7,Calendrier!$C$25:$C$267,DR13)+ COUNTIFS($D$25:$D$267,Parameters!$K$3,$E$25:$E$267,Parameters!$M$7,Calendrier!$C$25:$C$267,DR13))</f>
        <v>0</v>
      </c>
      <c r="SW13" s="50">
        <f>IF(DS13="","",COUNTIFS($D$25:$D$267,Parameters!$K$2,$E$25:$E$267,Parameters!$M$7,Calendrier!$C$25:$C$267,DS13)+ COUNTIFS($D$25:$D$267,Parameters!$K$4,$E$25:$E$267,Parameters!$M$7,Calendrier!$C$25:$C$267,DS13))</f>
        <v>0</v>
      </c>
      <c r="SX13" s="50">
        <f>IF(DT13="","",COUNTIFS($D$25:$D$267,Parameters!$K$2,$E$25:$E$267,Parameters!$M$7,Calendrier!$C$25:$C$267,DT13)+ COUNTIFS($D$25:$D$267,Parameters!$K$3,$E$25:$E$267,Parameters!$M$7,Calendrier!$C$25:$C$267,DT13))</f>
        <v>0</v>
      </c>
      <c r="SY13" s="57">
        <f>IF(DU13="","",COUNTIFS($D$25:$D$267,Parameters!$K$2,$E$25:$E$267,Parameters!$M$7,Calendrier!$C$25:$C$267,DU13)+ COUNTIFS($D$25:$D$267,Parameters!$K$4,$E$25:$E$267,Parameters!$M$7,Calendrier!$C$25:$C$267,DU13))</f>
        <v>0</v>
      </c>
      <c r="TB13" s="49">
        <f>IF(DX13="","",COUNTIFS($D$25:$D$267,Parameters!$K$2,$E$25:$E$267,Parameters!$M$7,Calendrier!$C$25:$C$267,DX13)+ COUNTIFS($D$25:$D$267,Parameters!$K$3,$E$25:$E$267,Parameters!$M$7,Calendrier!$C$25:$C$267,DX13))</f>
        <v>0</v>
      </c>
      <c r="TC13" s="50">
        <f>IF(DY13="","",COUNTIFS($D$25:$D$267,Parameters!$K$2,$E$25:$E$267,Parameters!$M$7,Calendrier!$C$25:$C$267,DY13)+ COUNTIFS($D$25:$D$267,Parameters!$K$4,$E$25:$E$267,Parameters!$M$7,Calendrier!$C$25:$C$267,DY13))</f>
        <v>0</v>
      </c>
      <c r="TD13" s="50">
        <f>IF(DZ13="","",COUNTIFS($D$25:$D$267,Parameters!$K$2,$E$25:$E$267,Parameters!$M$7,Calendrier!$C$25:$C$267,DZ13)+ COUNTIFS($D$25:$D$267,Parameters!$K$3,$E$25:$E$267,Parameters!$M$7,Calendrier!$C$25:$C$267,DZ13))</f>
        <v>0</v>
      </c>
      <c r="TE13" s="50">
        <f>IF(EA13="","",COUNTIFS($D$25:$D$267,Parameters!$K$2,$E$25:$E$267,Parameters!$M$7,Calendrier!$C$25:$C$267,EA13)+ COUNTIFS($D$25:$D$267,Parameters!$K$4,$E$25:$E$267,Parameters!$M$7,Calendrier!$C$25:$C$267,EA13))</f>
        <v>0</v>
      </c>
      <c r="TF13" s="50">
        <f>IF(EB13="","",COUNTIFS($D$25:$D$267,Parameters!$K$2,$E$25:$E$267,Parameters!$M$7,Calendrier!$C$25:$C$267,EB13)+ COUNTIFS($D$25:$D$267,Parameters!$K$3,$E$25:$E$267,Parameters!$M$7,Calendrier!$C$25:$C$267,EB13))</f>
        <v>0</v>
      </c>
      <c r="TG13" s="50">
        <f>IF(EC13="","",COUNTIFS($D$25:$D$267,Parameters!$K$2,$E$25:$E$267,Parameters!$M$7,Calendrier!$C$25:$C$267,EC13)+ COUNTIFS($D$25:$D$267,Parameters!$K$4,$E$25:$E$267,Parameters!$M$7,Calendrier!$C$25:$C$267,EC13))</f>
        <v>0</v>
      </c>
      <c r="TH13" s="50">
        <f>IF(ED13="","",COUNTIFS($D$25:$D$267,Parameters!$K$2,$E$25:$E$267,Parameters!$M$7,Calendrier!$C$25:$C$267,ED13)+ COUNTIFS($D$25:$D$267,Parameters!$K$3,$E$25:$E$267,Parameters!$M$7,Calendrier!$C$25:$C$267,ED13))</f>
        <v>0</v>
      </c>
      <c r="TI13" s="50">
        <f>IF(EE13="","",COUNTIFS($D$25:$D$267,Parameters!$K$2,$E$25:$E$267,Parameters!$M$7,Calendrier!$C$25:$C$267,EE13)+ COUNTIFS($D$25:$D$267,Parameters!$K$4,$E$25:$E$267,Parameters!$M$7,Calendrier!$C$25:$C$267,EE13))</f>
        <v>0</v>
      </c>
      <c r="TJ13" s="50">
        <f>IF(EF13="","",COUNTIFS($D$25:$D$267,Parameters!$K$2,$E$25:$E$267,Parameters!$M$7,Calendrier!$C$25:$C$267,EF13)+ COUNTIFS($D$25:$D$267,Parameters!$K$3,$E$25:$E$267,Parameters!$M$7,Calendrier!$C$25:$C$267,EF13))</f>
        <v>0</v>
      </c>
      <c r="TK13" s="50">
        <f>IF(EG13="","",COUNTIFS($D$25:$D$267,Parameters!$K$2,$E$25:$E$267,Parameters!$M$7,Calendrier!$C$25:$C$267,EG13)+ COUNTIFS($D$25:$D$267,Parameters!$K$4,$E$25:$E$267,Parameters!$M$7,Calendrier!$C$25:$C$267,EG13))</f>
        <v>0</v>
      </c>
      <c r="TL13" s="50">
        <f>IF(EH13="","",COUNTIFS($D$25:$D$267,Parameters!$K$2,$E$25:$E$267,Parameters!$M$7,Calendrier!$C$25:$C$267,EH13)+ COUNTIFS($D$25:$D$267,Parameters!$K$3,$E$25:$E$267,Parameters!$M$7,Calendrier!$C$25:$C$267,EH13))</f>
        <v>0</v>
      </c>
      <c r="TM13" s="50">
        <f>IF(EI13="","",COUNTIFS($D$25:$D$267,Parameters!$K$2,$E$25:$E$267,Parameters!$M$7,Calendrier!$C$25:$C$267,EI13)+ COUNTIFS($D$25:$D$267,Parameters!$K$4,$E$25:$E$267,Parameters!$M$7,Calendrier!$C$25:$C$267,EI13))</f>
        <v>0</v>
      </c>
      <c r="TN13" s="50">
        <f>IF(EJ13="","",COUNTIFS($D$25:$D$267,Parameters!$K$2,$E$25:$E$267,Parameters!$M$7,Calendrier!$C$25:$C$267,EJ13)+ COUNTIFS($D$25:$D$267,Parameters!$K$3,$E$25:$E$267,Parameters!$M$7,Calendrier!$C$25:$C$267,EJ13))</f>
        <v>0</v>
      </c>
      <c r="TO13" s="57">
        <f>IF(EK13="","",COUNTIFS($D$25:$D$267,Parameters!$K$2,$E$25:$E$267,Parameters!$M$7,Calendrier!$C$25:$C$267,EK13)+ COUNTIFS($D$25:$D$267,Parameters!$K$4,$E$25:$E$267,Parameters!$M$7,Calendrier!$C$25:$C$267,EK13))</f>
        <v>0</v>
      </c>
      <c r="TR13" s="49">
        <f>IF(EN13="","",COUNTIFS($D$25:$D$267,Parameters!$K$2,$E$25:$E$267,Parameters!$M$7,Calendrier!$C$25:$C$267,EN13)+ COUNTIFS($D$25:$D$267,Parameters!$K$3,$E$25:$E$267,Parameters!$M$7,Calendrier!$C$25:$C$267,EN13))</f>
        <v>0</v>
      </c>
      <c r="TS13" s="50">
        <f>IF(EO13="","",COUNTIFS($D$25:$D$267,Parameters!$K$2,$E$25:$E$267,Parameters!$M$7,Calendrier!$C$25:$C$267,EO13)+ COUNTIFS($D$25:$D$267,Parameters!$K$4,$E$25:$E$267,Parameters!$M$7,Calendrier!$C$25:$C$267,EO13))</f>
        <v>0</v>
      </c>
      <c r="TT13" s="50">
        <f>IF(EP13="","",COUNTIFS($D$25:$D$267,Parameters!$K$2,$E$25:$E$267,Parameters!$M$7,Calendrier!$C$25:$C$267,EP13)+ COUNTIFS($D$25:$D$267,Parameters!$K$3,$E$25:$E$267,Parameters!$M$7,Calendrier!$C$25:$C$267,EP13))</f>
        <v>0</v>
      </c>
      <c r="TU13" s="50">
        <f>IF(EQ13="","",COUNTIFS($D$25:$D$267,Parameters!$K$2,$E$25:$E$267,Parameters!$M$7,Calendrier!$C$25:$C$267,EQ13)+ COUNTIFS($D$25:$D$267,Parameters!$K$4,$E$25:$E$267,Parameters!$M$7,Calendrier!$C$25:$C$267,EQ13))</f>
        <v>0</v>
      </c>
      <c r="TV13" s="50">
        <f>IF(ER13="","",COUNTIFS($D$25:$D$267,Parameters!$K$2,$E$25:$E$267,Parameters!$M$7,Calendrier!$C$25:$C$267,ER13)+ COUNTIFS($D$25:$D$267,Parameters!$K$3,$E$25:$E$267,Parameters!$M$7,Calendrier!$C$25:$C$267,ER13))</f>
        <v>0</v>
      </c>
      <c r="TW13" s="50">
        <f>IF(ES13="","",COUNTIFS($D$25:$D$267,Parameters!$K$2,$E$25:$E$267,Parameters!$M$7,Calendrier!$C$25:$C$267,ES13)+ COUNTIFS($D$25:$D$267,Parameters!$K$4,$E$25:$E$267,Parameters!$M$7,Calendrier!$C$25:$C$267,ES13))</f>
        <v>0</v>
      </c>
      <c r="TX13" s="50">
        <f>IF(ET13="","",COUNTIFS($D$25:$D$267,Parameters!$K$2,$E$25:$E$267,Parameters!$M$7,Calendrier!$C$25:$C$267,ET13)+ COUNTIFS($D$25:$D$267,Parameters!$K$3,$E$25:$E$267,Parameters!$M$7,Calendrier!$C$25:$C$267,ET13))</f>
        <v>0</v>
      </c>
      <c r="TY13" s="50">
        <f>IF(EU13="","",COUNTIFS($D$25:$D$267,Parameters!$K$2,$E$25:$E$267,Parameters!$M$7,Calendrier!$C$25:$C$267,EU13)+ COUNTIFS($D$25:$D$267,Parameters!$K$4,$E$25:$E$267,Parameters!$M$7,Calendrier!$C$25:$C$267,EU13))</f>
        <v>0</v>
      </c>
      <c r="TZ13" s="50">
        <f>IF(EV13="","",COUNTIFS($D$25:$D$267,Parameters!$K$2,$E$25:$E$267,Parameters!$M$7,Calendrier!$C$25:$C$267,EV13)+ COUNTIFS($D$25:$D$267,Parameters!$K$3,$E$25:$E$267,Parameters!$M$7,Calendrier!$C$25:$C$267,EV13))</f>
        <v>0</v>
      </c>
      <c r="UA13" s="50">
        <f>IF(EW13="","",COUNTIFS($D$25:$D$267,Parameters!$K$2,$E$25:$E$267,Parameters!$M$7,Calendrier!$C$25:$C$267,EW13)+ COUNTIFS($D$25:$D$267,Parameters!$K$4,$E$25:$E$267,Parameters!$M$7,Calendrier!$C$25:$C$267,EW13))</f>
        <v>0</v>
      </c>
      <c r="UB13" s="50">
        <f>IF(EX13="","",COUNTIFS($D$25:$D$267,Parameters!$K$2,$E$25:$E$267,Parameters!$M$7,Calendrier!$C$25:$C$267,EX13)+ COUNTIFS($D$25:$D$267,Parameters!$K$3,$E$25:$E$267,Parameters!$M$7,Calendrier!$C$25:$C$267,EX13))</f>
        <v>0</v>
      </c>
      <c r="UC13" s="50">
        <f>IF(EY13="","",COUNTIFS($D$25:$D$267,Parameters!$K$2,$E$25:$E$267,Parameters!$M$7,Calendrier!$C$25:$C$267,EY13)+ COUNTIFS($D$25:$D$267,Parameters!$K$4,$E$25:$E$267,Parameters!$M$7,Calendrier!$C$25:$C$267,EY13))</f>
        <v>0</v>
      </c>
      <c r="UD13" s="50">
        <f>IF(EZ13="","",COUNTIFS($D$25:$D$267,Parameters!$K$2,$E$25:$E$267,Parameters!$M$7,Calendrier!$C$25:$C$267,EZ13)+ COUNTIFS($D$25:$D$267,Parameters!$K$3,$E$25:$E$267,Parameters!$M$7,Calendrier!$C$25:$C$267,EZ13))</f>
        <v>0</v>
      </c>
      <c r="UE13" s="57">
        <f>IF(FA13="","",COUNTIFS($D$25:$D$267,Parameters!$K$2,$E$25:$E$267,Parameters!$M$7,Calendrier!$C$25:$C$267,FA13)+ COUNTIFS($D$25:$D$267,Parameters!$K$4,$E$25:$E$267,Parameters!$M$7,Calendrier!$C$25:$C$267,FA13))</f>
        <v>0</v>
      </c>
    </row>
    <row r="14" spans="2:551" x14ac:dyDescent="0.3">
      <c r="B14" s="11"/>
      <c r="D14" s="3" t="s">
        <v>3</v>
      </c>
      <c r="E14" s="34" t="s">
        <v>16</v>
      </c>
      <c r="F14" s="34" t="s">
        <v>16</v>
      </c>
      <c r="G14" s="12"/>
      <c r="K14" s="31"/>
      <c r="L14" s="22">
        <f t="shared" ref="L14:L15" si="104">IF(X13&lt;&gt;"",IF(X13&lt;$Z$9,X13+1,""),"")</f>
        <v>26</v>
      </c>
      <c r="M14" s="23"/>
      <c r="N14" s="22">
        <f t="shared" ref="N14:N15" si="105">IF(L14&lt;&gt;"",IF(L14&lt;$Z$9,L14+1,""),"")</f>
        <v>27</v>
      </c>
      <c r="O14" s="23"/>
      <c r="P14" s="22">
        <f t="shared" ref="P14:P15" si="106">IF(N14&lt;&gt;"",IF(N14&lt;$Z$9,N14+1,""),"")</f>
        <v>28</v>
      </c>
      <c r="Q14" s="23"/>
      <c r="R14" s="22">
        <f t="shared" ref="R14:R15" si="107">IF(P14&lt;&gt;"",IF(P14&lt;$Z$9,P14+1,""),"")</f>
        <v>29</v>
      </c>
      <c r="S14" s="23"/>
      <c r="T14" s="22">
        <f t="shared" ref="T14:T15" si="108">IF(R14&lt;&gt;"",IF(R14&lt;$Z$9,R14+1,""),"")</f>
        <v>30</v>
      </c>
      <c r="U14" s="23"/>
      <c r="V14" s="22">
        <f t="shared" ref="V14:V15" si="109">IF(T14&lt;&gt;"",IF(T14&lt;$Z$9,T14+1,""),"")</f>
        <v>31</v>
      </c>
      <c r="W14" s="23"/>
      <c r="X14" s="22" t="str">
        <f t="shared" ref="X14:X15" si="110">IF(V14&lt;&gt;"",IF(V14&lt;$Z$9,V14+1,""),"")</f>
        <v/>
      </c>
      <c r="Y14" s="23"/>
      <c r="Z14" s="31"/>
      <c r="AA14" s="31"/>
      <c r="AB14" s="22">
        <f t="shared" ref="AB14:AB15" si="111">IF(AN13&lt;&gt;"",IF(AN13&lt;$AP$9,AN13+1,""),"")</f>
        <v>23</v>
      </c>
      <c r="AC14" s="23"/>
      <c r="AD14" s="22">
        <f t="shared" ref="AD14:AD15" si="112">IF(AB14&lt;&gt;"",IF(AB14&lt;$AP$9,AB14+1,""),"")</f>
        <v>24</v>
      </c>
      <c r="AE14" s="23"/>
      <c r="AF14" s="22">
        <f t="shared" ref="AF14:AF15" si="113">IF(AD14&lt;&gt;"",IF(AD14&lt;$AP$9,AD14+1,""),"")</f>
        <v>25</v>
      </c>
      <c r="AG14" s="23"/>
      <c r="AH14" s="22">
        <f t="shared" ref="AH14:AH15" si="114">IF(AF14&lt;&gt;"",IF(AF14&lt;$AP$9,AF14+1,""),"")</f>
        <v>26</v>
      </c>
      <c r="AI14" s="23"/>
      <c r="AJ14" s="22">
        <f t="shared" ref="AJ14:AJ15" si="115">IF(AH14&lt;&gt;"",IF(AH14&lt;$AP$9,AH14+1,""),"")</f>
        <v>27</v>
      </c>
      <c r="AK14" s="23"/>
      <c r="AL14" s="22">
        <f t="shared" ref="AL14:AL15" si="116">IF(AJ14&lt;&gt;"",IF(AJ14&lt;$AP$9,AJ14+1,""),"")</f>
        <v>28</v>
      </c>
      <c r="AM14" s="23"/>
      <c r="AN14" s="22" t="str">
        <f t="shared" ref="AN14:AN15" si="117">IF(AL14&lt;&gt;"",IF(AL14&lt;$AP$9,AL14+1,""),"")</f>
        <v/>
      </c>
      <c r="AO14" s="23"/>
      <c r="AP14" s="31"/>
      <c r="AQ14" s="31"/>
      <c r="AR14" s="22">
        <f t="shared" ref="AR14:AR15" si="118">IF(BD13&lt;&gt;"",IF(BD13&lt;$BF$9,BD13+1,""),"")</f>
        <v>23</v>
      </c>
      <c r="AS14" s="23"/>
      <c r="AT14" s="22">
        <f t="shared" ref="AT14:AT15" si="119">IF(AR14&lt;&gt;"",IF(AR14&lt;$BF$9,AR14+1,""),"")</f>
        <v>24</v>
      </c>
      <c r="AU14" s="23"/>
      <c r="AV14" s="22">
        <f t="shared" ref="AV14:AV15" si="120">IF(AT14&lt;&gt;"",IF(AT14&lt;$BF$9,AT14+1,""),"")</f>
        <v>25</v>
      </c>
      <c r="AW14" s="23"/>
      <c r="AX14" s="22">
        <f t="shared" ref="AX14:AX15" si="121">IF(AV14&lt;&gt;"",IF(AV14&lt;$BF$9,AV14+1,""),"")</f>
        <v>26</v>
      </c>
      <c r="AY14" s="23"/>
      <c r="AZ14" s="22">
        <f t="shared" ref="AZ14:AZ15" si="122">IF(AX14&lt;&gt;"",IF(AX14&lt;$BF$9,AX14+1,""),"")</f>
        <v>27</v>
      </c>
      <c r="BA14" s="23"/>
      <c r="BB14" s="22">
        <f t="shared" ref="BB14:BB15" si="123">IF(AZ14&lt;&gt;"",IF(AZ14&lt;$BF$9,AZ14+1,""),"")</f>
        <v>28</v>
      </c>
      <c r="BC14" s="23"/>
      <c r="BD14" s="22">
        <f t="shared" ref="BD14:BD15" si="124">IF(BB14&lt;&gt;"",IF(BB14&lt;$BF$9,BB14+1,""),"")</f>
        <v>29</v>
      </c>
      <c r="BE14" s="23"/>
      <c r="BF14" s="31"/>
      <c r="BG14" s="31"/>
      <c r="BJ14" s="42"/>
      <c r="BK14" s="6">
        <v>1</v>
      </c>
      <c r="BL14" s="6">
        <v>1</v>
      </c>
      <c r="BM14" s="6">
        <v>1</v>
      </c>
      <c r="BN14" s="6">
        <v>1</v>
      </c>
      <c r="BO14" s="6">
        <v>1</v>
      </c>
      <c r="BP14" s="6">
        <v>1</v>
      </c>
      <c r="BQ14" s="6">
        <v>1</v>
      </c>
      <c r="BR14" s="6">
        <v>1</v>
      </c>
      <c r="BS14" s="6">
        <v>1</v>
      </c>
      <c r="BT14" s="6">
        <v>1</v>
      </c>
      <c r="BU14" s="6">
        <v>1</v>
      </c>
      <c r="BV14" s="6">
        <v>1</v>
      </c>
      <c r="BW14" s="6">
        <v>1</v>
      </c>
      <c r="CA14" s="6">
        <v>2</v>
      </c>
      <c r="CB14" s="6">
        <v>2</v>
      </c>
      <c r="CC14" s="6">
        <v>2</v>
      </c>
      <c r="CD14" s="6">
        <v>2</v>
      </c>
      <c r="CE14" s="6">
        <v>2</v>
      </c>
      <c r="CF14" s="6">
        <v>2</v>
      </c>
      <c r="CG14" s="6">
        <v>2</v>
      </c>
      <c r="CH14" s="6">
        <v>2</v>
      </c>
      <c r="CI14" s="6">
        <v>2</v>
      </c>
      <c r="CJ14" s="6">
        <v>2</v>
      </c>
      <c r="CK14" s="6">
        <v>2</v>
      </c>
      <c r="CL14" s="6">
        <v>2</v>
      </c>
      <c r="CM14" s="6">
        <v>2</v>
      </c>
      <c r="CQ14" s="6">
        <v>3</v>
      </c>
      <c r="CR14" s="6">
        <v>3</v>
      </c>
      <c r="CS14" s="6">
        <v>3</v>
      </c>
      <c r="CT14" s="6">
        <v>3</v>
      </c>
      <c r="CU14" s="6">
        <v>3</v>
      </c>
      <c r="CV14" s="6">
        <v>3</v>
      </c>
      <c r="CW14" s="6">
        <v>3</v>
      </c>
      <c r="CX14" s="6">
        <v>3</v>
      </c>
      <c r="CY14" s="6">
        <v>3</v>
      </c>
      <c r="CZ14" s="6">
        <v>3</v>
      </c>
      <c r="DA14" s="6">
        <v>3</v>
      </c>
      <c r="DB14" s="6">
        <v>3</v>
      </c>
      <c r="DC14" s="6">
        <v>3</v>
      </c>
      <c r="DG14" s="42"/>
      <c r="DH14" s="43">
        <f t="shared" si="37"/>
        <v>46048</v>
      </c>
      <c r="DI14" s="44">
        <f t="shared" ref="DI14" si="125">DH14</f>
        <v>46048</v>
      </c>
      <c r="DJ14" s="44">
        <f t="shared" si="0"/>
        <v>46049</v>
      </c>
      <c r="DK14" s="44">
        <f t="shared" ref="DK14" si="126">DJ14</f>
        <v>46049</v>
      </c>
      <c r="DL14" s="44">
        <f t="shared" si="2"/>
        <v>46050</v>
      </c>
      <c r="DM14" s="44">
        <f t="shared" ref="DM14" si="127">DL14</f>
        <v>46050</v>
      </c>
      <c r="DN14" s="44">
        <f t="shared" si="4"/>
        <v>46051</v>
      </c>
      <c r="DO14" s="44">
        <f t="shared" ref="DO14" si="128">DN14</f>
        <v>46051</v>
      </c>
      <c r="DP14" s="44">
        <f t="shared" si="6"/>
        <v>46052</v>
      </c>
      <c r="DQ14" s="44">
        <f t="shared" ref="DQ14" si="129">DP14</f>
        <v>46052</v>
      </c>
      <c r="DR14" s="44">
        <f t="shared" si="8"/>
        <v>46053</v>
      </c>
      <c r="DS14" s="44">
        <f t="shared" ref="DS14" si="130">DR14</f>
        <v>46053</v>
      </c>
      <c r="DT14" s="44" t="str">
        <f t="shared" si="10"/>
        <v/>
      </c>
      <c r="DU14" s="45" t="str">
        <f t="shared" si="11"/>
        <v/>
      </c>
      <c r="DX14" s="43">
        <f t="shared" si="44"/>
        <v>46076</v>
      </c>
      <c r="DY14" s="44">
        <f t="shared" ref="DY14" si="131">DX14</f>
        <v>46076</v>
      </c>
      <c r="DZ14" s="44">
        <f t="shared" si="12"/>
        <v>46077</v>
      </c>
      <c r="EA14" s="44">
        <f t="shared" ref="EA14" si="132">DZ14</f>
        <v>46077</v>
      </c>
      <c r="EB14" s="44">
        <f t="shared" si="14"/>
        <v>46078</v>
      </c>
      <c r="EC14" s="44">
        <f t="shared" ref="EC14" si="133">EB14</f>
        <v>46078</v>
      </c>
      <c r="ED14" s="44">
        <f t="shared" si="16"/>
        <v>46079</v>
      </c>
      <c r="EE14" s="44">
        <f t="shared" ref="EE14" si="134">ED14</f>
        <v>46079</v>
      </c>
      <c r="EF14" s="44">
        <f t="shared" si="18"/>
        <v>46080</v>
      </c>
      <c r="EG14" s="44">
        <f t="shared" ref="EG14" si="135">EF14</f>
        <v>46080</v>
      </c>
      <c r="EH14" s="44">
        <f t="shared" si="20"/>
        <v>46081</v>
      </c>
      <c r="EI14" s="44">
        <f t="shared" ref="EI14" si="136">EH14</f>
        <v>46081</v>
      </c>
      <c r="EJ14" s="44" t="str">
        <f t="shared" si="22"/>
        <v/>
      </c>
      <c r="EK14" s="45" t="str">
        <f t="shared" si="23"/>
        <v/>
      </c>
      <c r="EN14" s="43">
        <f t="shared" si="51"/>
        <v>46104</v>
      </c>
      <c r="EO14" s="44">
        <f t="shared" ref="EO14" si="137">EN14</f>
        <v>46104</v>
      </c>
      <c r="EP14" s="44">
        <f t="shared" si="24"/>
        <v>46105</v>
      </c>
      <c r="EQ14" s="44">
        <f t="shared" ref="EQ14" si="138">EP14</f>
        <v>46105</v>
      </c>
      <c r="ER14" s="44">
        <f t="shared" si="26"/>
        <v>46106</v>
      </c>
      <c r="ES14" s="44">
        <f t="shared" ref="ES14" si="139">ER14</f>
        <v>46106</v>
      </c>
      <c r="ET14" s="44">
        <f t="shared" si="28"/>
        <v>46107</v>
      </c>
      <c r="EU14" s="44">
        <f t="shared" ref="EU14" si="140">ET14</f>
        <v>46107</v>
      </c>
      <c r="EV14" s="44">
        <f t="shared" si="30"/>
        <v>46108</v>
      </c>
      <c r="EW14" s="44">
        <f t="shared" ref="EW14" si="141">EV14</f>
        <v>46108</v>
      </c>
      <c r="EX14" s="44">
        <f t="shared" si="32"/>
        <v>46109</v>
      </c>
      <c r="EY14" s="44">
        <f t="shared" ref="EY14" si="142">EX14</f>
        <v>46109</v>
      </c>
      <c r="EZ14" s="44">
        <f t="shared" si="34"/>
        <v>46110</v>
      </c>
      <c r="FA14" s="45">
        <f t="shared" si="35"/>
        <v>46110</v>
      </c>
      <c r="FB14" s="44"/>
      <c r="FE14" s="49">
        <f>COUNTIFS(Parameters!$S:$S,$D$4,Parameters!$Q:$Q,DH14)</f>
        <v>0</v>
      </c>
      <c r="FF14" s="50">
        <f>COUNTIFS(Parameters!$S:$S,$D$4,Parameters!$Q:$Q,DI14)</f>
        <v>0</v>
      </c>
      <c r="FG14" s="50">
        <f>COUNTIFS(Parameters!$S:$S,$D$4,Parameters!$Q:$Q,DJ14)</f>
        <v>0</v>
      </c>
      <c r="FH14" s="50">
        <f>COUNTIFS(Parameters!$S:$S,$D$4,Parameters!$Q:$Q,DK14)</f>
        <v>0</v>
      </c>
      <c r="FI14" s="50">
        <f>COUNTIFS(Parameters!$S:$S,$D$4,Parameters!$Q:$Q,DL14)</f>
        <v>0</v>
      </c>
      <c r="FJ14" s="50">
        <f>COUNTIFS(Parameters!$S:$S,$D$4,Parameters!$Q:$Q,DM14)</f>
        <v>0</v>
      </c>
      <c r="FK14" s="50">
        <f>COUNTIFS(Parameters!$S:$S,$D$4,Parameters!$Q:$Q,DN14)</f>
        <v>0</v>
      </c>
      <c r="FL14" s="50">
        <f>COUNTIFS(Parameters!$S:$S,$D$4,Parameters!$Q:$Q,DO14)</f>
        <v>0</v>
      </c>
      <c r="FM14" s="50">
        <f>COUNTIFS(Parameters!$S:$S,$D$4,Parameters!$Q:$Q,DP14)</f>
        <v>0</v>
      </c>
      <c r="FN14" s="50">
        <f>COUNTIFS(Parameters!$S:$S,$D$4,Parameters!$Q:$Q,DQ14)</f>
        <v>0</v>
      </c>
      <c r="FO14" s="50">
        <f>COUNTIFS(Parameters!$S:$S,$D$4,Parameters!$Q:$Q,DR14)</f>
        <v>0</v>
      </c>
      <c r="FP14" s="50">
        <f>COUNTIFS(Parameters!$S:$S,$D$4,Parameters!$Q:$Q,DS14)</f>
        <v>0</v>
      </c>
      <c r="FQ14" s="50">
        <f>COUNTIFS(Parameters!$S:$S,$D$4,Parameters!$Q:$Q,DT14)</f>
        <v>0</v>
      </c>
      <c r="FR14" s="57">
        <f>COUNTIFS(Parameters!$S:$S,$D$4,Parameters!$Q:$Q,DU14)</f>
        <v>0</v>
      </c>
      <c r="FU14" s="49">
        <f>COUNTIFS(Parameters!$S:$S,$D$4,Parameters!$Q:$Q,DX14)</f>
        <v>0</v>
      </c>
      <c r="FV14" s="50">
        <f>COUNTIFS(Parameters!$S:$S,$D$4,Parameters!$Q:$Q,DY14)</f>
        <v>0</v>
      </c>
      <c r="FW14" s="50">
        <f>COUNTIFS(Parameters!$S:$S,$D$4,Parameters!$Q:$Q,DZ14)</f>
        <v>0</v>
      </c>
      <c r="FX14" s="50">
        <f>COUNTIFS(Parameters!$S:$S,$D$4,Parameters!$Q:$Q,EA14)</f>
        <v>0</v>
      </c>
      <c r="FY14" s="50">
        <f>COUNTIFS(Parameters!$S:$S,$D$4,Parameters!$Q:$Q,EB14)</f>
        <v>0</v>
      </c>
      <c r="FZ14" s="50">
        <f>COUNTIFS(Parameters!$S:$S,$D$4,Parameters!$Q:$Q,EC14)</f>
        <v>0</v>
      </c>
      <c r="GA14" s="50">
        <f>COUNTIFS(Parameters!$S:$S,$D$4,Parameters!$Q:$Q,ED14)</f>
        <v>0</v>
      </c>
      <c r="GB14" s="50">
        <f>COUNTIFS(Parameters!$S:$S,$D$4,Parameters!$Q:$Q,EE14)</f>
        <v>0</v>
      </c>
      <c r="GC14" s="50">
        <f>COUNTIFS(Parameters!$S:$S,$D$4,Parameters!$Q:$Q,EF14)</f>
        <v>0</v>
      </c>
      <c r="GD14" s="50">
        <f>COUNTIFS(Parameters!$S:$S,$D$4,Parameters!$Q:$Q,EG14)</f>
        <v>0</v>
      </c>
      <c r="GE14" s="50">
        <f>COUNTIFS(Parameters!$S:$S,$D$4,Parameters!$Q:$Q,EH14)</f>
        <v>0</v>
      </c>
      <c r="GF14" s="50">
        <f>COUNTIFS(Parameters!$S:$S,$D$4,Parameters!$Q:$Q,EI14)</f>
        <v>0</v>
      </c>
      <c r="GG14" s="50">
        <f>COUNTIFS(Parameters!$S:$S,$D$4,Parameters!$Q:$Q,EJ14)</f>
        <v>0</v>
      </c>
      <c r="GH14" s="57">
        <f>COUNTIFS(Parameters!$S:$S,$D$4,Parameters!$Q:$Q,EK14)</f>
        <v>0</v>
      </c>
      <c r="GK14" s="49">
        <f>COUNTIFS(Parameters!$S:$S,$D$4,Parameters!$Q:$Q,EN14)</f>
        <v>0</v>
      </c>
      <c r="GL14" s="50">
        <f>COUNTIFS(Parameters!$S:$S,$D$4,Parameters!$Q:$Q,EO14)</f>
        <v>0</v>
      </c>
      <c r="GM14" s="50">
        <f>COUNTIFS(Parameters!$S:$S,$D$4,Parameters!$Q:$Q,EP14)</f>
        <v>0</v>
      </c>
      <c r="GN14" s="50">
        <f>COUNTIFS(Parameters!$S:$S,$D$4,Parameters!$Q:$Q,EQ14)</f>
        <v>0</v>
      </c>
      <c r="GO14" s="50">
        <f>COUNTIFS(Parameters!$S:$S,$D$4,Parameters!$Q:$Q,ER14)</f>
        <v>0</v>
      </c>
      <c r="GP14" s="50">
        <f>COUNTIFS(Parameters!$S:$S,$D$4,Parameters!$Q:$Q,ES14)</f>
        <v>0</v>
      </c>
      <c r="GQ14" s="50">
        <f>COUNTIFS(Parameters!$S:$S,$D$4,Parameters!$Q:$Q,ET14)</f>
        <v>0</v>
      </c>
      <c r="GR14" s="50">
        <f>COUNTIFS(Parameters!$S:$S,$D$4,Parameters!$Q:$Q,EU14)</f>
        <v>0</v>
      </c>
      <c r="GS14" s="50">
        <f>COUNTIFS(Parameters!$S:$S,$D$4,Parameters!$Q:$Q,EV14)</f>
        <v>0</v>
      </c>
      <c r="GT14" s="50">
        <f>COUNTIFS(Parameters!$S:$S,$D$4,Parameters!$Q:$Q,EW14)</f>
        <v>0</v>
      </c>
      <c r="GU14" s="50">
        <f>COUNTIFS(Parameters!$S:$S,$D$4,Parameters!$Q:$Q,EX14)</f>
        <v>0</v>
      </c>
      <c r="GV14" s="50">
        <f>COUNTIFS(Parameters!$S:$S,$D$4,Parameters!$Q:$Q,EY14)</f>
        <v>0</v>
      </c>
      <c r="GW14" s="50">
        <f>COUNTIFS(Parameters!$S:$S,$D$4,Parameters!$Q:$Q,EZ14)</f>
        <v>0</v>
      </c>
      <c r="GX14" s="57">
        <f>COUNTIFS(Parameters!$S:$S,$D$4,Parameters!$Q:$Q,FA14)</f>
        <v>0</v>
      </c>
      <c r="HB14" s="49">
        <f>IF(DH14="","",COUNTIFS($D$25:$D$267,Parameters!$K$2,$E$25:$E$267,Parameters!$M$2,Calendrier!$C$25:$C$267,DH14)+ COUNTIFS($D$25:$D$267,Parameters!$K$3,$E$25:$E$267,Parameters!$M$2,Calendrier!$C$25:$C$267,DH14))</f>
        <v>0</v>
      </c>
      <c r="HC14" s="50">
        <f>IF(DI14="","",COUNTIFS($D$25:$D$267,Parameters!$K$2,$E$25:$E$267,Parameters!$M$2,Calendrier!$C$25:$C$267,DI14)+ COUNTIFS($D$25:$D$267,Parameters!$K$4,$E$25:$E$267,Parameters!$M$2,Calendrier!$C$25:$C$267,DI14))</f>
        <v>0</v>
      </c>
      <c r="HD14" s="50">
        <f>IF(DJ14="","",COUNTIFS($D$25:$D$267,Parameters!$K$2,$E$25:$E$267,Parameters!$M$2,Calendrier!$C$25:$C$267,DJ14)+ COUNTIFS($D$25:$D$267,Parameters!$K$3,$E$25:$E$267,Parameters!$M$2,Calendrier!$C$25:$C$267,DJ14))</f>
        <v>0</v>
      </c>
      <c r="HE14" s="50">
        <f>IF(DK14="","",COUNTIFS($D$25:$D$267,Parameters!$K$2,$E$25:$E$267,Parameters!$M$2,Calendrier!$C$25:$C$267,DK14)+ COUNTIFS($D$25:$D$267,Parameters!$K$4,$E$25:$E$267,Parameters!$M$2,Calendrier!$C$25:$C$267,DK14))</f>
        <v>0</v>
      </c>
      <c r="HF14" s="50">
        <f>IF(DL14="","",COUNTIFS($D$25:$D$267,Parameters!$K$2,$E$25:$E$267,Parameters!$M$2,Calendrier!$C$25:$C$267,DL14)+ COUNTIFS($D$25:$D$267,Parameters!$K$3,$E$25:$E$267,Parameters!$M$2,Calendrier!$C$25:$C$267,DL14))</f>
        <v>0</v>
      </c>
      <c r="HG14" s="50">
        <f>IF(DM14="","",COUNTIFS($D$25:$D$267,Parameters!$K$2,$E$25:$E$267,Parameters!$M$2,Calendrier!$C$25:$C$267,DM14)+ COUNTIFS($D$25:$D$267,Parameters!$K$4,$E$25:$E$267,Parameters!$M$2,Calendrier!$C$25:$C$267,DM14))</f>
        <v>0</v>
      </c>
      <c r="HH14" s="50">
        <f>IF(DN14="","",COUNTIFS($D$25:$D$267,Parameters!$K$2,$E$25:$E$267,Parameters!$M$2,Calendrier!$C$25:$C$267,DN14)+ COUNTIFS($D$25:$D$267,Parameters!$K$3,$E$25:$E$267,Parameters!$M$2,Calendrier!$C$25:$C$267,DN14))</f>
        <v>0</v>
      </c>
      <c r="HI14" s="50">
        <f>IF(DO14="","",COUNTIFS($D$25:$D$267,Parameters!$K$2,$E$25:$E$267,Parameters!$M$2,Calendrier!$C$25:$C$267,DO14)+ COUNTIFS($D$25:$D$267,Parameters!$K$4,$E$25:$E$267,Parameters!$M$2,Calendrier!$C$25:$C$267,DO14))</f>
        <v>0</v>
      </c>
      <c r="HJ14" s="50">
        <f>IF(DP14="","",COUNTIFS($D$25:$D$267,Parameters!$K$2,$E$25:$E$267,Parameters!$M$2,Calendrier!$C$25:$C$267,DP14)+ COUNTIFS($D$25:$D$267,Parameters!$K$3,$E$25:$E$267,Parameters!$M$2,Calendrier!$C$25:$C$267,DP14))</f>
        <v>0</v>
      </c>
      <c r="HK14" s="50">
        <f>IF(DQ14="","",COUNTIFS($D$25:$D$267,Parameters!$K$2,$E$25:$E$267,Parameters!$M$2,Calendrier!$C$25:$C$267,DQ14)+ COUNTIFS($D$25:$D$267,Parameters!$K$4,$E$25:$E$267,Parameters!$M$2,Calendrier!$C$25:$C$267,DQ14))</f>
        <v>0</v>
      </c>
      <c r="HL14" s="50">
        <f>IF(DR14="","",COUNTIFS($D$25:$D$267,Parameters!$K$2,$E$25:$E$267,Parameters!$M$2,Calendrier!$C$25:$C$267,DR14)+ COUNTIFS($D$25:$D$267,Parameters!$K$3,$E$25:$E$267,Parameters!$M$2,Calendrier!$C$25:$C$267,DR14))</f>
        <v>0</v>
      </c>
      <c r="HM14" s="50">
        <f>IF(DS14="","",COUNTIFS($D$25:$D$267,Parameters!$K$2,$E$25:$E$267,Parameters!$M$2,Calendrier!$C$25:$C$267,DS14)+ COUNTIFS($D$25:$D$267,Parameters!$K$4,$E$25:$E$267,Parameters!$M$2,Calendrier!$C$25:$C$267,DS14))</f>
        <v>0</v>
      </c>
      <c r="HN14" s="50" t="str">
        <f>IF(DT14="","",COUNTIFS($D$25:$D$267,Parameters!$K$2,$E$25:$E$267,Parameters!$M$2,Calendrier!$C$25:$C$267,DT14)+ COUNTIFS($D$25:$D$267,Parameters!$K$3,$E$25:$E$267,Parameters!$M$2,Calendrier!$C$25:$C$267,DT14))</f>
        <v/>
      </c>
      <c r="HO14" s="57" t="str">
        <f>IF(DU14="","",COUNTIFS($D$25:$D$267,Parameters!$K$2,$E$25:$E$267,Parameters!$M$2,Calendrier!$C$25:$C$267,DU14)+ COUNTIFS($D$25:$D$267,Parameters!$K$4,$E$25:$E$267,Parameters!$M$2,Calendrier!$C$25:$C$267,DU14))</f>
        <v/>
      </c>
      <c r="HR14" s="49">
        <f>IF(DX14="","",COUNTIFS($D$25:$D$267,Parameters!$K$2,$E$25:$E$267,Parameters!$M$2,Calendrier!$C$25:$C$267,DX14)+ COUNTIFS($D$25:$D$267,Parameters!$K$3,$E$25:$E$267,Parameters!$M$2,Calendrier!$C$25:$C$267,DX14))</f>
        <v>1</v>
      </c>
      <c r="HS14" s="50">
        <f>IF(DY14="","",COUNTIFS($D$25:$D$267,Parameters!$K$2,$E$25:$E$267,Parameters!$M$2,Calendrier!$C$25:$C$267,DY14)+ COUNTIFS($D$25:$D$267,Parameters!$K$4,$E$25:$E$267,Parameters!$M$2,Calendrier!$C$25:$C$267,DY14))</f>
        <v>1</v>
      </c>
      <c r="HT14" s="50">
        <f>IF(DZ14="","",COUNTIFS($D$25:$D$267,Parameters!$K$2,$E$25:$E$267,Parameters!$M$2,Calendrier!$C$25:$C$267,DZ14)+ COUNTIFS($D$25:$D$267,Parameters!$K$3,$E$25:$E$267,Parameters!$M$2,Calendrier!$C$25:$C$267,DZ14))</f>
        <v>1</v>
      </c>
      <c r="HU14" s="50">
        <f>IF(EA14="","",COUNTIFS($D$25:$D$267,Parameters!$K$2,$E$25:$E$267,Parameters!$M$2,Calendrier!$C$25:$C$267,EA14)+ COUNTIFS($D$25:$D$267,Parameters!$K$4,$E$25:$E$267,Parameters!$M$2,Calendrier!$C$25:$C$267,EA14))</f>
        <v>1</v>
      </c>
      <c r="HV14" s="50">
        <f>IF(EB14="","",COUNTIFS($D$25:$D$267,Parameters!$K$2,$E$25:$E$267,Parameters!$M$2,Calendrier!$C$25:$C$267,EB14)+ COUNTIFS($D$25:$D$267,Parameters!$K$3,$E$25:$E$267,Parameters!$M$2,Calendrier!$C$25:$C$267,EB14))</f>
        <v>1</v>
      </c>
      <c r="HW14" s="50">
        <f>IF(EC14="","",COUNTIFS($D$25:$D$267,Parameters!$K$2,$E$25:$E$267,Parameters!$M$2,Calendrier!$C$25:$C$267,EC14)+ COUNTIFS($D$25:$D$267,Parameters!$K$4,$E$25:$E$267,Parameters!$M$2,Calendrier!$C$25:$C$267,EC14))</f>
        <v>1</v>
      </c>
      <c r="HX14" s="50">
        <f>IF(ED14="","",COUNTIFS($D$25:$D$267,Parameters!$K$2,$E$25:$E$267,Parameters!$M$2,Calendrier!$C$25:$C$267,ED14)+ COUNTIFS($D$25:$D$267,Parameters!$K$3,$E$25:$E$267,Parameters!$M$2,Calendrier!$C$25:$C$267,ED14))</f>
        <v>1</v>
      </c>
      <c r="HY14" s="50">
        <f>IF(EE14="","",COUNTIFS($D$25:$D$267,Parameters!$K$2,$E$25:$E$267,Parameters!$M$2,Calendrier!$C$25:$C$267,EE14)+ COUNTIFS($D$25:$D$267,Parameters!$K$4,$E$25:$E$267,Parameters!$M$2,Calendrier!$C$25:$C$267,EE14))</f>
        <v>1</v>
      </c>
      <c r="HZ14" s="50">
        <f>IF(EF14="","",COUNTIFS($D$25:$D$267,Parameters!$K$2,$E$25:$E$267,Parameters!$M$2,Calendrier!$C$25:$C$267,EF14)+ COUNTIFS($D$25:$D$267,Parameters!$K$3,$E$25:$E$267,Parameters!$M$2,Calendrier!$C$25:$C$267,EF14))</f>
        <v>0</v>
      </c>
      <c r="IA14" s="50">
        <f>IF(EG14="","",COUNTIFS($D$25:$D$267,Parameters!$K$2,$E$25:$E$267,Parameters!$M$2,Calendrier!$C$25:$C$267,EG14)+ COUNTIFS($D$25:$D$267,Parameters!$K$4,$E$25:$E$267,Parameters!$M$2,Calendrier!$C$25:$C$267,EG14))</f>
        <v>0</v>
      </c>
      <c r="IB14" s="50">
        <f>IF(EH14="","",COUNTIFS($D$25:$D$267,Parameters!$K$2,$E$25:$E$267,Parameters!$M$2,Calendrier!$C$25:$C$267,EH14)+ COUNTIFS($D$25:$D$267,Parameters!$K$3,$E$25:$E$267,Parameters!$M$2,Calendrier!$C$25:$C$267,EH14))</f>
        <v>0</v>
      </c>
      <c r="IC14" s="50">
        <f>IF(EI14="","",COUNTIFS($D$25:$D$267,Parameters!$K$2,$E$25:$E$267,Parameters!$M$2,Calendrier!$C$25:$C$267,EI14)+ COUNTIFS($D$25:$D$267,Parameters!$K$4,$E$25:$E$267,Parameters!$M$2,Calendrier!$C$25:$C$267,EI14))</f>
        <v>0</v>
      </c>
      <c r="ID14" s="50" t="str">
        <f>IF(EJ14="","",COUNTIFS($D$25:$D$267,Parameters!$K$2,$E$25:$E$267,Parameters!$M$2,Calendrier!$C$25:$C$267,EJ14)+ COUNTIFS($D$25:$D$267,Parameters!$K$3,$E$25:$E$267,Parameters!$M$2,Calendrier!$C$25:$C$267,EJ14))</f>
        <v/>
      </c>
      <c r="IE14" s="57" t="str">
        <f>IF(EK14="","",COUNTIFS($D$25:$D$267,Parameters!$K$2,$E$25:$E$267,Parameters!$M$2,Calendrier!$C$25:$C$267,EK14)+ COUNTIFS($D$25:$D$267,Parameters!$K$4,$E$25:$E$267,Parameters!$M$2,Calendrier!$C$25:$C$267,EK14))</f>
        <v/>
      </c>
      <c r="IH14" s="49">
        <f>IF(EN14="","",COUNTIFS($D$25:$D$267,Parameters!$K$2,$E$25:$E$267,Parameters!$M$2,Calendrier!$C$25:$C$267,EN14)+ COUNTIFS($D$25:$D$267,Parameters!$K$3,$E$25:$E$267,Parameters!$M$2,Calendrier!$C$25:$C$267,EN14))</f>
        <v>0</v>
      </c>
      <c r="II14" s="50">
        <f>IF(EO14="","",COUNTIFS($D$25:$D$267,Parameters!$K$2,$E$25:$E$267,Parameters!$M$2,Calendrier!$C$25:$C$267,EO14)+ COUNTIFS($D$25:$D$267,Parameters!$K$4,$E$25:$E$267,Parameters!$M$2,Calendrier!$C$25:$C$267,EO14))</f>
        <v>0</v>
      </c>
      <c r="IJ14" s="50">
        <f>IF(EP14="","",COUNTIFS($D$25:$D$267,Parameters!$K$2,$E$25:$E$267,Parameters!$M$2,Calendrier!$C$25:$C$267,EP14)+ COUNTIFS($D$25:$D$267,Parameters!$K$3,$E$25:$E$267,Parameters!$M$2,Calendrier!$C$25:$C$267,EP14))</f>
        <v>0</v>
      </c>
      <c r="IK14" s="50">
        <f>IF(EQ14="","",COUNTIFS($D$25:$D$267,Parameters!$K$2,$E$25:$E$267,Parameters!$M$2,Calendrier!$C$25:$C$267,EQ14)+ COUNTIFS($D$25:$D$267,Parameters!$K$4,$E$25:$E$267,Parameters!$M$2,Calendrier!$C$25:$C$267,EQ14))</f>
        <v>0</v>
      </c>
      <c r="IL14" s="50">
        <f>IF(ER14="","",COUNTIFS($D$25:$D$267,Parameters!$K$2,$E$25:$E$267,Parameters!$M$2,Calendrier!$C$25:$C$267,ER14)+ COUNTIFS($D$25:$D$267,Parameters!$K$3,$E$25:$E$267,Parameters!$M$2,Calendrier!$C$25:$C$267,ER14))</f>
        <v>0</v>
      </c>
      <c r="IM14" s="50">
        <f>IF(ES14="","",COUNTIFS($D$25:$D$267,Parameters!$K$2,$E$25:$E$267,Parameters!$M$2,Calendrier!$C$25:$C$267,ES14)+ COUNTIFS($D$25:$D$267,Parameters!$K$4,$E$25:$E$267,Parameters!$M$2,Calendrier!$C$25:$C$267,ES14))</f>
        <v>0</v>
      </c>
      <c r="IN14" s="50">
        <f>IF(ET14="","",COUNTIFS($D$25:$D$267,Parameters!$K$2,$E$25:$E$267,Parameters!$M$2,Calendrier!$C$25:$C$267,ET14)+ COUNTIFS($D$25:$D$267,Parameters!$K$3,$E$25:$E$267,Parameters!$M$2,Calendrier!$C$25:$C$267,ET14))</f>
        <v>0</v>
      </c>
      <c r="IO14" s="50">
        <f>IF(EU14="","",COUNTIFS($D$25:$D$267,Parameters!$K$2,$E$25:$E$267,Parameters!$M$2,Calendrier!$C$25:$C$267,EU14)+ COUNTIFS($D$25:$D$267,Parameters!$K$4,$E$25:$E$267,Parameters!$M$2,Calendrier!$C$25:$C$267,EU14))</f>
        <v>0</v>
      </c>
      <c r="IP14" s="50">
        <f>IF(EV14="","",COUNTIFS($D$25:$D$267,Parameters!$K$2,$E$25:$E$267,Parameters!$M$2,Calendrier!$C$25:$C$267,EV14)+ COUNTIFS($D$25:$D$267,Parameters!$K$3,$E$25:$E$267,Parameters!$M$2,Calendrier!$C$25:$C$267,EV14))</f>
        <v>0</v>
      </c>
      <c r="IQ14" s="50">
        <f>IF(EW14="","",COUNTIFS($D$25:$D$267,Parameters!$K$2,$E$25:$E$267,Parameters!$M$2,Calendrier!$C$25:$C$267,EW14)+ COUNTIFS($D$25:$D$267,Parameters!$K$4,$E$25:$E$267,Parameters!$M$2,Calendrier!$C$25:$C$267,EW14))</f>
        <v>0</v>
      </c>
      <c r="IR14" s="50">
        <f>IF(EX14="","",COUNTIFS($D$25:$D$267,Parameters!$K$2,$E$25:$E$267,Parameters!$M$2,Calendrier!$C$25:$C$267,EX14)+ COUNTIFS($D$25:$D$267,Parameters!$K$3,$E$25:$E$267,Parameters!$M$2,Calendrier!$C$25:$C$267,EX14))</f>
        <v>0</v>
      </c>
      <c r="IS14" s="50">
        <f>IF(EY14="","",COUNTIFS($D$25:$D$267,Parameters!$K$2,$E$25:$E$267,Parameters!$M$2,Calendrier!$C$25:$C$267,EY14)+ COUNTIFS($D$25:$D$267,Parameters!$K$4,$E$25:$E$267,Parameters!$M$2,Calendrier!$C$25:$C$267,EY14))</f>
        <v>0</v>
      </c>
      <c r="IT14" s="50">
        <f>IF(EZ14="","",COUNTIFS($D$25:$D$267,Parameters!$K$2,$E$25:$E$267,Parameters!$M$2,Calendrier!$C$25:$C$267,EZ14)+ COUNTIFS($D$25:$D$267,Parameters!$K$3,$E$25:$E$267,Parameters!$M$2,Calendrier!$C$25:$C$267,EZ14))</f>
        <v>0</v>
      </c>
      <c r="IU14" s="57">
        <f>IF(FA14="","",COUNTIFS($D$25:$D$267,Parameters!$K$2,$E$25:$E$267,Parameters!$M$2,Calendrier!$C$25:$C$267,FA14)+ COUNTIFS($D$25:$D$267,Parameters!$K$4,$E$25:$E$267,Parameters!$M$2,Calendrier!$C$25:$C$267,FA14))</f>
        <v>0</v>
      </c>
      <c r="IY14" s="49">
        <f>IF(DH14="","",COUNTIFS($D$25:$D$267,Parameters!$K$2,$E$25:$E$267,Parameters!$M$3,Calendrier!$C$25:$C$267,DH14)+ COUNTIFS($D$25:$D$267,Parameters!$K$3,$E$25:$E$267,Parameters!$M$3,Calendrier!$C$25:$C$267,DH14))</f>
        <v>0</v>
      </c>
      <c r="IZ14" s="50">
        <f>IF(DI14="","",COUNTIFS($D$25:$D$267,Parameters!$K$2,$E$25:$E$267,Parameters!$M$3,Calendrier!$C$25:$C$267,DI14)+ COUNTIFS($D$25:$D$267,Parameters!$K$4,$E$25:$E$267,Parameters!$M$3,Calendrier!$C$25:$C$267,DI14))</f>
        <v>0</v>
      </c>
      <c r="JA14" s="50">
        <f>IF(DJ14="","",COUNTIFS($D$25:$D$267,Parameters!$K$2,$E$25:$E$267,Parameters!$M$3,Calendrier!$C$25:$C$267,DJ14)+ COUNTIFS($D$25:$D$267,Parameters!$K$3,$E$25:$E$267,Parameters!$M$3,Calendrier!$C$25:$C$267,DJ14))</f>
        <v>0</v>
      </c>
      <c r="JB14" s="50">
        <f>IF(DK14="","",COUNTIFS($D$25:$D$267,Parameters!$K$2,$E$25:$E$267,Parameters!$M$3,Calendrier!$C$25:$C$267,DK14)+ COUNTIFS($D$25:$D$267,Parameters!$K$4,$E$25:$E$267,Parameters!$M$3,Calendrier!$C$25:$C$267,DK14))</f>
        <v>0</v>
      </c>
      <c r="JC14" s="50">
        <f>IF(DL14="","",COUNTIFS($D$25:$D$267,Parameters!$K$2,$E$25:$E$267,Parameters!$M$3,Calendrier!$C$25:$C$267,DL14)+ COUNTIFS($D$25:$D$267,Parameters!$K$3,$E$25:$E$267,Parameters!$M$3,Calendrier!$C$25:$C$267,DL14))</f>
        <v>0</v>
      </c>
      <c r="JD14" s="50">
        <f>IF(DM14="","",COUNTIFS($D$25:$D$267,Parameters!$K$2,$E$25:$E$267,Parameters!$M$3,Calendrier!$C$25:$C$267,DM14)+ COUNTIFS($D$25:$D$267,Parameters!$K$4,$E$25:$E$267,Parameters!$M$3,Calendrier!$C$25:$C$267,DM14))</f>
        <v>0</v>
      </c>
      <c r="JE14" s="50">
        <f>IF(DN14="","",COUNTIFS($D$25:$D$267,Parameters!$K$2,$E$25:$E$267,Parameters!$M$3,Calendrier!$C$25:$C$267,DN14)+ COUNTIFS($D$25:$D$267,Parameters!$K$3,$E$25:$E$267,Parameters!$M$3,Calendrier!$C$25:$C$267,DN14))</f>
        <v>0</v>
      </c>
      <c r="JF14" s="50">
        <f>IF(DO14="","",COUNTIFS($D$25:$D$267,Parameters!$K$2,$E$25:$E$267,Parameters!$M$3,Calendrier!$C$25:$C$267,DO14)+ COUNTIFS($D$25:$D$267,Parameters!$K$4,$E$25:$E$267,Parameters!$M$3,Calendrier!$C$25:$C$267,DO14))</f>
        <v>0</v>
      </c>
      <c r="JG14" s="50">
        <f>IF(DP14="","",COUNTIFS($D$25:$D$267,Parameters!$K$2,$E$25:$E$267,Parameters!$M$3,Calendrier!$C$25:$C$267,DP14)+ COUNTIFS($D$25:$D$267,Parameters!$K$3,$E$25:$E$267,Parameters!$M$3,Calendrier!$C$25:$C$267,DP14))</f>
        <v>0</v>
      </c>
      <c r="JH14" s="50">
        <f>IF(DQ14="","",COUNTIFS($D$25:$D$267,Parameters!$K$2,$E$25:$E$267,Parameters!$M$3,Calendrier!$C$25:$C$267,DQ14)+ COUNTIFS($D$25:$D$267,Parameters!$K$4,$E$25:$E$267,Parameters!$M$3,Calendrier!$C$25:$C$267,DQ14))</f>
        <v>0</v>
      </c>
      <c r="JI14" s="50">
        <f>IF(DR14="","",COUNTIFS($D$25:$D$267,Parameters!$K$2,$E$25:$E$267,Parameters!$M$3,Calendrier!$C$25:$C$267,DR14)+ COUNTIFS($D$25:$D$267,Parameters!$K$3,$E$25:$E$267,Parameters!$M$3,Calendrier!$C$25:$C$267,DR14))</f>
        <v>0</v>
      </c>
      <c r="JJ14" s="50">
        <f>IF(DS14="","",COUNTIFS($D$25:$D$267,Parameters!$K$2,$E$25:$E$267,Parameters!$M$3,Calendrier!$C$25:$C$267,DS14)+ COUNTIFS($D$25:$D$267,Parameters!$K$4,$E$25:$E$267,Parameters!$M$3,Calendrier!$C$25:$C$267,DS14))</f>
        <v>0</v>
      </c>
      <c r="JK14" s="50" t="str">
        <f>IF(DT14="","",COUNTIFS($D$25:$D$267,Parameters!$K$2,$E$25:$E$267,Parameters!$M$3,Calendrier!$C$25:$C$267,DT14)+ COUNTIFS($D$25:$D$267,Parameters!$K$3,$E$25:$E$267,Parameters!$M$3,Calendrier!$C$25:$C$267,DT14))</f>
        <v/>
      </c>
      <c r="JL14" s="57" t="str">
        <f>IF(DU14="","",COUNTIFS($D$25:$D$267,Parameters!$K$2,$E$25:$E$267,Parameters!$M$3,Calendrier!$C$25:$C$267,DU14)+ COUNTIFS($D$25:$D$267,Parameters!$K$4,$E$25:$E$267,Parameters!$M$3,Calendrier!$C$25:$C$267,DU14))</f>
        <v/>
      </c>
      <c r="JO14" s="49">
        <f>IF(DX14="","",COUNTIFS($D$25:$D$267,Parameters!$K$2,$E$25:$E$267,Parameters!$M$3,Calendrier!$C$25:$C$267,DX14)+ COUNTIFS($D$25:$D$267,Parameters!$K$3,$E$25:$E$267,Parameters!$M$3,Calendrier!$C$25:$C$267,DX14))</f>
        <v>0</v>
      </c>
      <c r="JP14" s="50">
        <f>IF(DY14="","",COUNTIFS($D$25:$D$267,Parameters!$K$2,$E$25:$E$267,Parameters!$M$3,Calendrier!$C$25:$C$267,DY14)+ COUNTIFS($D$25:$D$267,Parameters!$K$4,$E$25:$E$267,Parameters!$M$3,Calendrier!$C$25:$C$267,DY14))</f>
        <v>0</v>
      </c>
      <c r="JQ14" s="50">
        <f>IF(DZ14="","",COUNTIFS($D$25:$D$267,Parameters!$K$2,$E$25:$E$267,Parameters!$M$3,Calendrier!$C$25:$C$267,DZ14)+ COUNTIFS($D$25:$D$267,Parameters!$K$3,$E$25:$E$267,Parameters!$M$3,Calendrier!$C$25:$C$267,DZ14))</f>
        <v>0</v>
      </c>
      <c r="JR14" s="50">
        <f>IF(EA14="","",COUNTIFS($D$25:$D$267,Parameters!$K$2,$E$25:$E$267,Parameters!$M$3,Calendrier!$C$25:$C$267,EA14)+ COUNTIFS($D$25:$D$267,Parameters!$K$4,$E$25:$E$267,Parameters!$M$3,Calendrier!$C$25:$C$267,EA14))</f>
        <v>0</v>
      </c>
      <c r="JS14" s="50">
        <f>IF(EB14="","",COUNTIFS($D$25:$D$267,Parameters!$K$2,$E$25:$E$267,Parameters!$M$3,Calendrier!$C$25:$C$267,EB14)+ COUNTIFS($D$25:$D$267,Parameters!$K$3,$E$25:$E$267,Parameters!$M$3,Calendrier!$C$25:$C$267,EB14))</f>
        <v>0</v>
      </c>
      <c r="JT14" s="50">
        <f>IF(EC14="","",COUNTIFS($D$25:$D$267,Parameters!$K$2,$E$25:$E$267,Parameters!$M$3,Calendrier!$C$25:$C$267,EC14)+ COUNTIFS($D$25:$D$267,Parameters!$K$4,$E$25:$E$267,Parameters!$M$3,Calendrier!$C$25:$C$267,EC14))</f>
        <v>0</v>
      </c>
      <c r="JU14" s="50">
        <f>IF(ED14="","",COUNTIFS($D$25:$D$267,Parameters!$K$2,$E$25:$E$267,Parameters!$M$3,Calendrier!$C$25:$C$267,ED14)+ COUNTIFS($D$25:$D$267,Parameters!$K$3,$E$25:$E$267,Parameters!$M$3,Calendrier!$C$25:$C$267,ED14))</f>
        <v>0</v>
      </c>
      <c r="JV14" s="50">
        <f>IF(EE14="","",COUNTIFS($D$25:$D$267,Parameters!$K$2,$E$25:$E$267,Parameters!$M$3,Calendrier!$C$25:$C$267,EE14)+ COUNTIFS($D$25:$D$267,Parameters!$K$4,$E$25:$E$267,Parameters!$M$3,Calendrier!$C$25:$C$267,EE14))</f>
        <v>0</v>
      </c>
      <c r="JW14" s="50">
        <f>IF(EF14="","",COUNTIFS($D$25:$D$267,Parameters!$K$2,$E$25:$E$267,Parameters!$M$3,Calendrier!$C$25:$C$267,EF14)+ COUNTIFS($D$25:$D$267,Parameters!$K$3,$E$25:$E$267,Parameters!$M$3,Calendrier!$C$25:$C$267,EF14))</f>
        <v>0</v>
      </c>
      <c r="JX14" s="50">
        <f>IF(EG14="","",COUNTIFS($D$25:$D$267,Parameters!$K$2,$E$25:$E$267,Parameters!$M$3,Calendrier!$C$25:$C$267,EG14)+ COUNTIFS($D$25:$D$267,Parameters!$K$4,$E$25:$E$267,Parameters!$M$3,Calendrier!$C$25:$C$267,EG14))</f>
        <v>0</v>
      </c>
      <c r="JY14" s="50">
        <f>IF(EH14="","",COUNTIFS($D$25:$D$267,Parameters!$K$2,$E$25:$E$267,Parameters!$M$3,Calendrier!$C$25:$C$267,EH14)+ COUNTIFS($D$25:$D$267,Parameters!$K$3,$E$25:$E$267,Parameters!$M$3,Calendrier!$C$25:$C$267,EH14))</f>
        <v>0</v>
      </c>
      <c r="JZ14" s="50">
        <f>IF(EI14="","",COUNTIFS($D$25:$D$267,Parameters!$K$2,$E$25:$E$267,Parameters!$M$3,Calendrier!$C$25:$C$267,EI14)+ COUNTIFS($D$25:$D$267,Parameters!$K$4,$E$25:$E$267,Parameters!$M$3,Calendrier!$C$25:$C$267,EI14))</f>
        <v>0</v>
      </c>
      <c r="KA14" s="50" t="str">
        <f>IF(EJ14="","",COUNTIFS($D$25:$D$267,Parameters!$K$2,$E$25:$E$267,Parameters!$M$3,Calendrier!$C$25:$C$267,EJ14)+ COUNTIFS($D$25:$D$267,Parameters!$K$3,$E$25:$E$267,Parameters!$M$3,Calendrier!$C$25:$C$267,EJ14))</f>
        <v/>
      </c>
      <c r="KB14" s="57" t="str">
        <f>IF(EK14="","",COUNTIFS($D$25:$D$267,Parameters!$K$2,$E$25:$E$267,Parameters!$M$3,Calendrier!$C$25:$C$267,EK14)+ COUNTIFS($D$25:$D$267,Parameters!$K$4,$E$25:$E$267,Parameters!$M$3,Calendrier!$C$25:$C$267,EK14))</f>
        <v/>
      </c>
      <c r="KE14" s="49">
        <f>IF(EN14="","",COUNTIFS($D$25:$D$267,Parameters!$K$2,$E$25:$E$267,Parameters!$M$3,Calendrier!$C$25:$C$267,EN14)+ COUNTIFS($D$25:$D$267,Parameters!$K$3,$E$25:$E$267,Parameters!$M$3,Calendrier!$C$25:$C$267,EN14))</f>
        <v>0</v>
      </c>
      <c r="KF14" s="50">
        <f>IF(EO14="","",COUNTIFS($D$25:$D$267,Parameters!$K$2,$E$25:$E$267,Parameters!$M$3,Calendrier!$C$25:$C$267,EO14)+ COUNTIFS($D$25:$D$267,Parameters!$K$4,$E$25:$E$267,Parameters!$M$3,Calendrier!$C$25:$C$267,EO14))</f>
        <v>0</v>
      </c>
      <c r="KG14" s="50">
        <f>IF(EP14="","",COUNTIFS($D$25:$D$267,Parameters!$K$2,$E$25:$E$267,Parameters!$M$3,Calendrier!$C$25:$C$267,EP14)+ COUNTIFS($D$25:$D$267,Parameters!$K$3,$E$25:$E$267,Parameters!$M$3,Calendrier!$C$25:$C$267,EP14))</f>
        <v>0</v>
      </c>
      <c r="KH14" s="50">
        <f>IF(EQ14="","",COUNTIFS($D$25:$D$267,Parameters!$K$2,$E$25:$E$267,Parameters!$M$3,Calendrier!$C$25:$C$267,EQ14)+ COUNTIFS($D$25:$D$267,Parameters!$K$4,$E$25:$E$267,Parameters!$M$3,Calendrier!$C$25:$C$267,EQ14))</f>
        <v>0</v>
      </c>
      <c r="KI14" s="50">
        <f>IF(ER14="","",COUNTIFS($D$25:$D$267,Parameters!$K$2,$E$25:$E$267,Parameters!$M$3,Calendrier!$C$25:$C$267,ER14)+ COUNTIFS($D$25:$D$267,Parameters!$K$3,$E$25:$E$267,Parameters!$M$3,Calendrier!$C$25:$C$267,ER14))</f>
        <v>0</v>
      </c>
      <c r="KJ14" s="50">
        <f>IF(ES14="","",COUNTIFS($D$25:$D$267,Parameters!$K$2,$E$25:$E$267,Parameters!$M$3,Calendrier!$C$25:$C$267,ES14)+ COUNTIFS($D$25:$D$267,Parameters!$K$4,$E$25:$E$267,Parameters!$M$3,Calendrier!$C$25:$C$267,ES14))</f>
        <v>0</v>
      </c>
      <c r="KK14" s="50">
        <f>IF(ET14="","",COUNTIFS($D$25:$D$267,Parameters!$K$2,$E$25:$E$267,Parameters!$M$3,Calendrier!$C$25:$C$267,ET14)+ COUNTIFS($D$25:$D$267,Parameters!$K$3,$E$25:$E$267,Parameters!$M$3,Calendrier!$C$25:$C$267,ET14))</f>
        <v>0</v>
      </c>
      <c r="KL14" s="50">
        <f>IF(EU14="","",COUNTIFS($D$25:$D$267,Parameters!$K$2,$E$25:$E$267,Parameters!$M$3,Calendrier!$C$25:$C$267,EU14)+ COUNTIFS($D$25:$D$267,Parameters!$K$4,$E$25:$E$267,Parameters!$M$3,Calendrier!$C$25:$C$267,EU14))</f>
        <v>0</v>
      </c>
      <c r="KM14" s="50">
        <f>IF(EV14="","",COUNTIFS($D$25:$D$267,Parameters!$K$2,$E$25:$E$267,Parameters!$M$3,Calendrier!$C$25:$C$267,EV14)+ COUNTIFS($D$25:$D$267,Parameters!$K$3,$E$25:$E$267,Parameters!$M$3,Calendrier!$C$25:$C$267,EV14))</f>
        <v>0</v>
      </c>
      <c r="KN14" s="50">
        <f>IF(EW14="","",COUNTIFS($D$25:$D$267,Parameters!$K$2,$E$25:$E$267,Parameters!$M$3,Calendrier!$C$25:$C$267,EW14)+ COUNTIFS($D$25:$D$267,Parameters!$K$4,$E$25:$E$267,Parameters!$M$3,Calendrier!$C$25:$C$267,EW14))</f>
        <v>0</v>
      </c>
      <c r="KO14" s="50">
        <f>IF(EX14="","",COUNTIFS($D$25:$D$267,Parameters!$K$2,$E$25:$E$267,Parameters!$M$3,Calendrier!$C$25:$C$267,EX14)+ COUNTIFS($D$25:$D$267,Parameters!$K$3,$E$25:$E$267,Parameters!$M$3,Calendrier!$C$25:$C$267,EX14))</f>
        <v>0</v>
      </c>
      <c r="KP14" s="50">
        <f>IF(EY14="","",COUNTIFS($D$25:$D$267,Parameters!$K$2,$E$25:$E$267,Parameters!$M$3,Calendrier!$C$25:$C$267,EY14)+ COUNTIFS($D$25:$D$267,Parameters!$K$4,$E$25:$E$267,Parameters!$M$3,Calendrier!$C$25:$C$267,EY14))</f>
        <v>0</v>
      </c>
      <c r="KQ14" s="50">
        <f>IF(EZ14="","",COUNTIFS($D$25:$D$267,Parameters!$K$2,$E$25:$E$267,Parameters!$M$3,Calendrier!$C$25:$C$267,EZ14)+ COUNTIFS($D$25:$D$267,Parameters!$K$3,$E$25:$E$267,Parameters!$M$3,Calendrier!$C$25:$C$267,EZ14))</f>
        <v>0</v>
      </c>
      <c r="KR14" s="57">
        <f>IF(FA14="","",COUNTIFS($D$25:$D$267,Parameters!$K$2,$E$25:$E$267,Parameters!$M$3,Calendrier!$C$25:$C$267,FA14)+ COUNTIFS($D$25:$D$267,Parameters!$K$4,$E$25:$E$267,Parameters!$M$3,Calendrier!$C$25:$C$267,FA14))</f>
        <v>0</v>
      </c>
      <c r="KV14" s="49">
        <f>IF(DH14="","",COUNTIFS($D$25:$D$267,Parameters!$K$2,$E$25:$E$267,Parameters!$M$4,Calendrier!$C$25:$C$267,DH14)+ COUNTIFS($D$25:$D$267,Parameters!$K$3,$E$25:$E$267,Parameters!$M$4,Calendrier!$C$25:$C$267,DH14))</f>
        <v>0</v>
      </c>
      <c r="KW14" s="50">
        <f>IF(DI14="","",COUNTIFS($D$25:$D$267,Parameters!$K$2,$E$25:$E$267,Parameters!$M$4,Calendrier!$C$25:$C$267,DI14)+ COUNTIFS($D$25:$D$267,Parameters!$K$4,$E$25:$E$267,Parameters!$M$4,Calendrier!$C$25:$C$267,DI14))</f>
        <v>0</v>
      </c>
      <c r="KX14" s="50">
        <f>IF(DJ14="","",COUNTIFS($D$25:$D$267,Parameters!$K$2,$E$25:$E$267,Parameters!$M$4,Calendrier!$C$25:$C$267,DJ14)+ COUNTIFS($D$25:$D$267,Parameters!$K$3,$E$25:$E$267,Parameters!$M$4,Calendrier!$C$25:$C$267,DJ14))</f>
        <v>0</v>
      </c>
      <c r="KY14" s="50">
        <f>IF(DK14="","",COUNTIFS($D$25:$D$267,Parameters!$K$2,$E$25:$E$267,Parameters!$M$4,Calendrier!$C$25:$C$267,DK14)+ COUNTIFS($D$25:$D$267,Parameters!$K$4,$E$25:$E$267,Parameters!$M$4,Calendrier!$C$25:$C$267,DK14))</f>
        <v>0</v>
      </c>
      <c r="KZ14" s="50">
        <f>IF(DL14="","",COUNTIFS($D$25:$D$267,Parameters!$K$2,$E$25:$E$267,Parameters!$M$4,Calendrier!$C$25:$C$267,DL14)+ COUNTIFS($D$25:$D$267,Parameters!$K$3,$E$25:$E$267,Parameters!$M$4,Calendrier!$C$25:$C$267,DL14))</f>
        <v>0</v>
      </c>
      <c r="LA14" s="50">
        <f>IF(DM14="","",COUNTIFS($D$25:$D$267,Parameters!$K$2,$E$25:$E$267,Parameters!$M$4,Calendrier!$C$25:$C$267,DM14)+ COUNTIFS($D$25:$D$267,Parameters!$K$4,$E$25:$E$267,Parameters!$M$4,Calendrier!$C$25:$C$267,DM14))</f>
        <v>0</v>
      </c>
      <c r="LB14" s="50">
        <f>IF(DN14="","",COUNTIFS($D$25:$D$267,Parameters!$K$2,$E$25:$E$267,Parameters!$M$4,Calendrier!$C$25:$C$267,DN14)+ COUNTIFS($D$25:$D$267,Parameters!$K$3,$E$25:$E$267,Parameters!$M$4,Calendrier!$C$25:$C$267,DN14))</f>
        <v>0</v>
      </c>
      <c r="LC14" s="50">
        <f>IF(DO14="","",COUNTIFS($D$25:$D$267,Parameters!$K$2,$E$25:$E$267,Parameters!$M$4,Calendrier!$C$25:$C$267,DO14)+ COUNTIFS($D$25:$D$267,Parameters!$K$4,$E$25:$E$267,Parameters!$M$4,Calendrier!$C$25:$C$267,DO14))</f>
        <v>0</v>
      </c>
      <c r="LD14" s="50">
        <f>IF(DP14="","",COUNTIFS($D$25:$D$267,Parameters!$K$2,$E$25:$E$267,Parameters!$M$4,Calendrier!$C$25:$C$267,DP14)+ COUNTIFS($D$25:$D$267,Parameters!$K$3,$E$25:$E$267,Parameters!$M$4,Calendrier!$C$25:$C$267,DP14))</f>
        <v>0</v>
      </c>
      <c r="LE14" s="50">
        <f>IF(DQ14="","",COUNTIFS($D$25:$D$267,Parameters!$K$2,$E$25:$E$267,Parameters!$M$4,Calendrier!$C$25:$C$267,DQ14)+ COUNTIFS($D$25:$D$267,Parameters!$K$4,$E$25:$E$267,Parameters!$M$4,Calendrier!$C$25:$C$267,DQ14))</f>
        <v>0</v>
      </c>
      <c r="LF14" s="50">
        <f>IF(DR14="","",COUNTIFS($D$25:$D$267,Parameters!$K$2,$E$25:$E$267,Parameters!$M$4,Calendrier!$C$25:$C$267,DR14)+ COUNTIFS($D$25:$D$267,Parameters!$K$3,$E$25:$E$267,Parameters!$M$4,Calendrier!$C$25:$C$267,DR14))</f>
        <v>0</v>
      </c>
      <c r="LG14" s="50">
        <f>IF(DS14="","",COUNTIFS($D$25:$D$267,Parameters!$K$2,$E$25:$E$267,Parameters!$M$4,Calendrier!$C$25:$C$267,DS14)+ COUNTIFS($D$25:$D$267,Parameters!$K$4,$E$25:$E$267,Parameters!$M$4,Calendrier!$C$25:$C$267,DS14))</f>
        <v>0</v>
      </c>
      <c r="LH14" s="50" t="str">
        <f>IF(DT14="","",COUNTIFS($D$25:$D$267,Parameters!$K$2,$E$25:$E$267,Parameters!$M$4,Calendrier!$C$25:$C$267,DT14)+ COUNTIFS($D$25:$D$267,Parameters!$K$3,$E$25:$E$267,Parameters!$M$4,Calendrier!$C$25:$C$267,DT14))</f>
        <v/>
      </c>
      <c r="LI14" s="57" t="str">
        <f>IF(DU14="","",COUNTIFS($D$25:$D$267,Parameters!$K$2,$E$25:$E$267,Parameters!$M$4,Calendrier!$C$25:$C$267,DU14)+ COUNTIFS($D$25:$D$267,Parameters!$K$4,$E$25:$E$267,Parameters!$M$4,Calendrier!$C$25:$C$267,DU14))</f>
        <v/>
      </c>
      <c r="LL14" s="49">
        <f>IF(DX14="","",COUNTIFS($D$25:$D$267,Parameters!$K$2,$E$25:$E$267,Parameters!$M$4,Calendrier!$C$25:$C$267,DX14)+ COUNTIFS($D$25:$D$267,Parameters!$K$3,$E$25:$E$267,Parameters!$M$4,Calendrier!$C$25:$C$267,DX14))</f>
        <v>0</v>
      </c>
      <c r="LM14" s="50">
        <f>IF(DY14="","",COUNTIFS($D$25:$D$267,Parameters!$K$2,$E$25:$E$267,Parameters!$M$4,Calendrier!$C$25:$C$267,DY14)+ COUNTIFS($D$25:$D$267,Parameters!$K$4,$E$25:$E$267,Parameters!$M$4,Calendrier!$C$25:$C$267,DY14))</f>
        <v>0</v>
      </c>
      <c r="LN14" s="50">
        <f>IF(DZ14="","",COUNTIFS($D$25:$D$267,Parameters!$K$2,$E$25:$E$267,Parameters!$M$4,Calendrier!$C$25:$C$267,DZ14)+ COUNTIFS($D$25:$D$267,Parameters!$K$3,$E$25:$E$267,Parameters!$M$4,Calendrier!$C$25:$C$267,DZ14))</f>
        <v>0</v>
      </c>
      <c r="LO14" s="50">
        <f>IF(EA14="","",COUNTIFS($D$25:$D$267,Parameters!$K$2,$E$25:$E$267,Parameters!$M$4,Calendrier!$C$25:$C$267,EA14)+ COUNTIFS($D$25:$D$267,Parameters!$K$4,$E$25:$E$267,Parameters!$M$4,Calendrier!$C$25:$C$267,EA14))</f>
        <v>0</v>
      </c>
      <c r="LP14" s="50">
        <f>IF(EB14="","",COUNTIFS($D$25:$D$267,Parameters!$K$2,$E$25:$E$267,Parameters!$M$4,Calendrier!$C$25:$C$267,EB14)+ COUNTIFS($D$25:$D$267,Parameters!$K$3,$E$25:$E$267,Parameters!$M$4,Calendrier!$C$25:$C$267,EB14))</f>
        <v>0</v>
      </c>
      <c r="LQ14" s="50">
        <f>IF(EC14="","",COUNTIFS($D$25:$D$267,Parameters!$K$2,$E$25:$E$267,Parameters!$M$4,Calendrier!$C$25:$C$267,EC14)+ COUNTIFS($D$25:$D$267,Parameters!$K$4,$E$25:$E$267,Parameters!$M$4,Calendrier!$C$25:$C$267,EC14))</f>
        <v>0</v>
      </c>
      <c r="LR14" s="50">
        <f>IF(ED14="","",COUNTIFS($D$25:$D$267,Parameters!$K$2,$E$25:$E$267,Parameters!$M$4,Calendrier!$C$25:$C$267,ED14)+ COUNTIFS($D$25:$D$267,Parameters!$K$3,$E$25:$E$267,Parameters!$M$4,Calendrier!$C$25:$C$267,ED14))</f>
        <v>0</v>
      </c>
      <c r="LS14" s="50">
        <f>IF(EE14="","",COUNTIFS($D$25:$D$267,Parameters!$K$2,$E$25:$E$267,Parameters!$M$4,Calendrier!$C$25:$C$267,EE14)+ COUNTIFS($D$25:$D$267,Parameters!$K$4,$E$25:$E$267,Parameters!$M$4,Calendrier!$C$25:$C$267,EE14))</f>
        <v>0</v>
      </c>
      <c r="LT14" s="50">
        <f>IF(EF14="","",COUNTIFS($D$25:$D$267,Parameters!$K$2,$E$25:$E$267,Parameters!$M$4,Calendrier!$C$25:$C$267,EF14)+ COUNTIFS($D$25:$D$267,Parameters!$K$3,$E$25:$E$267,Parameters!$M$4,Calendrier!$C$25:$C$267,EF14))</f>
        <v>0</v>
      </c>
      <c r="LU14" s="50">
        <f>IF(EG14="","",COUNTIFS($D$25:$D$267,Parameters!$K$2,$E$25:$E$267,Parameters!$M$4,Calendrier!$C$25:$C$267,EG14)+ COUNTIFS($D$25:$D$267,Parameters!$K$4,$E$25:$E$267,Parameters!$M$4,Calendrier!$C$25:$C$267,EG14))</f>
        <v>0</v>
      </c>
      <c r="LV14" s="50">
        <f>IF(EH14="","",COUNTIFS($D$25:$D$267,Parameters!$K$2,$E$25:$E$267,Parameters!$M$4,Calendrier!$C$25:$C$267,EH14)+ COUNTIFS($D$25:$D$267,Parameters!$K$3,$E$25:$E$267,Parameters!$M$4,Calendrier!$C$25:$C$267,EH14))</f>
        <v>0</v>
      </c>
      <c r="LW14" s="50">
        <f>IF(EI14="","",COUNTIFS($D$25:$D$267,Parameters!$K$2,$E$25:$E$267,Parameters!$M$4,Calendrier!$C$25:$C$267,EI14)+ COUNTIFS($D$25:$D$267,Parameters!$K$4,$E$25:$E$267,Parameters!$M$4,Calendrier!$C$25:$C$267,EI14))</f>
        <v>0</v>
      </c>
      <c r="LX14" s="50" t="str">
        <f>IF(EJ14="","",COUNTIFS($D$25:$D$267,Parameters!$K$2,$E$25:$E$267,Parameters!$M$4,Calendrier!$C$25:$C$267,EJ14)+ COUNTIFS($D$25:$D$267,Parameters!$K$3,$E$25:$E$267,Parameters!$M$4,Calendrier!$C$25:$C$267,EJ14))</f>
        <v/>
      </c>
      <c r="LY14" s="57" t="str">
        <f>IF(EK14="","",COUNTIFS($D$25:$D$267,Parameters!$K$2,$E$25:$E$267,Parameters!$M$4,Calendrier!$C$25:$C$267,EK14)+ COUNTIFS($D$25:$D$267,Parameters!$K$4,$E$25:$E$267,Parameters!$M$4,Calendrier!$C$25:$C$267,EK14))</f>
        <v/>
      </c>
      <c r="MB14" s="49">
        <f>IF(EN14="","",COUNTIFS($D$25:$D$267,Parameters!$K$2,$E$25:$E$267,Parameters!$M$4,Calendrier!$C$25:$C$267,EN14)+ COUNTIFS($D$25:$D$267,Parameters!$K$3,$E$25:$E$267,Parameters!$M$4,Calendrier!$C$25:$C$267,EN14))</f>
        <v>0</v>
      </c>
      <c r="MC14" s="50">
        <f>IF(EO14="","",COUNTIFS($D$25:$D$267,Parameters!$K$2,$E$25:$E$267,Parameters!$M$4,Calendrier!$C$25:$C$267,EO14)+ COUNTIFS($D$25:$D$267,Parameters!$K$4,$E$25:$E$267,Parameters!$M$4,Calendrier!$C$25:$C$267,EO14))</f>
        <v>0</v>
      </c>
      <c r="MD14" s="50">
        <f>IF(EP14="","",COUNTIFS($D$25:$D$267,Parameters!$K$2,$E$25:$E$267,Parameters!$M$4,Calendrier!$C$25:$C$267,EP14)+ COUNTIFS($D$25:$D$267,Parameters!$K$3,$E$25:$E$267,Parameters!$M$4,Calendrier!$C$25:$C$267,EP14))</f>
        <v>0</v>
      </c>
      <c r="ME14" s="50">
        <f>IF(EQ14="","",COUNTIFS($D$25:$D$267,Parameters!$K$2,$E$25:$E$267,Parameters!$M$4,Calendrier!$C$25:$C$267,EQ14)+ COUNTIFS($D$25:$D$267,Parameters!$K$4,$E$25:$E$267,Parameters!$M$4,Calendrier!$C$25:$C$267,EQ14))</f>
        <v>0</v>
      </c>
      <c r="MF14" s="50">
        <f>IF(ER14="","",COUNTIFS($D$25:$D$267,Parameters!$K$2,$E$25:$E$267,Parameters!$M$4,Calendrier!$C$25:$C$267,ER14)+ COUNTIFS($D$25:$D$267,Parameters!$K$3,$E$25:$E$267,Parameters!$M$4,Calendrier!$C$25:$C$267,ER14))</f>
        <v>0</v>
      </c>
      <c r="MG14" s="50">
        <f>IF(ES14="","",COUNTIFS($D$25:$D$267,Parameters!$K$2,$E$25:$E$267,Parameters!$M$4,Calendrier!$C$25:$C$267,ES14)+ COUNTIFS($D$25:$D$267,Parameters!$K$4,$E$25:$E$267,Parameters!$M$4,Calendrier!$C$25:$C$267,ES14))</f>
        <v>0</v>
      </c>
      <c r="MH14" s="50">
        <f>IF(ET14="","",COUNTIFS($D$25:$D$267,Parameters!$K$2,$E$25:$E$267,Parameters!$M$4,Calendrier!$C$25:$C$267,ET14)+ COUNTIFS($D$25:$D$267,Parameters!$K$3,$E$25:$E$267,Parameters!$M$4,Calendrier!$C$25:$C$267,ET14))</f>
        <v>0</v>
      </c>
      <c r="MI14" s="50">
        <f>IF(EU14="","",COUNTIFS($D$25:$D$267,Parameters!$K$2,$E$25:$E$267,Parameters!$M$4,Calendrier!$C$25:$C$267,EU14)+ COUNTIFS($D$25:$D$267,Parameters!$K$4,$E$25:$E$267,Parameters!$M$4,Calendrier!$C$25:$C$267,EU14))</f>
        <v>0</v>
      </c>
      <c r="MJ14" s="50">
        <f>IF(EV14="","",COUNTIFS($D$25:$D$267,Parameters!$K$2,$E$25:$E$267,Parameters!$M$4,Calendrier!$C$25:$C$267,EV14)+ COUNTIFS($D$25:$D$267,Parameters!$K$3,$E$25:$E$267,Parameters!$M$4,Calendrier!$C$25:$C$267,EV14))</f>
        <v>0</v>
      </c>
      <c r="MK14" s="50">
        <f>IF(EW14="","",COUNTIFS($D$25:$D$267,Parameters!$K$2,$E$25:$E$267,Parameters!$M$4,Calendrier!$C$25:$C$267,EW14)+ COUNTIFS($D$25:$D$267,Parameters!$K$4,$E$25:$E$267,Parameters!$M$4,Calendrier!$C$25:$C$267,EW14))</f>
        <v>0</v>
      </c>
      <c r="ML14" s="50">
        <f>IF(EX14="","",COUNTIFS($D$25:$D$267,Parameters!$K$2,$E$25:$E$267,Parameters!$M$4,Calendrier!$C$25:$C$267,EX14)+ COUNTIFS($D$25:$D$267,Parameters!$K$3,$E$25:$E$267,Parameters!$M$4,Calendrier!$C$25:$C$267,EX14))</f>
        <v>0</v>
      </c>
      <c r="MM14" s="50">
        <f>IF(EY14="","",COUNTIFS($D$25:$D$267,Parameters!$K$2,$E$25:$E$267,Parameters!$M$4,Calendrier!$C$25:$C$267,EY14)+ COUNTIFS($D$25:$D$267,Parameters!$K$4,$E$25:$E$267,Parameters!$M$4,Calendrier!$C$25:$C$267,EY14))</f>
        <v>0</v>
      </c>
      <c r="MN14" s="50">
        <f>IF(EZ14="","",COUNTIFS($D$25:$D$267,Parameters!$K$2,$E$25:$E$267,Parameters!$M$4,Calendrier!$C$25:$C$267,EZ14)+ COUNTIFS($D$25:$D$267,Parameters!$K$3,$E$25:$E$267,Parameters!$M$4,Calendrier!$C$25:$C$267,EZ14))</f>
        <v>0</v>
      </c>
      <c r="MO14" s="57">
        <f>IF(FA14="","",COUNTIFS($D$25:$D$267,Parameters!$K$2,$E$25:$E$267,Parameters!$M$4,Calendrier!$C$25:$C$267,FA14)+ COUNTIFS($D$25:$D$267,Parameters!$K$4,$E$25:$E$267,Parameters!$M$4,Calendrier!$C$25:$C$267,FA14))</f>
        <v>0</v>
      </c>
      <c r="MS14" s="49">
        <f>IF(DH14="","",COUNTIFS($D$25:$D$267,Parameters!$K$2,$E$25:$E$267,Parameters!$M$5,Calendrier!$C$25:$C$267,DH14)+ COUNTIFS($D$25:$D$267,Parameters!$K$3,$E$25:$E$267,Parameters!$M$5,Calendrier!$C$25:$C$267,DH14))</f>
        <v>0</v>
      </c>
      <c r="MT14" s="50">
        <f>IF(DI14="","",COUNTIFS($D$25:$D$267,Parameters!$K$2,$E$25:$E$267,Parameters!$M$5,Calendrier!$C$25:$C$267,DI14)+ COUNTIFS($D$25:$D$267,Parameters!$K$4,$E$25:$E$267,Parameters!$M$5,Calendrier!$C$25:$C$267,DI14))</f>
        <v>0</v>
      </c>
      <c r="MU14" s="50">
        <f>IF(DJ14="","",COUNTIFS($D$25:$D$267,Parameters!$K$2,$E$25:$E$267,Parameters!$M$5,Calendrier!$C$25:$C$267,DJ14)+ COUNTIFS($D$25:$D$267,Parameters!$K$3,$E$25:$E$267,Parameters!$M$5,Calendrier!$C$25:$C$267,DJ14))</f>
        <v>0</v>
      </c>
      <c r="MV14" s="50">
        <f>IF(DK14="","",COUNTIFS($D$25:$D$267,Parameters!$K$2,$E$25:$E$267,Parameters!$M$5,Calendrier!$C$25:$C$267,DK14)+ COUNTIFS($D$25:$D$267,Parameters!$K$4,$E$25:$E$267,Parameters!$M$5,Calendrier!$C$25:$C$267,DK14))</f>
        <v>0</v>
      </c>
      <c r="MW14" s="50">
        <f>IF(DL14="","",COUNTIFS($D$25:$D$267,Parameters!$K$2,$E$25:$E$267,Parameters!$M$5,Calendrier!$C$25:$C$267,DL14)+ COUNTIFS($D$25:$D$267,Parameters!$K$3,$E$25:$E$267,Parameters!$M$5,Calendrier!$C$25:$C$267,DL14))</f>
        <v>0</v>
      </c>
      <c r="MX14" s="50">
        <f>IF(DM14="","",COUNTIFS($D$25:$D$267,Parameters!$K$2,$E$25:$E$267,Parameters!$M$5,Calendrier!$C$25:$C$267,DM14)+ COUNTIFS($D$25:$D$267,Parameters!$K$4,$E$25:$E$267,Parameters!$M$5,Calendrier!$C$25:$C$267,DM14))</f>
        <v>0</v>
      </c>
      <c r="MY14" s="50">
        <f>IF(DN14="","",COUNTIFS($D$25:$D$267,Parameters!$K$2,$E$25:$E$267,Parameters!$M$5,Calendrier!$C$25:$C$267,DN14)+ COUNTIFS($D$25:$D$267,Parameters!$K$3,$E$25:$E$267,Parameters!$M$5,Calendrier!$C$25:$C$267,DN14))</f>
        <v>0</v>
      </c>
      <c r="MZ14" s="50">
        <f>IF(DO14="","",COUNTIFS($D$25:$D$267,Parameters!$K$2,$E$25:$E$267,Parameters!$M$5,Calendrier!$C$25:$C$267,DO14)+ COUNTIFS($D$25:$D$267,Parameters!$K$4,$E$25:$E$267,Parameters!$M$5,Calendrier!$C$25:$C$267,DO14))</f>
        <v>0</v>
      </c>
      <c r="NA14" s="50">
        <f>IF(DP14="","",COUNTIFS($D$25:$D$267,Parameters!$K$2,$E$25:$E$267,Parameters!$M$5,Calendrier!$C$25:$C$267,DP14)+ COUNTIFS($D$25:$D$267,Parameters!$K$3,$E$25:$E$267,Parameters!$M$5,Calendrier!$C$25:$C$267,DP14))</f>
        <v>0</v>
      </c>
      <c r="NB14" s="50">
        <f>IF(DQ14="","",COUNTIFS($D$25:$D$267,Parameters!$K$2,$E$25:$E$267,Parameters!$M$5,Calendrier!$C$25:$C$267,DQ14)+ COUNTIFS($D$25:$D$267,Parameters!$K$4,$E$25:$E$267,Parameters!$M$5,Calendrier!$C$25:$C$267,DQ14))</f>
        <v>0</v>
      </c>
      <c r="NC14" s="50">
        <f>IF(DR14="","",COUNTIFS($D$25:$D$267,Parameters!$K$2,$E$25:$E$267,Parameters!$M$5,Calendrier!$C$25:$C$267,DR14)+ COUNTIFS($D$25:$D$267,Parameters!$K$3,$E$25:$E$267,Parameters!$M$5,Calendrier!$C$25:$C$267,DR14))</f>
        <v>0</v>
      </c>
      <c r="ND14" s="50">
        <f>IF(DS14="","",COUNTIFS($D$25:$D$267,Parameters!$K$2,$E$25:$E$267,Parameters!$M$5,Calendrier!$C$25:$C$267,DS14)+ COUNTIFS($D$25:$D$267,Parameters!$K$4,$E$25:$E$267,Parameters!$M$5,Calendrier!$C$25:$C$267,DS14))</f>
        <v>0</v>
      </c>
      <c r="NE14" s="50" t="str">
        <f>IF(DT14="","",COUNTIFS($D$25:$D$267,Parameters!$K$2,$E$25:$E$267,Parameters!$M$5,Calendrier!$C$25:$C$267,DT14)+ COUNTIFS($D$25:$D$267,Parameters!$K$3,$E$25:$E$267,Parameters!$M$5,Calendrier!$C$25:$C$267,DT14))</f>
        <v/>
      </c>
      <c r="NF14" s="57" t="str">
        <f>IF(DU14="","",COUNTIFS($D$25:$D$267,Parameters!$K$2,$E$25:$E$267,Parameters!$M$5,Calendrier!$C$25:$C$267,DU14)+ COUNTIFS($D$25:$D$267,Parameters!$K$4,$E$25:$E$267,Parameters!$M$5,Calendrier!$C$25:$C$267,DU14))</f>
        <v/>
      </c>
      <c r="NI14" s="49">
        <f>IF(DX14="","",COUNTIFS($D$25:$D$267,Parameters!$K$2,$E$25:$E$267,Parameters!$M$5,Calendrier!$C$25:$C$267,DX14)+ COUNTIFS($D$25:$D$267,Parameters!$K$3,$E$25:$E$267,Parameters!$M$5,Calendrier!$C$25:$C$267,DX14))</f>
        <v>0</v>
      </c>
      <c r="NJ14" s="50">
        <f>IF(DY14="","",COUNTIFS($D$25:$D$267,Parameters!$K$2,$E$25:$E$267,Parameters!$M$5,Calendrier!$C$25:$C$267,DY14)+ COUNTIFS($D$25:$D$267,Parameters!$K$4,$E$25:$E$267,Parameters!$M$5,Calendrier!$C$25:$C$267,DY14))</f>
        <v>0</v>
      </c>
      <c r="NK14" s="50">
        <f>IF(DZ14="","",COUNTIFS($D$25:$D$267,Parameters!$K$2,$E$25:$E$267,Parameters!$M$5,Calendrier!$C$25:$C$267,DZ14)+ COUNTIFS($D$25:$D$267,Parameters!$K$3,$E$25:$E$267,Parameters!$M$5,Calendrier!$C$25:$C$267,DZ14))</f>
        <v>0</v>
      </c>
      <c r="NL14" s="50">
        <f>IF(EA14="","",COUNTIFS($D$25:$D$267,Parameters!$K$2,$E$25:$E$267,Parameters!$M$5,Calendrier!$C$25:$C$267,EA14)+ COUNTIFS($D$25:$D$267,Parameters!$K$4,$E$25:$E$267,Parameters!$M$5,Calendrier!$C$25:$C$267,EA14))</f>
        <v>0</v>
      </c>
      <c r="NM14" s="50">
        <f>IF(EB14="","",COUNTIFS($D$25:$D$267,Parameters!$K$2,$E$25:$E$267,Parameters!$M$5,Calendrier!$C$25:$C$267,EB14)+ COUNTIFS($D$25:$D$267,Parameters!$K$3,$E$25:$E$267,Parameters!$M$5,Calendrier!$C$25:$C$267,EB14))</f>
        <v>0</v>
      </c>
      <c r="NN14" s="50">
        <f>IF(EC14="","",COUNTIFS($D$25:$D$267,Parameters!$K$2,$E$25:$E$267,Parameters!$M$5,Calendrier!$C$25:$C$267,EC14)+ COUNTIFS($D$25:$D$267,Parameters!$K$4,$E$25:$E$267,Parameters!$M$5,Calendrier!$C$25:$C$267,EC14))</f>
        <v>0</v>
      </c>
      <c r="NO14" s="50">
        <f>IF(ED14="","",COUNTIFS($D$25:$D$267,Parameters!$K$2,$E$25:$E$267,Parameters!$M$5,Calendrier!$C$25:$C$267,ED14)+ COUNTIFS($D$25:$D$267,Parameters!$K$3,$E$25:$E$267,Parameters!$M$5,Calendrier!$C$25:$C$267,ED14))</f>
        <v>0</v>
      </c>
      <c r="NP14" s="50">
        <f>IF(EE14="","",COUNTIFS($D$25:$D$267,Parameters!$K$2,$E$25:$E$267,Parameters!$M$5,Calendrier!$C$25:$C$267,EE14)+ COUNTIFS($D$25:$D$267,Parameters!$K$4,$E$25:$E$267,Parameters!$M$5,Calendrier!$C$25:$C$267,EE14))</f>
        <v>0</v>
      </c>
      <c r="NQ14" s="50">
        <f>IF(EF14="","",COUNTIFS($D$25:$D$267,Parameters!$K$2,$E$25:$E$267,Parameters!$M$5,Calendrier!$C$25:$C$267,EF14)+ COUNTIFS($D$25:$D$267,Parameters!$K$3,$E$25:$E$267,Parameters!$M$5,Calendrier!$C$25:$C$267,EF14))</f>
        <v>0</v>
      </c>
      <c r="NR14" s="50">
        <f>IF(EG14="","",COUNTIFS($D$25:$D$267,Parameters!$K$2,$E$25:$E$267,Parameters!$M$5,Calendrier!$C$25:$C$267,EG14)+ COUNTIFS($D$25:$D$267,Parameters!$K$4,$E$25:$E$267,Parameters!$M$5,Calendrier!$C$25:$C$267,EG14))</f>
        <v>0</v>
      </c>
      <c r="NS14" s="50">
        <f>IF(EH14="","",COUNTIFS($D$25:$D$267,Parameters!$K$2,$E$25:$E$267,Parameters!$M$5,Calendrier!$C$25:$C$267,EH14)+ COUNTIFS($D$25:$D$267,Parameters!$K$3,$E$25:$E$267,Parameters!$M$5,Calendrier!$C$25:$C$267,EH14))</f>
        <v>0</v>
      </c>
      <c r="NT14" s="50">
        <f>IF(EI14="","",COUNTIFS($D$25:$D$267,Parameters!$K$2,$E$25:$E$267,Parameters!$M$5,Calendrier!$C$25:$C$267,EI14)+ COUNTIFS($D$25:$D$267,Parameters!$K$4,$E$25:$E$267,Parameters!$M$5,Calendrier!$C$25:$C$267,EI14))</f>
        <v>0</v>
      </c>
      <c r="NU14" s="50" t="str">
        <f>IF(EJ14="","",COUNTIFS($D$25:$D$267,Parameters!$K$2,$E$25:$E$267,Parameters!$M$5,Calendrier!$C$25:$C$267,EJ14)+ COUNTIFS($D$25:$D$267,Parameters!$K$3,$E$25:$E$267,Parameters!$M$5,Calendrier!$C$25:$C$267,EJ14))</f>
        <v/>
      </c>
      <c r="NV14" s="57" t="str">
        <f>IF(EK14="","",COUNTIFS($D$25:$D$267,Parameters!$K$2,$E$25:$E$267,Parameters!$M$5,Calendrier!$C$25:$C$267,EK14)+ COUNTIFS($D$25:$D$267,Parameters!$K$4,$E$25:$E$267,Parameters!$M$5,Calendrier!$C$25:$C$267,EK14))</f>
        <v/>
      </c>
      <c r="NY14" s="49">
        <f>IF(EN14="","",COUNTIFS($D$25:$D$267,Parameters!$K$2,$E$25:$E$267,Parameters!$M$5,Calendrier!$C$25:$C$267,EN14)+ COUNTIFS($D$25:$D$267,Parameters!$K$3,$E$25:$E$267,Parameters!$M$5,Calendrier!$C$25:$C$267,EN14))</f>
        <v>0</v>
      </c>
      <c r="NZ14" s="50">
        <f>IF(EO14="","",COUNTIFS($D$25:$D$267,Parameters!$K$2,$E$25:$E$267,Parameters!$M$5,Calendrier!$C$25:$C$267,EO14)+ COUNTIFS($D$25:$D$267,Parameters!$K$4,$E$25:$E$267,Parameters!$M$5,Calendrier!$C$25:$C$267,EO14))</f>
        <v>0</v>
      </c>
      <c r="OA14" s="50">
        <f>IF(EP14="","",COUNTIFS($D$25:$D$267,Parameters!$K$2,$E$25:$E$267,Parameters!$M$5,Calendrier!$C$25:$C$267,EP14)+ COUNTIFS($D$25:$D$267,Parameters!$K$3,$E$25:$E$267,Parameters!$M$5,Calendrier!$C$25:$C$267,EP14))</f>
        <v>0</v>
      </c>
      <c r="OB14" s="50">
        <f>IF(EQ14="","",COUNTIFS($D$25:$D$267,Parameters!$K$2,$E$25:$E$267,Parameters!$M$5,Calendrier!$C$25:$C$267,EQ14)+ COUNTIFS($D$25:$D$267,Parameters!$K$4,$E$25:$E$267,Parameters!$M$5,Calendrier!$C$25:$C$267,EQ14))</f>
        <v>0</v>
      </c>
      <c r="OC14" s="50">
        <f>IF(ER14="","",COUNTIFS($D$25:$D$267,Parameters!$K$2,$E$25:$E$267,Parameters!$M$5,Calendrier!$C$25:$C$267,ER14)+ COUNTIFS($D$25:$D$267,Parameters!$K$3,$E$25:$E$267,Parameters!$M$5,Calendrier!$C$25:$C$267,ER14))</f>
        <v>0</v>
      </c>
      <c r="OD14" s="50">
        <f>IF(ES14="","",COUNTIFS($D$25:$D$267,Parameters!$K$2,$E$25:$E$267,Parameters!$M$5,Calendrier!$C$25:$C$267,ES14)+ COUNTIFS($D$25:$D$267,Parameters!$K$4,$E$25:$E$267,Parameters!$M$5,Calendrier!$C$25:$C$267,ES14))</f>
        <v>0</v>
      </c>
      <c r="OE14" s="50">
        <f>IF(ET14="","",COUNTIFS($D$25:$D$267,Parameters!$K$2,$E$25:$E$267,Parameters!$M$5,Calendrier!$C$25:$C$267,ET14)+ COUNTIFS($D$25:$D$267,Parameters!$K$3,$E$25:$E$267,Parameters!$M$5,Calendrier!$C$25:$C$267,ET14))</f>
        <v>0</v>
      </c>
      <c r="OF14" s="50">
        <f>IF(EU14="","",COUNTIFS($D$25:$D$267,Parameters!$K$2,$E$25:$E$267,Parameters!$M$5,Calendrier!$C$25:$C$267,EU14)+ COUNTIFS($D$25:$D$267,Parameters!$K$4,$E$25:$E$267,Parameters!$M$5,Calendrier!$C$25:$C$267,EU14))</f>
        <v>0</v>
      </c>
      <c r="OG14" s="50">
        <f>IF(EV14="","",COUNTIFS($D$25:$D$267,Parameters!$K$2,$E$25:$E$267,Parameters!$M$5,Calendrier!$C$25:$C$267,EV14)+ COUNTIFS($D$25:$D$267,Parameters!$K$3,$E$25:$E$267,Parameters!$M$5,Calendrier!$C$25:$C$267,EV14))</f>
        <v>0</v>
      </c>
      <c r="OH14" s="50">
        <f>IF(EW14="","",COUNTIFS($D$25:$D$267,Parameters!$K$2,$E$25:$E$267,Parameters!$M$5,Calendrier!$C$25:$C$267,EW14)+ COUNTIFS($D$25:$D$267,Parameters!$K$4,$E$25:$E$267,Parameters!$M$5,Calendrier!$C$25:$C$267,EW14))</f>
        <v>0</v>
      </c>
      <c r="OI14" s="50">
        <f>IF(EX14="","",COUNTIFS($D$25:$D$267,Parameters!$K$2,$E$25:$E$267,Parameters!$M$5,Calendrier!$C$25:$C$267,EX14)+ COUNTIFS($D$25:$D$267,Parameters!$K$3,$E$25:$E$267,Parameters!$M$5,Calendrier!$C$25:$C$267,EX14))</f>
        <v>0</v>
      </c>
      <c r="OJ14" s="50">
        <f>IF(EY14="","",COUNTIFS($D$25:$D$267,Parameters!$K$2,$E$25:$E$267,Parameters!$M$5,Calendrier!$C$25:$C$267,EY14)+ COUNTIFS($D$25:$D$267,Parameters!$K$4,$E$25:$E$267,Parameters!$M$5,Calendrier!$C$25:$C$267,EY14))</f>
        <v>0</v>
      </c>
      <c r="OK14" s="50">
        <f>IF(EZ14="","",COUNTIFS($D$25:$D$267,Parameters!$K$2,$E$25:$E$267,Parameters!$M$5,Calendrier!$C$25:$C$267,EZ14)+ COUNTIFS($D$25:$D$267,Parameters!$K$3,$E$25:$E$267,Parameters!$M$5,Calendrier!$C$25:$C$267,EZ14))</f>
        <v>0</v>
      </c>
      <c r="OL14" s="57">
        <f>IF(FA14="","",COUNTIFS($D$25:$D$267,Parameters!$K$2,$E$25:$E$267,Parameters!$M$5,Calendrier!$C$25:$C$267,FA14)+ COUNTIFS($D$25:$D$267,Parameters!$K$4,$E$25:$E$267,Parameters!$M$5,Calendrier!$C$25:$C$267,FA14))</f>
        <v>0</v>
      </c>
      <c r="OP14" s="49">
        <f>IF(DH14="","",COUNTIFS(Parameters!$Y:$Y,$BF$4,Parameters!$X:$X,DH14))</f>
        <v>0</v>
      </c>
      <c r="OQ14" s="50">
        <f>IF(DI14="","",COUNTIFS(Parameters!$Y:$Y,$BF$4,Parameters!$X:$X,DI14))</f>
        <v>0</v>
      </c>
      <c r="OR14" s="50">
        <f>IF(DJ14="","",COUNTIFS(Parameters!$Y:$Y,$BF$4,Parameters!$X:$X,DJ14))</f>
        <v>0</v>
      </c>
      <c r="OS14" s="50">
        <f>IF(DK14="","",COUNTIFS(Parameters!$Y:$Y,$BF$4,Parameters!$X:$X,DK14))</f>
        <v>0</v>
      </c>
      <c r="OT14" s="50">
        <f>IF(DL14="","",COUNTIFS(Parameters!$Y:$Y,$BF$4,Parameters!$X:$X,DL14))</f>
        <v>0</v>
      </c>
      <c r="OU14" s="50">
        <f>IF(DM14="","",COUNTIFS(Parameters!$Y:$Y,$BF$4,Parameters!$X:$X,DM14))</f>
        <v>0</v>
      </c>
      <c r="OV14" s="50">
        <f>IF(DN14="","",COUNTIFS(Parameters!$Y:$Y,$BF$4,Parameters!$X:$X,DN14))</f>
        <v>0</v>
      </c>
      <c r="OW14" s="50">
        <f>IF(DO14="","",COUNTIFS(Parameters!$Y:$Y,$BF$4,Parameters!$X:$X,DO14))</f>
        <v>0</v>
      </c>
      <c r="OX14" s="50">
        <f>IF(DP14="","",COUNTIFS(Parameters!$Y:$Y,$BF$4,Parameters!$X:$X,DP14))</f>
        <v>0</v>
      </c>
      <c r="OY14" s="50">
        <f>IF(DQ14="","",COUNTIFS(Parameters!$Y:$Y,$BF$4,Parameters!$X:$X,DQ14))</f>
        <v>0</v>
      </c>
      <c r="OZ14" s="50">
        <f>IF(DR14="","",COUNTIFS(Parameters!$Y:$Y,$BF$4,Parameters!$X:$X,DR14))</f>
        <v>0</v>
      </c>
      <c r="PA14" s="50">
        <f>IF(DS14="","",COUNTIFS(Parameters!$Y:$Y,$BF$4,Parameters!$X:$X,DS14))</f>
        <v>0</v>
      </c>
      <c r="PB14" s="50" t="str">
        <f>IF(DT14="","",COUNTIFS(Parameters!$Y:$Y,$BF$4,Parameters!$X:$X,DT14))</f>
        <v/>
      </c>
      <c r="PC14" s="57" t="str">
        <f>IF(DU14="","",COUNTIFS(Parameters!$Y:$Y,$BF$4,Parameters!$X:$X,DU14))</f>
        <v/>
      </c>
      <c r="PF14" s="49">
        <f>IF(DX14="","",COUNTIFS(Parameters!$Y:$Y,$BF$4,Parameters!$X:$X,DX14))</f>
        <v>1</v>
      </c>
      <c r="PG14" s="50">
        <f>IF(DY14="","",COUNTIFS(Parameters!$Y:$Y,$BF$4,Parameters!$X:$X,DY14))</f>
        <v>1</v>
      </c>
      <c r="PH14" s="50">
        <f>IF(DZ14="","",COUNTIFS(Parameters!$Y:$Y,$BF$4,Parameters!$X:$X,DZ14))</f>
        <v>1</v>
      </c>
      <c r="PI14" s="50">
        <f>IF(EA14="","",COUNTIFS(Parameters!$Y:$Y,$BF$4,Parameters!$X:$X,EA14))</f>
        <v>1</v>
      </c>
      <c r="PJ14" s="50">
        <f>IF(EB14="","",COUNTIFS(Parameters!$Y:$Y,$BF$4,Parameters!$X:$X,EB14))</f>
        <v>1</v>
      </c>
      <c r="PK14" s="50">
        <f>IF(EC14="","",COUNTIFS(Parameters!$Y:$Y,$BF$4,Parameters!$X:$X,EC14))</f>
        <v>1</v>
      </c>
      <c r="PL14" s="50">
        <f>IF(ED14="","",COUNTIFS(Parameters!$Y:$Y,$BF$4,Parameters!$X:$X,ED14))</f>
        <v>1</v>
      </c>
      <c r="PM14" s="50">
        <f>IF(EE14="","",COUNTIFS(Parameters!$Y:$Y,$BF$4,Parameters!$X:$X,EE14))</f>
        <v>1</v>
      </c>
      <c r="PN14" s="50">
        <f>IF(EF14="","",COUNTIFS(Parameters!$Y:$Y,$BF$4,Parameters!$X:$X,EF14))</f>
        <v>1</v>
      </c>
      <c r="PO14" s="50">
        <f>IF(EG14="","",COUNTIFS(Parameters!$Y:$Y,$BF$4,Parameters!$X:$X,EG14))</f>
        <v>1</v>
      </c>
      <c r="PP14" s="50">
        <f>IF(EH14="","",COUNTIFS(Parameters!$Y:$Y,$BF$4,Parameters!$X:$X,EH14))</f>
        <v>1</v>
      </c>
      <c r="PQ14" s="50">
        <f>IF(EI14="","",COUNTIFS(Parameters!$Y:$Y,$BF$4,Parameters!$X:$X,EI14))</f>
        <v>1</v>
      </c>
      <c r="PR14" s="50" t="str">
        <f>IF(EJ14="","",COUNTIFS(Parameters!$Y:$Y,$BF$4,Parameters!$X:$X,EJ14))</f>
        <v/>
      </c>
      <c r="PS14" s="57" t="str">
        <f>IF(EK14="","",COUNTIFS(Parameters!$Y:$Y,$BF$4,Parameters!$X:$X,EK14))</f>
        <v/>
      </c>
      <c r="PV14" s="49">
        <f>IF(EN14="","",COUNTIFS(Parameters!$Y:$Y,$BF$4,Parameters!$X:$X,EN14))</f>
        <v>0</v>
      </c>
      <c r="PW14" s="50">
        <f>IF(EO14="","",COUNTIFS(Parameters!$Y:$Y,$BF$4,Parameters!$X:$X,EO14))</f>
        <v>0</v>
      </c>
      <c r="PX14" s="50">
        <f>IF(EP14="","",COUNTIFS(Parameters!$Y:$Y,$BF$4,Parameters!$X:$X,EP14))</f>
        <v>0</v>
      </c>
      <c r="PY14" s="50">
        <f>IF(EQ14="","",COUNTIFS(Parameters!$Y:$Y,$BF$4,Parameters!$X:$X,EQ14))</f>
        <v>0</v>
      </c>
      <c r="PZ14" s="50">
        <f>IF(ER14="","",COUNTIFS(Parameters!$Y:$Y,$BF$4,Parameters!$X:$X,ER14))</f>
        <v>0</v>
      </c>
      <c r="QA14" s="50">
        <f>IF(ES14="","",COUNTIFS(Parameters!$Y:$Y,$BF$4,Parameters!$X:$X,ES14))</f>
        <v>0</v>
      </c>
      <c r="QB14" s="50">
        <f>IF(ET14="","",COUNTIFS(Parameters!$Y:$Y,$BF$4,Parameters!$X:$X,ET14))</f>
        <v>0</v>
      </c>
      <c r="QC14" s="50">
        <f>IF(EU14="","",COUNTIFS(Parameters!$Y:$Y,$BF$4,Parameters!$X:$X,EU14))</f>
        <v>0</v>
      </c>
      <c r="QD14" s="50">
        <f>IF(EV14="","",COUNTIFS(Parameters!$Y:$Y,$BF$4,Parameters!$X:$X,EV14))</f>
        <v>0</v>
      </c>
      <c r="QE14" s="50">
        <f>IF(EW14="","",COUNTIFS(Parameters!$Y:$Y,$BF$4,Parameters!$X:$X,EW14))</f>
        <v>0</v>
      </c>
      <c r="QF14" s="50">
        <f>IF(EX14="","",COUNTIFS(Parameters!$Y:$Y,$BF$4,Parameters!$X:$X,EX14))</f>
        <v>0</v>
      </c>
      <c r="QG14" s="50">
        <f>IF(EY14="","",COUNTIFS(Parameters!$Y:$Y,$BF$4,Parameters!$X:$X,EY14))</f>
        <v>0</v>
      </c>
      <c r="QH14" s="50">
        <f>IF(EZ14="","",COUNTIFS(Parameters!$Y:$Y,$BF$4,Parameters!$X:$X,EZ14))</f>
        <v>0</v>
      </c>
      <c r="QI14" s="57">
        <f>IF(FA14="","",COUNTIFS(Parameters!$Y:$Y,$BF$4,Parameters!$X:$X,FA14))</f>
        <v>0</v>
      </c>
      <c r="QN14" s="49">
        <f>IF(DH14="","",COUNTIFS($D$25:$D$267,Parameters!$K$2,$E$25:$E$267,Parameters!$M$6,Calendrier!$C$25:$C$267,DH14)+ COUNTIFS($D$25:$D$267,Parameters!$K$3,$E$25:$E$267,Parameters!$M$6,Calendrier!$C$25:$C$267,DH14))</f>
        <v>0</v>
      </c>
      <c r="QO14" s="50">
        <f>IF(DI14="","",COUNTIFS($D$25:$D$267,Parameters!$K$2,$E$25:$E$267,Parameters!$M$6,Calendrier!$C$25:$C$267,DI14)+ COUNTIFS($D$25:$D$267,Parameters!$K$4,$E$25:$E$267,Parameters!$M$6,Calendrier!$C$25:$C$267,DI14))</f>
        <v>0</v>
      </c>
      <c r="QP14" s="50">
        <f>IF(DJ14="","",COUNTIFS($D$25:$D$267,Parameters!$K$2,$E$25:$E$267,Parameters!$M$6,Calendrier!$C$25:$C$267,DJ14)+ COUNTIFS($D$25:$D$267,Parameters!$K$3,$E$25:$E$267,Parameters!$M$6,Calendrier!$C$25:$C$267,DJ14))</f>
        <v>0</v>
      </c>
      <c r="QQ14" s="50">
        <f>IF(DK14="","",COUNTIFS($D$25:$D$267,Parameters!$K$2,$E$25:$E$267,Parameters!$M$6,Calendrier!$C$25:$C$267,DK14)+ COUNTIFS($D$25:$D$267,Parameters!$K$4,$E$25:$E$267,Parameters!$M$6,Calendrier!$C$25:$C$267,DK14))</f>
        <v>0</v>
      </c>
      <c r="QR14" s="50">
        <f>IF(DL14="","",COUNTIFS($D$25:$D$267,Parameters!$K$2,$E$25:$E$267,Parameters!$M$6,Calendrier!$C$25:$C$267,DL14)+ COUNTIFS($D$25:$D$267,Parameters!$K$3,$E$25:$E$267,Parameters!$M$6,Calendrier!$C$25:$C$267,DL14))</f>
        <v>0</v>
      </c>
      <c r="QS14" s="50">
        <f>IF(DM14="","",COUNTIFS($D$25:$D$267,Parameters!$K$2,$E$25:$E$267,Parameters!$M$6,Calendrier!$C$25:$C$267,DM14)+ COUNTIFS($D$25:$D$267,Parameters!$K$4,$E$25:$E$267,Parameters!$M$6,Calendrier!$C$25:$C$267,DM14))</f>
        <v>0</v>
      </c>
      <c r="QT14" s="50">
        <f>IF(DN14="","",COUNTIFS($D$25:$D$267,Parameters!$K$2,$E$25:$E$267,Parameters!$M$6,Calendrier!$C$25:$C$267,DN14)+ COUNTIFS($D$25:$D$267,Parameters!$K$3,$E$25:$E$267,Parameters!$M$6,Calendrier!$C$25:$C$267,DN14))</f>
        <v>0</v>
      </c>
      <c r="QU14" s="50">
        <f>IF(DO14="","",COUNTIFS($D$25:$D$267,Parameters!$K$2,$E$25:$E$267,Parameters!$M$6,Calendrier!$C$25:$C$267,DO14)+ COUNTIFS($D$25:$D$267,Parameters!$K$4,$E$25:$E$267,Parameters!$M$6,Calendrier!$C$25:$C$267,DO14))</f>
        <v>0</v>
      </c>
      <c r="QV14" s="50">
        <f>IF(DP14="","",COUNTIFS($D$25:$D$267,Parameters!$K$2,$E$25:$E$267,Parameters!$M$6,Calendrier!$C$25:$C$267,DP14)+ COUNTIFS($D$25:$D$267,Parameters!$K$3,$E$25:$E$267,Parameters!$M$6,Calendrier!$C$25:$C$267,DP14))</f>
        <v>0</v>
      </c>
      <c r="QW14" s="50">
        <f>IF(DQ14="","",COUNTIFS($D$25:$D$267,Parameters!$K$2,$E$25:$E$267,Parameters!$M$6,Calendrier!$C$25:$C$267,DQ14)+ COUNTIFS($D$25:$D$267,Parameters!$K$4,$E$25:$E$267,Parameters!$M$6,Calendrier!$C$25:$C$267,DQ14))</f>
        <v>0</v>
      </c>
      <c r="QX14" s="50">
        <f>IF(DR14="","",COUNTIFS($D$25:$D$267,Parameters!$K$2,$E$25:$E$267,Parameters!$M$6,Calendrier!$C$25:$C$267,DR14)+ COUNTIFS($D$25:$D$267,Parameters!$K$3,$E$25:$E$267,Parameters!$M$6,Calendrier!$C$25:$C$267,DR14))</f>
        <v>0</v>
      </c>
      <c r="QY14" s="50">
        <f>IF(DS14="","",COUNTIFS($D$25:$D$267,Parameters!$K$2,$E$25:$E$267,Parameters!$M$6,Calendrier!$C$25:$C$267,DS14)+ COUNTIFS($D$25:$D$267,Parameters!$K$4,$E$25:$E$267,Parameters!$M$6,Calendrier!$C$25:$C$267,DS14))</f>
        <v>0</v>
      </c>
      <c r="QZ14" s="50" t="str">
        <f>IF(DT14="","",COUNTIFS($D$25:$D$267,Parameters!$K$2,$E$25:$E$267,Parameters!$M$6,Calendrier!$C$25:$C$267,DT14)+ COUNTIFS($D$25:$D$267,Parameters!$K$3,$E$25:$E$267,Parameters!$M$6,Calendrier!$C$25:$C$267,DT14))</f>
        <v/>
      </c>
      <c r="RA14" s="57" t="str">
        <f>IF(DU14="","",COUNTIFS($D$25:$D$267,Parameters!$K$2,$E$25:$E$267,Parameters!$M$6,Calendrier!$C$25:$C$267,DU14)+ COUNTIFS($D$25:$D$267,Parameters!$K$4,$E$25:$E$267,Parameters!$M$6,Calendrier!$C$25:$C$267,DU14))</f>
        <v/>
      </c>
      <c r="RD14" s="49">
        <f>IF(DX14="","",COUNTIFS($D$25:$D$267,Parameters!$K$2,$E$25:$E$267,Parameters!$M$6,Calendrier!$C$25:$C$267,DX14)+ COUNTIFS($D$25:$D$267,Parameters!$K$3,$E$25:$E$267,Parameters!$M$6,Calendrier!$C$25:$C$267,DX14))</f>
        <v>0</v>
      </c>
      <c r="RE14" s="50">
        <f>IF(DY14="","",COUNTIFS($D$25:$D$267,Parameters!$K$2,$E$25:$E$267,Parameters!$M$6,Calendrier!$C$25:$C$267,DY14)+ COUNTIFS($D$25:$D$267,Parameters!$K$4,$E$25:$E$267,Parameters!$M$6,Calendrier!$C$25:$C$267,DY14))</f>
        <v>0</v>
      </c>
      <c r="RF14" s="50">
        <f>IF(DZ14="","",COUNTIFS($D$25:$D$267,Parameters!$K$2,$E$25:$E$267,Parameters!$M$6,Calendrier!$C$25:$C$267,DZ14)+ COUNTIFS($D$25:$D$267,Parameters!$K$3,$E$25:$E$267,Parameters!$M$6,Calendrier!$C$25:$C$267,DZ14))</f>
        <v>0</v>
      </c>
      <c r="RG14" s="50">
        <f>IF(EA14="","",COUNTIFS($D$25:$D$267,Parameters!$K$2,$E$25:$E$267,Parameters!$M$6,Calendrier!$C$25:$C$267,EA14)+ COUNTIFS($D$25:$D$267,Parameters!$K$4,$E$25:$E$267,Parameters!$M$6,Calendrier!$C$25:$C$267,EA14))</f>
        <v>0</v>
      </c>
      <c r="RH14" s="50">
        <f>IF(EB14="","",COUNTIFS($D$25:$D$267,Parameters!$K$2,$E$25:$E$267,Parameters!$M$6,Calendrier!$C$25:$C$267,EB14)+ COUNTIFS($D$25:$D$267,Parameters!$K$3,$E$25:$E$267,Parameters!$M$6,Calendrier!$C$25:$C$267,EB14))</f>
        <v>0</v>
      </c>
      <c r="RI14" s="50">
        <f>IF(EC14="","",COUNTIFS($D$25:$D$267,Parameters!$K$2,$E$25:$E$267,Parameters!$M$6,Calendrier!$C$25:$C$267,EC14)+ COUNTIFS($D$25:$D$267,Parameters!$K$4,$E$25:$E$267,Parameters!$M$6,Calendrier!$C$25:$C$267,EC14))</f>
        <v>0</v>
      </c>
      <c r="RJ14" s="50">
        <f>IF(ED14="","",COUNTIFS($D$25:$D$267,Parameters!$K$2,$E$25:$E$267,Parameters!$M$6,Calendrier!$C$25:$C$267,ED14)+ COUNTIFS($D$25:$D$267,Parameters!$K$3,$E$25:$E$267,Parameters!$M$6,Calendrier!$C$25:$C$267,ED14))</f>
        <v>0</v>
      </c>
      <c r="RK14" s="50">
        <f>IF(EE14="","",COUNTIFS($D$25:$D$267,Parameters!$K$2,$E$25:$E$267,Parameters!$M$6,Calendrier!$C$25:$C$267,EE14)+ COUNTIFS($D$25:$D$267,Parameters!$K$4,$E$25:$E$267,Parameters!$M$6,Calendrier!$C$25:$C$267,EE14))</f>
        <v>0</v>
      </c>
      <c r="RL14" s="50">
        <f>IF(EF14="","",COUNTIFS($D$25:$D$267,Parameters!$K$2,$E$25:$E$267,Parameters!$M$6,Calendrier!$C$25:$C$267,EF14)+ COUNTIFS($D$25:$D$267,Parameters!$K$3,$E$25:$E$267,Parameters!$M$6,Calendrier!$C$25:$C$267,EF14))</f>
        <v>0</v>
      </c>
      <c r="RM14" s="50">
        <f>IF(EG14="","",COUNTIFS($D$25:$D$267,Parameters!$K$2,$E$25:$E$267,Parameters!$M$6,Calendrier!$C$25:$C$267,EG14)+ COUNTIFS($D$25:$D$267,Parameters!$K$4,$E$25:$E$267,Parameters!$M$6,Calendrier!$C$25:$C$267,EG14))</f>
        <v>0</v>
      </c>
      <c r="RN14" s="50">
        <f>IF(EH14="","",COUNTIFS($D$25:$D$267,Parameters!$K$2,$E$25:$E$267,Parameters!$M$6,Calendrier!$C$25:$C$267,EH14)+ COUNTIFS($D$25:$D$267,Parameters!$K$3,$E$25:$E$267,Parameters!$M$6,Calendrier!$C$25:$C$267,EH14))</f>
        <v>0</v>
      </c>
      <c r="RO14" s="50">
        <f>IF(EI14="","",COUNTIFS($D$25:$D$267,Parameters!$K$2,$E$25:$E$267,Parameters!$M$6,Calendrier!$C$25:$C$267,EI14)+ COUNTIFS($D$25:$D$267,Parameters!$K$4,$E$25:$E$267,Parameters!$M$6,Calendrier!$C$25:$C$267,EI14))</f>
        <v>0</v>
      </c>
      <c r="RP14" s="50" t="str">
        <f>IF(EJ14="","",COUNTIFS($D$25:$D$267,Parameters!$K$2,$E$25:$E$267,Parameters!$M$6,Calendrier!$C$25:$C$267,EJ14)+ COUNTIFS($D$25:$D$267,Parameters!$K$3,$E$25:$E$267,Parameters!$M$6,Calendrier!$C$25:$C$267,EJ14))</f>
        <v/>
      </c>
      <c r="RQ14" s="57" t="str">
        <f>IF(EK14="","",COUNTIFS($D$25:$D$267,Parameters!$K$2,$E$25:$E$267,Parameters!$M$6,Calendrier!$C$25:$C$267,EK14)+ COUNTIFS($D$25:$D$267,Parameters!$K$4,$E$25:$E$267,Parameters!$M$6,Calendrier!$C$25:$C$267,EK14))</f>
        <v/>
      </c>
      <c r="RT14" s="49">
        <f>IF(EN14="","",COUNTIFS($D$25:$D$267,Parameters!$K$2,$E$25:$E$267,Parameters!$M$6,Calendrier!$C$25:$C$267,EN14)+ COUNTIFS($D$25:$D$267,Parameters!$K$3,$E$25:$E$267,Parameters!$M$6,Calendrier!$C$25:$C$267,EN14))</f>
        <v>0</v>
      </c>
      <c r="RU14" s="50">
        <f>IF(EO14="","",COUNTIFS($D$25:$D$267,Parameters!$K$2,$E$25:$E$267,Parameters!$M$6,Calendrier!$C$25:$C$267,EO14)+ COUNTIFS($D$25:$D$267,Parameters!$K$4,$E$25:$E$267,Parameters!$M$6,Calendrier!$C$25:$C$267,EO14))</f>
        <v>0</v>
      </c>
      <c r="RV14" s="50">
        <f>IF(EP14="","",COUNTIFS($D$25:$D$267,Parameters!$K$2,$E$25:$E$267,Parameters!$M$6,Calendrier!$C$25:$C$267,EP14)+ COUNTIFS($D$25:$D$267,Parameters!$K$3,$E$25:$E$267,Parameters!$M$6,Calendrier!$C$25:$C$267,EP14))</f>
        <v>0</v>
      </c>
      <c r="RW14" s="50">
        <f>IF(EQ14="","",COUNTIFS($D$25:$D$267,Parameters!$K$2,$E$25:$E$267,Parameters!$M$6,Calendrier!$C$25:$C$267,EQ14)+ COUNTIFS($D$25:$D$267,Parameters!$K$4,$E$25:$E$267,Parameters!$M$6,Calendrier!$C$25:$C$267,EQ14))</f>
        <v>0</v>
      </c>
      <c r="RX14" s="50">
        <f>IF(ER14="","",COUNTIFS($D$25:$D$267,Parameters!$K$2,$E$25:$E$267,Parameters!$M$6,Calendrier!$C$25:$C$267,ER14)+ COUNTIFS($D$25:$D$267,Parameters!$K$3,$E$25:$E$267,Parameters!$M$6,Calendrier!$C$25:$C$267,ER14))</f>
        <v>0</v>
      </c>
      <c r="RY14" s="50">
        <f>IF(ES14="","",COUNTIFS($D$25:$D$267,Parameters!$K$2,$E$25:$E$267,Parameters!$M$6,Calendrier!$C$25:$C$267,ES14)+ COUNTIFS($D$25:$D$267,Parameters!$K$4,$E$25:$E$267,Parameters!$M$6,Calendrier!$C$25:$C$267,ES14))</f>
        <v>0</v>
      </c>
      <c r="RZ14" s="50">
        <f>IF(ET14="","",COUNTIFS($D$25:$D$267,Parameters!$K$2,$E$25:$E$267,Parameters!$M$6,Calendrier!$C$25:$C$267,ET14)+ COUNTIFS($D$25:$D$267,Parameters!$K$3,$E$25:$E$267,Parameters!$M$6,Calendrier!$C$25:$C$267,ET14))</f>
        <v>0</v>
      </c>
      <c r="SA14" s="50">
        <f>IF(EU14="","",COUNTIFS($D$25:$D$267,Parameters!$K$2,$E$25:$E$267,Parameters!$M$6,Calendrier!$C$25:$C$267,EU14)+ COUNTIFS($D$25:$D$267,Parameters!$K$4,$E$25:$E$267,Parameters!$M$6,Calendrier!$C$25:$C$267,EU14))</f>
        <v>0</v>
      </c>
      <c r="SB14" s="50">
        <f>IF(EV14="","",COUNTIFS($D$25:$D$267,Parameters!$K$2,$E$25:$E$267,Parameters!$M$6,Calendrier!$C$25:$C$267,EV14)+ COUNTIFS($D$25:$D$267,Parameters!$K$3,$E$25:$E$267,Parameters!$M$6,Calendrier!$C$25:$C$267,EV14))</f>
        <v>0</v>
      </c>
      <c r="SC14" s="50">
        <f>IF(EW14="","",COUNTIFS($D$25:$D$267,Parameters!$K$2,$E$25:$E$267,Parameters!$M$6,Calendrier!$C$25:$C$267,EW14)+ COUNTIFS($D$25:$D$267,Parameters!$K$4,$E$25:$E$267,Parameters!$M$6,Calendrier!$C$25:$C$267,EW14))</f>
        <v>0</v>
      </c>
      <c r="SD14" s="50">
        <f>IF(EX14="","",COUNTIFS($D$25:$D$267,Parameters!$K$2,$E$25:$E$267,Parameters!$M$6,Calendrier!$C$25:$C$267,EX14)+ COUNTIFS($D$25:$D$267,Parameters!$K$3,$E$25:$E$267,Parameters!$M$6,Calendrier!$C$25:$C$267,EX14))</f>
        <v>0</v>
      </c>
      <c r="SE14" s="50">
        <f>IF(EY14="","",COUNTIFS($D$25:$D$267,Parameters!$K$2,$E$25:$E$267,Parameters!$M$6,Calendrier!$C$25:$C$267,EY14)+ COUNTIFS($D$25:$D$267,Parameters!$K$4,$E$25:$E$267,Parameters!$M$6,Calendrier!$C$25:$C$267,EY14))</f>
        <v>0</v>
      </c>
      <c r="SF14" s="50">
        <f>IF(EZ14="","",COUNTIFS($D$25:$D$267,Parameters!$K$2,$E$25:$E$267,Parameters!$M$6,Calendrier!$C$25:$C$267,EZ14)+ COUNTIFS($D$25:$D$267,Parameters!$K$3,$E$25:$E$267,Parameters!$M$6,Calendrier!$C$25:$C$267,EZ14))</f>
        <v>0</v>
      </c>
      <c r="SG14" s="57">
        <f>IF(FA14="","",COUNTIFS($D$25:$D$267,Parameters!$K$2,$E$25:$E$267,Parameters!$M$6,Calendrier!$C$25:$C$267,FA14)+ COUNTIFS($D$25:$D$267,Parameters!$K$4,$E$25:$E$267,Parameters!$M$6,Calendrier!$C$25:$C$267,FA14))</f>
        <v>0</v>
      </c>
      <c r="SL14" s="49">
        <f>IF(DH14="","",COUNTIFS($D$25:$D$267,Parameters!$K$2,$E$25:$E$267,Parameters!$M$7,Calendrier!$C$25:$C$267,DH14)+ COUNTIFS($D$25:$D$267,Parameters!$K$3,$E$25:$E$267,Parameters!$M$7,Calendrier!$C$25:$C$267,DH14))</f>
        <v>0</v>
      </c>
      <c r="SM14" s="50">
        <f>IF(DI14="","",COUNTIFS($D$25:$D$267,Parameters!$K$2,$E$25:$E$267,Parameters!$M$7,Calendrier!$C$25:$C$267,DI14)+ COUNTIFS($D$25:$D$267,Parameters!$K$4,$E$25:$E$267,Parameters!$M$7,Calendrier!$C$25:$C$267,DI14))</f>
        <v>0</v>
      </c>
      <c r="SN14" s="50">
        <f>IF(DJ14="","",COUNTIFS($D$25:$D$267,Parameters!$K$2,$E$25:$E$267,Parameters!$M$7,Calendrier!$C$25:$C$267,DJ14)+ COUNTIFS($D$25:$D$267,Parameters!$K$3,$E$25:$E$267,Parameters!$M$7,Calendrier!$C$25:$C$267,DJ14))</f>
        <v>0</v>
      </c>
      <c r="SO14" s="50">
        <f>IF(DK14="","",COUNTIFS($D$25:$D$267,Parameters!$K$2,$E$25:$E$267,Parameters!$M$7,Calendrier!$C$25:$C$267,DK14)+ COUNTIFS($D$25:$D$267,Parameters!$K$4,$E$25:$E$267,Parameters!$M$7,Calendrier!$C$25:$C$267,DK14))</f>
        <v>0</v>
      </c>
      <c r="SP14" s="50">
        <f>IF(DL14="","",COUNTIFS($D$25:$D$267,Parameters!$K$2,$E$25:$E$267,Parameters!$M$7,Calendrier!$C$25:$C$267,DL14)+ COUNTIFS($D$25:$D$267,Parameters!$K$3,$E$25:$E$267,Parameters!$M$7,Calendrier!$C$25:$C$267,DL14))</f>
        <v>0</v>
      </c>
      <c r="SQ14" s="50">
        <f>IF(DM14="","",COUNTIFS($D$25:$D$267,Parameters!$K$2,$E$25:$E$267,Parameters!$M$7,Calendrier!$C$25:$C$267,DM14)+ COUNTIFS($D$25:$D$267,Parameters!$K$4,$E$25:$E$267,Parameters!$M$7,Calendrier!$C$25:$C$267,DM14))</f>
        <v>0</v>
      </c>
      <c r="SR14" s="50">
        <f>IF(DN14="","",COUNTIFS($D$25:$D$267,Parameters!$K$2,$E$25:$E$267,Parameters!$M$7,Calendrier!$C$25:$C$267,DN14)+ COUNTIFS($D$25:$D$267,Parameters!$K$3,$E$25:$E$267,Parameters!$M$7,Calendrier!$C$25:$C$267,DN14))</f>
        <v>0</v>
      </c>
      <c r="SS14" s="50">
        <f>IF(DO14="","",COUNTIFS($D$25:$D$267,Parameters!$K$2,$E$25:$E$267,Parameters!$M$7,Calendrier!$C$25:$C$267,DO14)+ COUNTIFS($D$25:$D$267,Parameters!$K$4,$E$25:$E$267,Parameters!$M$7,Calendrier!$C$25:$C$267,DO14))</f>
        <v>0</v>
      </c>
      <c r="ST14" s="50">
        <f>IF(DP14="","",COUNTIFS($D$25:$D$267,Parameters!$K$2,$E$25:$E$267,Parameters!$M$7,Calendrier!$C$25:$C$267,DP14)+ COUNTIFS($D$25:$D$267,Parameters!$K$3,$E$25:$E$267,Parameters!$M$7,Calendrier!$C$25:$C$267,DP14))</f>
        <v>0</v>
      </c>
      <c r="SU14" s="50">
        <f>IF(DQ14="","",COUNTIFS($D$25:$D$267,Parameters!$K$2,$E$25:$E$267,Parameters!$M$7,Calendrier!$C$25:$C$267,DQ14)+ COUNTIFS($D$25:$D$267,Parameters!$K$4,$E$25:$E$267,Parameters!$M$7,Calendrier!$C$25:$C$267,DQ14))</f>
        <v>0</v>
      </c>
      <c r="SV14" s="50">
        <f>IF(DR14="","",COUNTIFS($D$25:$D$267,Parameters!$K$2,$E$25:$E$267,Parameters!$M$7,Calendrier!$C$25:$C$267,DR14)+ COUNTIFS($D$25:$D$267,Parameters!$K$3,$E$25:$E$267,Parameters!$M$7,Calendrier!$C$25:$C$267,DR14))</f>
        <v>0</v>
      </c>
      <c r="SW14" s="50">
        <f>IF(DS14="","",COUNTIFS($D$25:$D$267,Parameters!$K$2,$E$25:$E$267,Parameters!$M$7,Calendrier!$C$25:$C$267,DS14)+ COUNTIFS($D$25:$D$267,Parameters!$K$4,$E$25:$E$267,Parameters!$M$7,Calendrier!$C$25:$C$267,DS14))</f>
        <v>0</v>
      </c>
      <c r="SX14" s="50" t="str">
        <f>IF(DT14="","",COUNTIFS($D$25:$D$267,Parameters!$K$2,$E$25:$E$267,Parameters!$M$7,Calendrier!$C$25:$C$267,DT14)+ COUNTIFS($D$25:$D$267,Parameters!$K$3,$E$25:$E$267,Parameters!$M$7,Calendrier!$C$25:$C$267,DT14))</f>
        <v/>
      </c>
      <c r="SY14" s="57" t="str">
        <f>IF(DU14="","",COUNTIFS($D$25:$D$267,Parameters!$K$2,$E$25:$E$267,Parameters!$M$7,Calendrier!$C$25:$C$267,DU14)+ COUNTIFS($D$25:$D$267,Parameters!$K$4,$E$25:$E$267,Parameters!$M$7,Calendrier!$C$25:$C$267,DU14))</f>
        <v/>
      </c>
      <c r="TB14" s="49">
        <f>IF(DX14="","",COUNTIFS($D$25:$D$267,Parameters!$K$2,$E$25:$E$267,Parameters!$M$7,Calendrier!$C$25:$C$267,DX14)+ COUNTIFS($D$25:$D$267,Parameters!$K$3,$E$25:$E$267,Parameters!$M$7,Calendrier!$C$25:$C$267,DX14))</f>
        <v>0</v>
      </c>
      <c r="TC14" s="50">
        <f>IF(DY14="","",COUNTIFS($D$25:$D$267,Parameters!$K$2,$E$25:$E$267,Parameters!$M$7,Calendrier!$C$25:$C$267,DY14)+ COUNTIFS($D$25:$D$267,Parameters!$K$4,$E$25:$E$267,Parameters!$M$7,Calendrier!$C$25:$C$267,DY14))</f>
        <v>0</v>
      </c>
      <c r="TD14" s="50">
        <f>IF(DZ14="","",COUNTIFS($D$25:$D$267,Parameters!$K$2,$E$25:$E$267,Parameters!$M$7,Calendrier!$C$25:$C$267,DZ14)+ COUNTIFS($D$25:$D$267,Parameters!$K$3,$E$25:$E$267,Parameters!$M$7,Calendrier!$C$25:$C$267,DZ14))</f>
        <v>0</v>
      </c>
      <c r="TE14" s="50">
        <f>IF(EA14="","",COUNTIFS($D$25:$D$267,Parameters!$K$2,$E$25:$E$267,Parameters!$M$7,Calendrier!$C$25:$C$267,EA14)+ COUNTIFS($D$25:$D$267,Parameters!$K$4,$E$25:$E$267,Parameters!$M$7,Calendrier!$C$25:$C$267,EA14))</f>
        <v>0</v>
      </c>
      <c r="TF14" s="50">
        <f>IF(EB14="","",COUNTIFS($D$25:$D$267,Parameters!$K$2,$E$25:$E$267,Parameters!$M$7,Calendrier!$C$25:$C$267,EB14)+ COUNTIFS($D$25:$D$267,Parameters!$K$3,$E$25:$E$267,Parameters!$M$7,Calendrier!$C$25:$C$267,EB14))</f>
        <v>0</v>
      </c>
      <c r="TG14" s="50">
        <f>IF(EC14="","",COUNTIFS($D$25:$D$267,Parameters!$K$2,$E$25:$E$267,Parameters!$M$7,Calendrier!$C$25:$C$267,EC14)+ COUNTIFS($D$25:$D$267,Parameters!$K$4,$E$25:$E$267,Parameters!$M$7,Calendrier!$C$25:$C$267,EC14))</f>
        <v>0</v>
      </c>
      <c r="TH14" s="50">
        <f>IF(ED14="","",COUNTIFS($D$25:$D$267,Parameters!$K$2,$E$25:$E$267,Parameters!$M$7,Calendrier!$C$25:$C$267,ED14)+ COUNTIFS($D$25:$D$267,Parameters!$K$3,$E$25:$E$267,Parameters!$M$7,Calendrier!$C$25:$C$267,ED14))</f>
        <v>0</v>
      </c>
      <c r="TI14" s="50">
        <f>IF(EE14="","",COUNTIFS($D$25:$D$267,Parameters!$K$2,$E$25:$E$267,Parameters!$M$7,Calendrier!$C$25:$C$267,EE14)+ COUNTIFS($D$25:$D$267,Parameters!$K$4,$E$25:$E$267,Parameters!$M$7,Calendrier!$C$25:$C$267,EE14))</f>
        <v>0</v>
      </c>
      <c r="TJ14" s="50">
        <f>IF(EF14="","",COUNTIFS($D$25:$D$267,Parameters!$K$2,$E$25:$E$267,Parameters!$M$7,Calendrier!$C$25:$C$267,EF14)+ COUNTIFS($D$25:$D$267,Parameters!$K$3,$E$25:$E$267,Parameters!$M$7,Calendrier!$C$25:$C$267,EF14))</f>
        <v>0</v>
      </c>
      <c r="TK14" s="50">
        <f>IF(EG14="","",COUNTIFS($D$25:$D$267,Parameters!$K$2,$E$25:$E$267,Parameters!$M$7,Calendrier!$C$25:$C$267,EG14)+ COUNTIFS($D$25:$D$267,Parameters!$K$4,$E$25:$E$267,Parameters!$M$7,Calendrier!$C$25:$C$267,EG14))</f>
        <v>0</v>
      </c>
      <c r="TL14" s="50">
        <f>IF(EH14="","",COUNTIFS($D$25:$D$267,Parameters!$K$2,$E$25:$E$267,Parameters!$M$7,Calendrier!$C$25:$C$267,EH14)+ COUNTIFS($D$25:$D$267,Parameters!$K$3,$E$25:$E$267,Parameters!$M$7,Calendrier!$C$25:$C$267,EH14))</f>
        <v>0</v>
      </c>
      <c r="TM14" s="50">
        <f>IF(EI14="","",COUNTIFS($D$25:$D$267,Parameters!$K$2,$E$25:$E$267,Parameters!$M$7,Calendrier!$C$25:$C$267,EI14)+ COUNTIFS($D$25:$D$267,Parameters!$K$4,$E$25:$E$267,Parameters!$M$7,Calendrier!$C$25:$C$267,EI14))</f>
        <v>0</v>
      </c>
      <c r="TN14" s="50" t="str">
        <f>IF(EJ14="","",COUNTIFS($D$25:$D$267,Parameters!$K$2,$E$25:$E$267,Parameters!$M$7,Calendrier!$C$25:$C$267,EJ14)+ COUNTIFS($D$25:$D$267,Parameters!$K$3,$E$25:$E$267,Parameters!$M$7,Calendrier!$C$25:$C$267,EJ14))</f>
        <v/>
      </c>
      <c r="TO14" s="57" t="str">
        <f>IF(EK14="","",COUNTIFS($D$25:$D$267,Parameters!$K$2,$E$25:$E$267,Parameters!$M$7,Calendrier!$C$25:$C$267,EK14)+ COUNTIFS($D$25:$D$267,Parameters!$K$4,$E$25:$E$267,Parameters!$M$7,Calendrier!$C$25:$C$267,EK14))</f>
        <v/>
      </c>
      <c r="TR14" s="49">
        <f>IF(EN14="","",COUNTIFS($D$25:$D$267,Parameters!$K$2,$E$25:$E$267,Parameters!$M$7,Calendrier!$C$25:$C$267,EN14)+ COUNTIFS($D$25:$D$267,Parameters!$K$3,$E$25:$E$267,Parameters!$M$7,Calendrier!$C$25:$C$267,EN14))</f>
        <v>0</v>
      </c>
      <c r="TS14" s="50">
        <f>IF(EO14="","",COUNTIFS($D$25:$D$267,Parameters!$K$2,$E$25:$E$267,Parameters!$M$7,Calendrier!$C$25:$C$267,EO14)+ COUNTIFS($D$25:$D$267,Parameters!$K$4,$E$25:$E$267,Parameters!$M$7,Calendrier!$C$25:$C$267,EO14))</f>
        <v>0</v>
      </c>
      <c r="TT14" s="50">
        <f>IF(EP14="","",COUNTIFS($D$25:$D$267,Parameters!$K$2,$E$25:$E$267,Parameters!$M$7,Calendrier!$C$25:$C$267,EP14)+ COUNTIFS($D$25:$D$267,Parameters!$K$3,$E$25:$E$267,Parameters!$M$7,Calendrier!$C$25:$C$267,EP14))</f>
        <v>0</v>
      </c>
      <c r="TU14" s="50">
        <f>IF(EQ14="","",COUNTIFS($D$25:$D$267,Parameters!$K$2,$E$25:$E$267,Parameters!$M$7,Calendrier!$C$25:$C$267,EQ14)+ COUNTIFS($D$25:$D$267,Parameters!$K$4,$E$25:$E$267,Parameters!$M$7,Calendrier!$C$25:$C$267,EQ14))</f>
        <v>0</v>
      </c>
      <c r="TV14" s="50">
        <f>IF(ER14="","",COUNTIFS($D$25:$D$267,Parameters!$K$2,$E$25:$E$267,Parameters!$M$7,Calendrier!$C$25:$C$267,ER14)+ COUNTIFS($D$25:$D$267,Parameters!$K$3,$E$25:$E$267,Parameters!$M$7,Calendrier!$C$25:$C$267,ER14))</f>
        <v>0</v>
      </c>
      <c r="TW14" s="50">
        <f>IF(ES14="","",COUNTIFS($D$25:$D$267,Parameters!$K$2,$E$25:$E$267,Parameters!$M$7,Calendrier!$C$25:$C$267,ES14)+ COUNTIFS($D$25:$D$267,Parameters!$K$4,$E$25:$E$267,Parameters!$M$7,Calendrier!$C$25:$C$267,ES14))</f>
        <v>0</v>
      </c>
      <c r="TX14" s="50">
        <f>IF(ET14="","",COUNTIFS($D$25:$D$267,Parameters!$K$2,$E$25:$E$267,Parameters!$M$7,Calendrier!$C$25:$C$267,ET14)+ COUNTIFS($D$25:$D$267,Parameters!$K$3,$E$25:$E$267,Parameters!$M$7,Calendrier!$C$25:$C$267,ET14))</f>
        <v>0</v>
      </c>
      <c r="TY14" s="50">
        <f>IF(EU14="","",COUNTIFS($D$25:$D$267,Parameters!$K$2,$E$25:$E$267,Parameters!$M$7,Calendrier!$C$25:$C$267,EU14)+ COUNTIFS($D$25:$D$267,Parameters!$K$4,$E$25:$E$267,Parameters!$M$7,Calendrier!$C$25:$C$267,EU14))</f>
        <v>0</v>
      </c>
      <c r="TZ14" s="50">
        <f>IF(EV14="","",COUNTIFS($D$25:$D$267,Parameters!$K$2,$E$25:$E$267,Parameters!$M$7,Calendrier!$C$25:$C$267,EV14)+ COUNTIFS($D$25:$D$267,Parameters!$K$3,$E$25:$E$267,Parameters!$M$7,Calendrier!$C$25:$C$267,EV14))</f>
        <v>0</v>
      </c>
      <c r="UA14" s="50">
        <f>IF(EW14="","",COUNTIFS($D$25:$D$267,Parameters!$K$2,$E$25:$E$267,Parameters!$M$7,Calendrier!$C$25:$C$267,EW14)+ COUNTIFS($D$25:$D$267,Parameters!$K$4,$E$25:$E$267,Parameters!$M$7,Calendrier!$C$25:$C$267,EW14))</f>
        <v>0</v>
      </c>
      <c r="UB14" s="50">
        <f>IF(EX14="","",COUNTIFS($D$25:$D$267,Parameters!$K$2,$E$25:$E$267,Parameters!$M$7,Calendrier!$C$25:$C$267,EX14)+ COUNTIFS($D$25:$D$267,Parameters!$K$3,$E$25:$E$267,Parameters!$M$7,Calendrier!$C$25:$C$267,EX14))</f>
        <v>0</v>
      </c>
      <c r="UC14" s="50">
        <f>IF(EY14="","",COUNTIFS($D$25:$D$267,Parameters!$K$2,$E$25:$E$267,Parameters!$M$7,Calendrier!$C$25:$C$267,EY14)+ COUNTIFS($D$25:$D$267,Parameters!$K$4,$E$25:$E$267,Parameters!$M$7,Calendrier!$C$25:$C$267,EY14))</f>
        <v>0</v>
      </c>
      <c r="UD14" s="50">
        <f>IF(EZ14="","",COUNTIFS($D$25:$D$267,Parameters!$K$2,$E$25:$E$267,Parameters!$M$7,Calendrier!$C$25:$C$267,EZ14)+ COUNTIFS($D$25:$D$267,Parameters!$K$3,$E$25:$E$267,Parameters!$M$7,Calendrier!$C$25:$C$267,EZ14))</f>
        <v>0</v>
      </c>
      <c r="UE14" s="57">
        <f>IF(FA14="","",COUNTIFS($D$25:$D$267,Parameters!$K$2,$E$25:$E$267,Parameters!$M$7,Calendrier!$C$25:$C$267,FA14)+ COUNTIFS($D$25:$D$267,Parameters!$K$4,$E$25:$E$267,Parameters!$M$7,Calendrier!$C$25:$C$267,FA14))</f>
        <v>0</v>
      </c>
    </row>
    <row r="15" spans="2:551" ht="15" thickBot="1" x14ac:dyDescent="0.35">
      <c r="B15" s="11"/>
      <c r="D15" s="3" t="s">
        <v>4</v>
      </c>
      <c r="E15" s="34" t="s">
        <v>17</v>
      </c>
      <c r="F15" s="34" t="s">
        <v>16</v>
      </c>
      <c r="G15" s="12"/>
      <c r="K15" s="31"/>
      <c r="L15" s="22" t="str">
        <f t="shared" si="104"/>
        <v/>
      </c>
      <c r="M15" s="23"/>
      <c r="N15" s="22" t="str">
        <f t="shared" si="105"/>
        <v/>
      </c>
      <c r="O15" s="23"/>
      <c r="P15" s="22" t="str">
        <f t="shared" si="106"/>
        <v/>
      </c>
      <c r="Q15" s="23"/>
      <c r="R15" s="22" t="str">
        <f t="shared" si="107"/>
        <v/>
      </c>
      <c r="S15" s="23"/>
      <c r="T15" s="22" t="str">
        <f t="shared" si="108"/>
        <v/>
      </c>
      <c r="U15" s="23"/>
      <c r="V15" s="22" t="str">
        <f t="shared" si="109"/>
        <v/>
      </c>
      <c r="W15" s="23"/>
      <c r="X15" s="22" t="str">
        <f t="shared" si="110"/>
        <v/>
      </c>
      <c r="Y15" s="23"/>
      <c r="Z15" s="31"/>
      <c r="AA15" s="31"/>
      <c r="AB15" s="22" t="str">
        <f t="shared" si="111"/>
        <v/>
      </c>
      <c r="AC15" s="23"/>
      <c r="AD15" s="22" t="str">
        <f t="shared" si="112"/>
        <v/>
      </c>
      <c r="AE15" s="23"/>
      <c r="AF15" s="22" t="str">
        <f t="shared" si="113"/>
        <v/>
      </c>
      <c r="AG15" s="23"/>
      <c r="AH15" s="22" t="str">
        <f t="shared" si="114"/>
        <v/>
      </c>
      <c r="AI15" s="23"/>
      <c r="AJ15" s="22" t="str">
        <f t="shared" si="115"/>
        <v/>
      </c>
      <c r="AK15" s="23"/>
      <c r="AL15" s="22" t="str">
        <f t="shared" si="116"/>
        <v/>
      </c>
      <c r="AM15" s="23"/>
      <c r="AN15" s="22" t="str">
        <f t="shared" si="117"/>
        <v/>
      </c>
      <c r="AO15" s="23"/>
      <c r="AP15" s="31"/>
      <c r="AQ15" s="31"/>
      <c r="AR15" s="22">
        <f t="shared" si="118"/>
        <v>30</v>
      </c>
      <c r="AS15" s="23"/>
      <c r="AT15" s="22">
        <f t="shared" si="119"/>
        <v>31</v>
      </c>
      <c r="AU15" s="23"/>
      <c r="AV15" s="22" t="str">
        <f t="shared" si="120"/>
        <v/>
      </c>
      <c r="AW15" s="23"/>
      <c r="AX15" s="22" t="str">
        <f t="shared" si="121"/>
        <v/>
      </c>
      <c r="AY15" s="23"/>
      <c r="AZ15" s="22" t="str">
        <f t="shared" si="122"/>
        <v/>
      </c>
      <c r="BA15" s="23"/>
      <c r="BB15" s="22" t="str">
        <f t="shared" si="123"/>
        <v/>
      </c>
      <c r="BC15" s="23"/>
      <c r="BD15" s="22" t="str">
        <f t="shared" si="124"/>
        <v/>
      </c>
      <c r="BE15" s="23"/>
      <c r="BF15" s="31"/>
      <c r="BG15" s="31"/>
      <c r="BJ15" s="42"/>
      <c r="BK15" s="6">
        <v>1</v>
      </c>
      <c r="BL15" s="6">
        <v>1</v>
      </c>
      <c r="BM15" s="6">
        <v>1</v>
      </c>
      <c r="BN15" s="6">
        <v>1</v>
      </c>
      <c r="BO15" s="6">
        <v>1</v>
      </c>
      <c r="BP15" s="6">
        <v>1</v>
      </c>
      <c r="BQ15" s="6">
        <v>1</v>
      </c>
      <c r="BR15" s="6">
        <v>1</v>
      </c>
      <c r="BS15" s="6">
        <v>1</v>
      </c>
      <c r="BT15" s="6">
        <v>1</v>
      </c>
      <c r="BU15" s="6">
        <v>1</v>
      </c>
      <c r="BV15" s="6">
        <v>1</v>
      </c>
      <c r="BW15" s="6">
        <v>1</v>
      </c>
      <c r="CA15" s="6">
        <v>2</v>
      </c>
      <c r="CB15" s="6">
        <v>2</v>
      </c>
      <c r="CC15" s="6">
        <v>2</v>
      </c>
      <c r="CD15" s="6">
        <v>2</v>
      </c>
      <c r="CE15" s="6">
        <v>2</v>
      </c>
      <c r="CF15" s="6">
        <v>2</v>
      </c>
      <c r="CG15" s="6">
        <v>2</v>
      </c>
      <c r="CH15" s="6">
        <v>2</v>
      </c>
      <c r="CI15" s="6">
        <v>2</v>
      </c>
      <c r="CJ15" s="6">
        <v>2</v>
      </c>
      <c r="CK15" s="6">
        <v>2</v>
      </c>
      <c r="CL15" s="6">
        <v>2</v>
      </c>
      <c r="CM15" s="6">
        <v>2</v>
      </c>
      <c r="CQ15" s="6">
        <v>3</v>
      </c>
      <c r="CR15" s="6">
        <v>3</v>
      </c>
      <c r="CS15" s="6">
        <v>3</v>
      </c>
      <c r="CT15" s="6">
        <v>3</v>
      </c>
      <c r="CU15" s="6">
        <v>3</v>
      </c>
      <c r="CV15" s="6">
        <v>3</v>
      </c>
      <c r="CW15" s="6">
        <v>3</v>
      </c>
      <c r="CX15" s="6">
        <v>3</v>
      </c>
      <c r="CY15" s="6">
        <v>3</v>
      </c>
      <c r="CZ15" s="6">
        <v>3</v>
      </c>
      <c r="DA15" s="6">
        <v>3</v>
      </c>
      <c r="DB15" s="6">
        <v>3</v>
      </c>
      <c r="DC15" s="6">
        <v>3</v>
      </c>
      <c r="DG15" s="42"/>
      <c r="DH15" s="46" t="str">
        <f t="shared" si="37"/>
        <v/>
      </c>
      <c r="DI15" s="47" t="str">
        <f t="shared" ref="DI15" si="143">DH15</f>
        <v/>
      </c>
      <c r="DJ15" s="47" t="str">
        <f t="shared" si="0"/>
        <v/>
      </c>
      <c r="DK15" s="47" t="str">
        <f t="shared" ref="DK15" si="144">DJ15</f>
        <v/>
      </c>
      <c r="DL15" s="47" t="str">
        <f t="shared" si="2"/>
        <v/>
      </c>
      <c r="DM15" s="47" t="str">
        <f t="shared" ref="DM15" si="145">DL15</f>
        <v/>
      </c>
      <c r="DN15" s="47" t="str">
        <f t="shared" si="4"/>
        <v/>
      </c>
      <c r="DO15" s="47" t="str">
        <f t="shared" ref="DO15" si="146">DN15</f>
        <v/>
      </c>
      <c r="DP15" s="47" t="str">
        <f t="shared" si="6"/>
        <v/>
      </c>
      <c r="DQ15" s="47" t="str">
        <f t="shared" ref="DQ15" si="147">DP15</f>
        <v/>
      </c>
      <c r="DR15" s="47" t="str">
        <f t="shared" si="8"/>
        <v/>
      </c>
      <c r="DS15" s="47" t="str">
        <f t="shared" ref="DS15" si="148">DR15</f>
        <v/>
      </c>
      <c r="DT15" s="47" t="str">
        <f t="shared" si="10"/>
        <v/>
      </c>
      <c r="DU15" s="48" t="str">
        <f t="shared" si="11"/>
        <v/>
      </c>
      <c r="DX15" s="46" t="str">
        <f t="shared" si="44"/>
        <v/>
      </c>
      <c r="DY15" s="47" t="str">
        <f t="shared" ref="DY15" si="149">DX15</f>
        <v/>
      </c>
      <c r="DZ15" s="47" t="str">
        <f t="shared" si="12"/>
        <v/>
      </c>
      <c r="EA15" s="47" t="str">
        <f t="shared" ref="EA15" si="150">DZ15</f>
        <v/>
      </c>
      <c r="EB15" s="47" t="str">
        <f t="shared" si="14"/>
        <v/>
      </c>
      <c r="EC15" s="47" t="str">
        <f t="shared" ref="EC15" si="151">EB15</f>
        <v/>
      </c>
      <c r="ED15" s="47" t="str">
        <f t="shared" si="16"/>
        <v/>
      </c>
      <c r="EE15" s="47" t="str">
        <f t="shared" ref="EE15" si="152">ED15</f>
        <v/>
      </c>
      <c r="EF15" s="47" t="str">
        <f t="shared" si="18"/>
        <v/>
      </c>
      <c r="EG15" s="47" t="str">
        <f t="shared" ref="EG15" si="153">EF15</f>
        <v/>
      </c>
      <c r="EH15" s="47" t="str">
        <f t="shared" si="20"/>
        <v/>
      </c>
      <c r="EI15" s="47" t="str">
        <f t="shared" ref="EI15" si="154">EH15</f>
        <v/>
      </c>
      <c r="EJ15" s="47" t="str">
        <f t="shared" si="22"/>
        <v/>
      </c>
      <c r="EK15" s="48" t="str">
        <f t="shared" si="23"/>
        <v/>
      </c>
      <c r="EN15" s="46">
        <f t="shared" si="51"/>
        <v>46111</v>
      </c>
      <c r="EO15" s="47">
        <f t="shared" ref="EO15" si="155">EN15</f>
        <v>46111</v>
      </c>
      <c r="EP15" s="47">
        <f t="shared" si="24"/>
        <v>46112</v>
      </c>
      <c r="EQ15" s="47">
        <f t="shared" ref="EQ15" si="156">EP15</f>
        <v>46112</v>
      </c>
      <c r="ER15" s="47" t="str">
        <f t="shared" si="26"/>
        <v/>
      </c>
      <c r="ES15" s="47" t="str">
        <f t="shared" ref="ES15" si="157">ER15</f>
        <v/>
      </c>
      <c r="ET15" s="47" t="str">
        <f t="shared" si="28"/>
        <v/>
      </c>
      <c r="EU15" s="47" t="str">
        <f t="shared" ref="EU15" si="158">ET15</f>
        <v/>
      </c>
      <c r="EV15" s="47" t="str">
        <f t="shared" si="30"/>
        <v/>
      </c>
      <c r="EW15" s="47" t="str">
        <f t="shared" ref="EW15" si="159">EV15</f>
        <v/>
      </c>
      <c r="EX15" s="47" t="str">
        <f t="shared" si="32"/>
        <v/>
      </c>
      <c r="EY15" s="47" t="str">
        <f t="shared" ref="EY15" si="160">EX15</f>
        <v/>
      </c>
      <c r="EZ15" s="47" t="str">
        <f t="shared" si="34"/>
        <v/>
      </c>
      <c r="FA15" s="48" t="str">
        <f t="shared" si="35"/>
        <v/>
      </c>
      <c r="FB15" s="44"/>
      <c r="FE15" s="58">
        <f>COUNTIFS(Parameters!$S:$S,$D$4,Parameters!$Q:$Q,DH15)</f>
        <v>0</v>
      </c>
      <c r="FF15" s="59">
        <f>COUNTIFS(Parameters!$S:$S,$D$4,Parameters!$Q:$Q,DI15)</f>
        <v>0</v>
      </c>
      <c r="FG15" s="59">
        <f>COUNTIFS(Parameters!$S:$S,$D$4,Parameters!$Q:$Q,DJ15)</f>
        <v>0</v>
      </c>
      <c r="FH15" s="59">
        <f>COUNTIFS(Parameters!$S:$S,$D$4,Parameters!$Q:$Q,DK15)</f>
        <v>0</v>
      </c>
      <c r="FI15" s="59">
        <f>COUNTIFS(Parameters!$S:$S,$D$4,Parameters!$Q:$Q,DL15)</f>
        <v>0</v>
      </c>
      <c r="FJ15" s="59">
        <f>COUNTIFS(Parameters!$S:$S,$D$4,Parameters!$Q:$Q,DM15)</f>
        <v>0</v>
      </c>
      <c r="FK15" s="59">
        <f>COUNTIFS(Parameters!$S:$S,$D$4,Parameters!$Q:$Q,DN15)</f>
        <v>0</v>
      </c>
      <c r="FL15" s="59">
        <f>COUNTIFS(Parameters!$S:$S,$D$4,Parameters!$Q:$Q,DO15)</f>
        <v>0</v>
      </c>
      <c r="FM15" s="59">
        <f>COUNTIFS(Parameters!$S:$S,$D$4,Parameters!$Q:$Q,DP15)</f>
        <v>0</v>
      </c>
      <c r="FN15" s="59">
        <f>COUNTIFS(Parameters!$S:$S,$D$4,Parameters!$Q:$Q,DQ15)</f>
        <v>0</v>
      </c>
      <c r="FO15" s="59">
        <f>COUNTIFS(Parameters!$S:$S,$D$4,Parameters!$Q:$Q,DR15)</f>
        <v>0</v>
      </c>
      <c r="FP15" s="59">
        <f>COUNTIFS(Parameters!$S:$S,$D$4,Parameters!$Q:$Q,DS15)</f>
        <v>0</v>
      </c>
      <c r="FQ15" s="59">
        <f>COUNTIFS(Parameters!$S:$S,$D$4,Parameters!$Q:$Q,DT15)</f>
        <v>0</v>
      </c>
      <c r="FR15" s="60">
        <f>COUNTIFS(Parameters!$S:$S,$D$4,Parameters!$Q:$Q,DU15)</f>
        <v>0</v>
      </c>
      <c r="FU15" s="58">
        <f>COUNTIFS(Parameters!$S:$S,$D$4,Parameters!$Q:$Q,DX15)</f>
        <v>0</v>
      </c>
      <c r="FV15" s="59">
        <f>COUNTIFS(Parameters!$S:$S,$D$4,Parameters!$Q:$Q,DY15)</f>
        <v>0</v>
      </c>
      <c r="FW15" s="59">
        <f>COUNTIFS(Parameters!$S:$S,$D$4,Parameters!$Q:$Q,DZ15)</f>
        <v>0</v>
      </c>
      <c r="FX15" s="59">
        <f>COUNTIFS(Parameters!$S:$S,$D$4,Parameters!$Q:$Q,EA15)</f>
        <v>0</v>
      </c>
      <c r="FY15" s="59">
        <f>COUNTIFS(Parameters!$S:$S,$D$4,Parameters!$Q:$Q,EB15)</f>
        <v>0</v>
      </c>
      <c r="FZ15" s="59">
        <f>COUNTIFS(Parameters!$S:$S,$D$4,Parameters!$Q:$Q,EC15)</f>
        <v>0</v>
      </c>
      <c r="GA15" s="59">
        <f>COUNTIFS(Parameters!$S:$S,$D$4,Parameters!$Q:$Q,ED15)</f>
        <v>0</v>
      </c>
      <c r="GB15" s="59">
        <f>COUNTIFS(Parameters!$S:$S,$D$4,Parameters!$Q:$Q,EE15)</f>
        <v>0</v>
      </c>
      <c r="GC15" s="59">
        <f>COUNTIFS(Parameters!$S:$S,$D$4,Parameters!$Q:$Q,EF15)</f>
        <v>0</v>
      </c>
      <c r="GD15" s="59">
        <f>COUNTIFS(Parameters!$S:$S,$D$4,Parameters!$Q:$Q,EG15)</f>
        <v>0</v>
      </c>
      <c r="GE15" s="59">
        <f>COUNTIFS(Parameters!$S:$S,$D$4,Parameters!$Q:$Q,EH15)</f>
        <v>0</v>
      </c>
      <c r="GF15" s="59">
        <f>COUNTIFS(Parameters!$S:$S,$D$4,Parameters!$Q:$Q,EI15)</f>
        <v>0</v>
      </c>
      <c r="GG15" s="59">
        <f>COUNTIFS(Parameters!$S:$S,$D$4,Parameters!$Q:$Q,EJ15)</f>
        <v>0</v>
      </c>
      <c r="GH15" s="60">
        <f>COUNTIFS(Parameters!$S:$S,$D$4,Parameters!$Q:$Q,EK15)</f>
        <v>0</v>
      </c>
      <c r="GK15" s="58">
        <f>COUNTIFS(Parameters!$S:$S,$D$4,Parameters!$Q:$Q,EN15)</f>
        <v>0</v>
      </c>
      <c r="GL15" s="59">
        <f>COUNTIFS(Parameters!$S:$S,$D$4,Parameters!$Q:$Q,EO15)</f>
        <v>0</v>
      </c>
      <c r="GM15" s="59">
        <f>COUNTIFS(Parameters!$S:$S,$D$4,Parameters!$Q:$Q,EP15)</f>
        <v>0</v>
      </c>
      <c r="GN15" s="59">
        <f>COUNTIFS(Parameters!$S:$S,$D$4,Parameters!$Q:$Q,EQ15)</f>
        <v>0</v>
      </c>
      <c r="GO15" s="59">
        <f>COUNTIFS(Parameters!$S:$S,$D$4,Parameters!$Q:$Q,ER15)</f>
        <v>0</v>
      </c>
      <c r="GP15" s="59">
        <f>COUNTIFS(Parameters!$S:$S,$D$4,Parameters!$Q:$Q,ES15)</f>
        <v>0</v>
      </c>
      <c r="GQ15" s="59">
        <f>COUNTIFS(Parameters!$S:$S,$D$4,Parameters!$Q:$Q,ET15)</f>
        <v>0</v>
      </c>
      <c r="GR15" s="59">
        <f>COUNTIFS(Parameters!$S:$S,$D$4,Parameters!$Q:$Q,EU15)</f>
        <v>0</v>
      </c>
      <c r="GS15" s="59">
        <f>COUNTIFS(Parameters!$S:$S,$D$4,Parameters!$Q:$Q,EV15)</f>
        <v>0</v>
      </c>
      <c r="GT15" s="59">
        <f>COUNTIFS(Parameters!$S:$S,$D$4,Parameters!$Q:$Q,EW15)</f>
        <v>0</v>
      </c>
      <c r="GU15" s="59">
        <f>COUNTIFS(Parameters!$S:$S,$D$4,Parameters!$Q:$Q,EX15)</f>
        <v>0</v>
      </c>
      <c r="GV15" s="59">
        <f>COUNTIFS(Parameters!$S:$S,$D$4,Parameters!$Q:$Q,EY15)</f>
        <v>0</v>
      </c>
      <c r="GW15" s="59">
        <f>COUNTIFS(Parameters!$S:$S,$D$4,Parameters!$Q:$Q,EZ15)</f>
        <v>0</v>
      </c>
      <c r="GX15" s="60">
        <f>COUNTIFS(Parameters!$S:$S,$D$4,Parameters!$Q:$Q,FA15)</f>
        <v>0</v>
      </c>
      <c r="HB15" s="58" t="str">
        <f>IF(DH15="","",COUNTIFS($D$25:$D$267,Parameters!$K$2,$E$25:$E$267,Parameters!$M$2,Calendrier!$C$25:$C$267,DH15)+ COUNTIFS($D$25:$D$267,Parameters!$K$3,$E$25:$E$267,Parameters!$M$2,Calendrier!$C$25:$C$267,DH15))</f>
        <v/>
      </c>
      <c r="HC15" s="59" t="str">
        <f>IF(DI15="","",COUNTIFS($D$25:$D$267,Parameters!$K$2,$E$25:$E$267,Parameters!$M$2,Calendrier!$C$25:$C$267,DI15)+ COUNTIFS($D$25:$D$267,Parameters!$K$4,$E$25:$E$267,Parameters!$M$2,Calendrier!$C$25:$C$267,DI15))</f>
        <v/>
      </c>
      <c r="HD15" s="59" t="str">
        <f>IF(DJ15="","",COUNTIFS($D$25:$D$267,Parameters!$K$2,$E$25:$E$267,Parameters!$M$2,Calendrier!$C$25:$C$267,DJ15)+ COUNTIFS($D$25:$D$267,Parameters!$K$3,$E$25:$E$267,Parameters!$M$2,Calendrier!$C$25:$C$267,DJ15))</f>
        <v/>
      </c>
      <c r="HE15" s="59" t="str">
        <f>IF(DK15="","",COUNTIFS($D$25:$D$267,Parameters!$K$2,$E$25:$E$267,Parameters!$M$2,Calendrier!$C$25:$C$267,DK15)+ COUNTIFS($D$25:$D$267,Parameters!$K$4,$E$25:$E$267,Parameters!$M$2,Calendrier!$C$25:$C$267,DK15))</f>
        <v/>
      </c>
      <c r="HF15" s="59" t="str">
        <f>IF(DL15="","",COUNTIFS($D$25:$D$267,Parameters!$K$2,$E$25:$E$267,Parameters!$M$2,Calendrier!$C$25:$C$267,DL15)+ COUNTIFS($D$25:$D$267,Parameters!$K$3,$E$25:$E$267,Parameters!$M$2,Calendrier!$C$25:$C$267,DL15))</f>
        <v/>
      </c>
      <c r="HG15" s="59" t="str">
        <f>IF(DM15="","",COUNTIFS($D$25:$D$267,Parameters!$K$2,$E$25:$E$267,Parameters!$M$2,Calendrier!$C$25:$C$267,DM15)+ COUNTIFS($D$25:$D$267,Parameters!$K$4,$E$25:$E$267,Parameters!$M$2,Calendrier!$C$25:$C$267,DM15))</f>
        <v/>
      </c>
      <c r="HH15" s="59" t="str">
        <f>IF(DN15="","",COUNTIFS($D$25:$D$267,Parameters!$K$2,$E$25:$E$267,Parameters!$M$2,Calendrier!$C$25:$C$267,DN15)+ COUNTIFS($D$25:$D$267,Parameters!$K$3,$E$25:$E$267,Parameters!$M$2,Calendrier!$C$25:$C$267,DN15))</f>
        <v/>
      </c>
      <c r="HI15" s="59" t="str">
        <f>IF(DO15="","",COUNTIFS($D$25:$D$267,Parameters!$K$2,$E$25:$E$267,Parameters!$M$2,Calendrier!$C$25:$C$267,DO15)+ COUNTIFS($D$25:$D$267,Parameters!$K$4,$E$25:$E$267,Parameters!$M$2,Calendrier!$C$25:$C$267,DO15))</f>
        <v/>
      </c>
      <c r="HJ15" s="59" t="str">
        <f>IF(DP15="","",COUNTIFS($D$25:$D$267,Parameters!$K$2,$E$25:$E$267,Parameters!$M$2,Calendrier!$C$25:$C$267,DP15)+ COUNTIFS($D$25:$D$267,Parameters!$K$3,$E$25:$E$267,Parameters!$M$2,Calendrier!$C$25:$C$267,DP15))</f>
        <v/>
      </c>
      <c r="HK15" s="59" t="str">
        <f>IF(DQ15="","",COUNTIFS($D$25:$D$267,Parameters!$K$2,$E$25:$E$267,Parameters!$M$2,Calendrier!$C$25:$C$267,DQ15)+ COUNTIFS($D$25:$D$267,Parameters!$K$4,$E$25:$E$267,Parameters!$M$2,Calendrier!$C$25:$C$267,DQ15))</f>
        <v/>
      </c>
      <c r="HL15" s="59" t="str">
        <f>IF(DR15="","",COUNTIFS($D$25:$D$267,Parameters!$K$2,$E$25:$E$267,Parameters!$M$2,Calendrier!$C$25:$C$267,DR15)+ COUNTIFS($D$25:$D$267,Parameters!$K$3,$E$25:$E$267,Parameters!$M$2,Calendrier!$C$25:$C$267,DR15))</f>
        <v/>
      </c>
      <c r="HM15" s="59" t="str">
        <f>IF(DS15="","",COUNTIFS($D$25:$D$267,Parameters!$K$2,$E$25:$E$267,Parameters!$M$2,Calendrier!$C$25:$C$267,DS15)+ COUNTIFS($D$25:$D$267,Parameters!$K$4,$E$25:$E$267,Parameters!$M$2,Calendrier!$C$25:$C$267,DS15))</f>
        <v/>
      </c>
      <c r="HN15" s="59" t="str">
        <f>IF(DT15="","",COUNTIFS($D$25:$D$267,Parameters!$K$2,$E$25:$E$267,Parameters!$M$2,Calendrier!$C$25:$C$267,DT15)+ COUNTIFS($D$25:$D$267,Parameters!$K$3,$E$25:$E$267,Parameters!$M$2,Calendrier!$C$25:$C$267,DT15))</f>
        <v/>
      </c>
      <c r="HO15" s="60" t="str">
        <f>IF(DU15="","",COUNTIFS($D$25:$D$267,Parameters!$K$2,$E$25:$E$267,Parameters!$M$2,Calendrier!$C$25:$C$267,DU15)+ COUNTIFS($D$25:$D$267,Parameters!$K$4,$E$25:$E$267,Parameters!$M$2,Calendrier!$C$25:$C$267,DU15))</f>
        <v/>
      </c>
      <c r="HR15" s="58" t="str">
        <f>IF(DX15="","",COUNTIFS($D$25:$D$267,Parameters!$K$2,$E$25:$E$267,Parameters!$M$2,Calendrier!$C$25:$C$267,DX15)+ COUNTIFS($D$25:$D$267,Parameters!$K$3,$E$25:$E$267,Parameters!$M$2,Calendrier!$C$25:$C$267,DX15))</f>
        <v/>
      </c>
      <c r="HS15" s="59" t="str">
        <f>IF(DY15="","",COUNTIFS($D$25:$D$267,Parameters!$K$2,$E$25:$E$267,Parameters!$M$2,Calendrier!$C$25:$C$267,DY15)+ COUNTIFS($D$25:$D$267,Parameters!$K$4,$E$25:$E$267,Parameters!$M$2,Calendrier!$C$25:$C$267,DY15))</f>
        <v/>
      </c>
      <c r="HT15" s="59" t="str">
        <f>IF(DZ15="","",COUNTIFS($D$25:$D$267,Parameters!$K$2,$E$25:$E$267,Parameters!$M$2,Calendrier!$C$25:$C$267,DZ15)+ COUNTIFS($D$25:$D$267,Parameters!$K$3,$E$25:$E$267,Parameters!$M$2,Calendrier!$C$25:$C$267,DZ15))</f>
        <v/>
      </c>
      <c r="HU15" s="59" t="str">
        <f>IF(EA15="","",COUNTIFS($D$25:$D$267,Parameters!$K$2,$E$25:$E$267,Parameters!$M$2,Calendrier!$C$25:$C$267,EA15)+ COUNTIFS($D$25:$D$267,Parameters!$K$4,$E$25:$E$267,Parameters!$M$2,Calendrier!$C$25:$C$267,EA15))</f>
        <v/>
      </c>
      <c r="HV15" s="59" t="str">
        <f>IF(EB15="","",COUNTIFS($D$25:$D$267,Parameters!$K$2,$E$25:$E$267,Parameters!$M$2,Calendrier!$C$25:$C$267,EB15)+ COUNTIFS($D$25:$D$267,Parameters!$K$3,$E$25:$E$267,Parameters!$M$2,Calendrier!$C$25:$C$267,EB15))</f>
        <v/>
      </c>
      <c r="HW15" s="59" t="str">
        <f>IF(EC15="","",COUNTIFS($D$25:$D$267,Parameters!$K$2,$E$25:$E$267,Parameters!$M$2,Calendrier!$C$25:$C$267,EC15)+ COUNTIFS($D$25:$D$267,Parameters!$K$4,$E$25:$E$267,Parameters!$M$2,Calendrier!$C$25:$C$267,EC15))</f>
        <v/>
      </c>
      <c r="HX15" s="59" t="str">
        <f>IF(ED15="","",COUNTIFS($D$25:$D$267,Parameters!$K$2,$E$25:$E$267,Parameters!$M$2,Calendrier!$C$25:$C$267,ED15)+ COUNTIFS($D$25:$D$267,Parameters!$K$3,$E$25:$E$267,Parameters!$M$2,Calendrier!$C$25:$C$267,ED15))</f>
        <v/>
      </c>
      <c r="HY15" s="59" t="str">
        <f>IF(EE15="","",COUNTIFS($D$25:$D$267,Parameters!$K$2,$E$25:$E$267,Parameters!$M$2,Calendrier!$C$25:$C$267,EE15)+ COUNTIFS($D$25:$D$267,Parameters!$K$4,$E$25:$E$267,Parameters!$M$2,Calendrier!$C$25:$C$267,EE15))</f>
        <v/>
      </c>
      <c r="HZ15" s="59" t="str">
        <f>IF(EF15="","",COUNTIFS($D$25:$D$267,Parameters!$K$2,$E$25:$E$267,Parameters!$M$2,Calendrier!$C$25:$C$267,EF15)+ COUNTIFS($D$25:$D$267,Parameters!$K$3,$E$25:$E$267,Parameters!$M$2,Calendrier!$C$25:$C$267,EF15))</f>
        <v/>
      </c>
      <c r="IA15" s="59" t="str">
        <f>IF(EG15="","",COUNTIFS($D$25:$D$267,Parameters!$K$2,$E$25:$E$267,Parameters!$M$2,Calendrier!$C$25:$C$267,EG15)+ COUNTIFS($D$25:$D$267,Parameters!$K$4,$E$25:$E$267,Parameters!$M$2,Calendrier!$C$25:$C$267,EG15))</f>
        <v/>
      </c>
      <c r="IB15" s="59" t="str">
        <f>IF(EH15="","",COUNTIFS($D$25:$D$267,Parameters!$K$2,$E$25:$E$267,Parameters!$M$2,Calendrier!$C$25:$C$267,EH15)+ COUNTIFS($D$25:$D$267,Parameters!$K$3,$E$25:$E$267,Parameters!$M$2,Calendrier!$C$25:$C$267,EH15))</f>
        <v/>
      </c>
      <c r="IC15" s="59" t="str">
        <f>IF(EI15="","",COUNTIFS($D$25:$D$267,Parameters!$K$2,$E$25:$E$267,Parameters!$M$2,Calendrier!$C$25:$C$267,EI15)+ COUNTIFS($D$25:$D$267,Parameters!$K$4,$E$25:$E$267,Parameters!$M$2,Calendrier!$C$25:$C$267,EI15))</f>
        <v/>
      </c>
      <c r="ID15" s="59" t="str">
        <f>IF(EJ15="","",COUNTIFS($D$25:$D$267,Parameters!$K$2,$E$25:$E$267,Parameters!$M$2,Calendrier!$C$25:$C$267,EJ15)+ COUNTIFS($D$25:$D$267,Parameters!$K$3,$E$25:$E$267,Parameters!$M$2,Calendrier!$C$25:$C$267,EJ15))</f>
        <v/>
      </c>
      <c r="IE15" s="60" t="str">
        <f>IF(EK15="","",COUNTIFS($D$25:$D$267,Parameters!$K$2,$E$25:$E$267,Parameters!$M$2,Calendrier!$C$25:$C$267,EK15)+ COUNTIFS($D$25:$D$267,Parameters!$K$4,$E$25:$E$267,Parameters!$M$2,Calendrier!$C$25:$C$267,EK15))</f>
        <v/>
      </c>
      <c r="IH15" s="58">
        <f>IF(EN15="","",COUNTIFS($D$25:$D$267,Parameters!$K$2,$E$25:$E$267,Parameters!$M$2,Calendrier!$C$25:$C$267,EN15)+ COUNTIFS($D$25:$D$267,Parameters!$K$3,$E$25:$E$267,Parameters!$M$2,Calendrier!$C$25:$C$267,EN15))</f>
        <v>0</v>
      </c>
      <c r="II15" s="59">
        <f>IF(EO15="","",COUNTIFS($D$25:$D$267,Parameters!$K$2,$E$25:$E$267,Parameters!$M$2,Calendrier!$C$25:$C$267,EO15)+ COUNTIFS($D$25:$D$267,Parameters!$K$4,$E$25:$E$267,Parameters!$M$2,Calendrier!$C$25:$C$267,EO15))</f>
        <v>0</v>
      </c>
      <c r="IJ15" s="59">
        <f>IF(EP15="","",COUNTIFS($D$25:$D$267,Parameters!$K$2,$E$25:$E$267,Parameters!$M$2,Calendrier!$C$25:$C$267,EP15)+ COUNTIFS($D$25:$D$267,Parameters!$K$3,$E$25:$E$267,Parameters!$M$2,Calendrier!$C$25:$C$267,EP15))</f>
        <v>0</v>
      </c>
      <c r="IK15" s="59">
        <f>IF(EQ15="","",COUNTIFS($D$25:$D$267,Parameters!$K$2,$E$25:$E$267,Parameters!$M$2,Calendrier!$C$25:$C$267,EQ15)+ COUNTIFS($D$25:$D$267,Parameters!$K$4,$E$25:$E$267,Parameters!$M$2,Calendrier!$C$25:$C$267,EQ15))</f>
        <v>0</v>
      </c>
      <c r="IL15" s="59" t="str">
        <f>IF(ER15="","",COUNTIFS($D$25:$D$267,Parameters!$K$2,$E$25:$E$267,Parameters!$M$2,Calendrier!$C$25:$C$267,ER15)+ COUNTIFS($D$25:$D$267,Parameters!$K$3,$E$25:$E$267,Parameters!$M$2,Calendrier!$C$25:$C$267,ER15))</f>
        <v/>
      </c>
      <c r="IM15" s="59" t="str">
        <f>IF(ES15="","",COUNTIFS($D$25:$D$267,Parameters!$K$2,$E$25:$E$267,Parameters!$M$2,Calendrier!$C$25:$C$267,ES15)+ COUNTIFS($D$25:$D$267,Parameters!$K$4,$E$25:$E$267,Parameters!$M$2,Calendrier!$C$25:$C$267,ES15))</f>
        <v/>
      </c>
      <c r="IN15" s="59" t="str">
        <f>IF(ET15="","",COUNTIFS($D$25:$D$267,Parameters!$K$2,$E$25:$E$267,Parameters!$M$2,Calendrier!$C$25:$C$267,ET15)+ COUNTIFS($D$25:$D$267,Parameters!$K$3,$E$25:$E$267,Parameters!$M$2,Calendrier!$C$25:$C$267,ET15))</f>
        <v/>
      </c>
      <c r="IO15" s="59" t="str">
        <f>IF(EU15="","",COUNTIFS($D$25:$D$267,Parameters!$K$2,$E$25:$E$267,Parameters!$M$2,Calendrier!$C$25:$C$267,EU15)+ COUNTIFS($D$25:$D$267,Parameters!$K$4,$E$25:$E$267,Parameters!$M$2,Calendrier!$C$25:$C$267,EU15))</f>
        <v/>
      </c>
      <c r="IP15" s="59" t="str">
        <f>IF(EV15="","",COUNTIFS($D$25:$D$267,Parameters!$K$2,$E$25:$E$267,Parameters!$M$2,Calendrier!$C$25:$C$267,EV15)+ COUNTIFS($D$25:$D$267,Parameters!$K$3,$E$25:$E$267,Parameters!$M$2,Calendrier!$C$25:$C$267,EV15))</f>
        <v/>
      </c>
      <c r="IQ15" s="59" t="str">
        <f>IF(EW15="","",COUNTIFS($D$25:$D$267,Parameters!$K$2,$E$25:$E$267,Parameters!$M$2,Calendrier!$C$25:$C$267,EW15)+ COUNTIFS($D$25:$D$267,Parameters!$K$4,$E$25:$E$267,Parameters!$M$2,Calendrier!$C$25:$C$267,EW15))</f>
        <v/>
      </c>
      <c r="IR15" s="59" t="str">
        <f>IF(EX15="","",COUNTIFS($D$25:$D$267,Parameters!$K$2,$E$25:$E$267,Parameters!$M$2,Calendrier!$C$25:$C$267,EX15)+ COUNTIFS($D$25:$D$267,Parameters!$K$3,$E$25:$E$267,Parameters!$M$2,Calendrier!$C$25:$C$267,EX15))</f>
        <v/>
      </c>
      <c r="IS15" s="59" t="str">
        <f>IF(EY15="","",COUNTIFS($D$25:$D$267,Parameters!$K$2,$E$25:$E$267,Parameters!$M$2,Calendrier!$C$25:$C$267,EY15)+ COUNTIFS($D$25:$D$267,Parameters!$K$4,$E$25:$E$267,Parameters!$M$2,Calendrier!$C$25:$C$267,EY15))</f>
        <v/>
      </c>
      <c r="IT15" s="59" t="str">
        <f>IF(EZ15="","",COUNTIFS($D$25:$D$267,Parameters!$K$2,$E$25:$E$267,Parameters!$M$2,Calendrier!$C$25:$C$267,EZ15)+ COUNTIFS($D$25:$D$267,Parameters!$K$3,$E$25:$E$267,Parameters!$M$2,Calendrier!$C$25:$C$267,EZ15))</f>
        <v/>
      </c>
      <c r="IU15" s="60" t="str">
        <f>IF(FA15="","",COUNTIFS($D$25:$D$267,Parameters!$K$2,$E$25:$E$267,Parameters!$M$2,Calendrier!$C$25:$C$267,FA15)+ COUNTIFS($D$25:$D$267,Parameters!$K$4,$E$25:$E$267,Parameters!$M$2,Calendrier!$C$25:$C$267,FA15))</f>
        <v/>
      </c>
      <c r="IY15" s="58" t="str">
        <f>IF(DH15="","",COUNTIFS($D$25:$D$267,Parameters!$K$2,$E$25:$E$267,Parameters!$M$3,Calendrier!$C$25:$C$267,DH15)+ COUNTIFS($D$25:$D$267,Parameters!$K$3,$E$25:$E$267,Parameters!$M$3,Calendrier!$C$25:$C$267,DH15))</f>
        <v/>
      </c>
      <c r="IZ15" s="59" t="str">
        <f>IF(DI15="","",COUNTIFS($D$25:$D$267,Parameters!$K$2,$E$25:$E$267,Parameters!$M$3,Calendrier!$C$25:$C$267,DI15)+ COUNTIFS($D$25:$D$267,Parameters!$K$4,$E$25:$E$267,Parameters!$M$3,Calendrier!$C$25:$C$267,DI15))</f>
        <v/>
      </c>
      <c r="JA15" s="59" t="str">
        <f>IF(DJ15="","",COUNTIFS($D$25:$D$267,Parameters!$K$2,$E$25:$E$267,Parameters!$M$3,Calendrier!$C$25:$C$267,DJ15)+ COUNTIFS($D$25:$D$267,Parameters!$K$3,$E$25:$E$267,Parameters!$M$3,Calendrier!$C$25:$C$267,DJ15))</f>
        <v/>
      </c>
      <c r="JB15" s="59" t="str">
        <f>IF(DK15="","",COUNTIFS($D$25:$D$267,Parameters!$K$2,$E$25:$E$267,Parameters!$M$3,Calendrier!$C$25:$C$267,DK15)+ COUNTIFS($D$25:$D$267,Parameters!$K$4,$E$25:$E$267,Parameters!$M$3,Calendrier!$C$25:$C$267,DK15))</f>
        <v/>
      </c>
      <c r="JC15" s="59" t="str">
        <f>IF(DL15="","",COUNTIFS($D$25:$D$267,Parameters!$K$2,$E$25:$E$267,Parameters!$M$3,Calendrier!$C$25:$C$267,DL15)+ COUNTIFS($D$25:$D$267,Parameters!$K$3,$E$25:$E$267,Parameters!$M$3,Calendrier!$C$25:$C$267,DL15))</f>
        <v/>
      </c>
      <c r="JD15" s="59" t="str">
        <f>IF(DM15="","",COUNTIFS($D$25:$D$267,Parameters!$K$2,$E$25:$E$267,Parameters!$M$3,Calendrier!$C$25:$C$267,DM15)+ COUNTIFS($D$25:$D$267,Parameters!$K$4,$E$25:$E$267,Parameters!$M$3,Calendrier!$C$25:$C$267,DM15))</f>
        <v/>
      </c>
      <c r="JE15" s="59" t="str">
        <f>IF(DN15="","",COUNTIFS($D$25:$D$267,Parameters!$K$2,$E$25:$E$267,Parameters!$M$3,Calendrier!$C$25:$C$267,DN15)+ COUNTIFS($D$25:$D$267,Parameters!$K$3,$E$25:$E$267,Parameters!$M$3,Calendrier!$C$25:$C$267,DN15))</f>
        <v/>
      </c>
      <c r="JF15" s="59" t="str">
        <f>IF(DO15="","",COUNTIFS($D$25:$D$267,Parameters!$K$2,$E$25:$E$267,Parameters!$M$3,Calendrier!$C$25:$C$267,DO15)+ COUNTIFS($D$25:$D$267,Parameters!$K$4,$E$25:$E$267,Parameters!$M$3,Calendrier!$C$25:$C$267,DO15))</f>
        <v/>
      </c>
      <c r="JG15" s="59" t="str">
        <f>IF(DP15="","",COUNTIFS($D$25:$D$267,Parameters!$K$2,$E$25:$E$267,Parameters!$M$3,Calendrier!$C$25:$C$267,DP15)+ COUNTIFS($D$25:$D$267,Parameters!$K$3,$E$25:$E$267,Parameters!$M$3,Calendrier!$C$25:$C$267,DP15))</f>
        <v/>
      </c>
      <c r="JH15" s="59" t="str">
        <f>IF(DQ15="","",COUNTIFS($D$25:$D$267,Parameters!$K$2,$E$25:$E$267,Parameters!$M$3,Calendrier!$C$25:$C$267,DQ15)+ COUNTIFS($D$25:$D$267,Parameters!$K$4,$E$25:$E$267,Parameters!$M$3,Calendrier!$C$25:$C$267,DQ15))</f>
        <v/>
      </c>
      <c r="JI15" s="59" t="str">
        <f>IF(DR15="","",COUNTIFS($D$25:$D$267,Parameters!$K$2,$E$25:$E$267,Parameters!$M$3,Calendrier!$C$25:$C$267,DR15)+ COUNTIFS($D$25:$D$267,Parameters!$K$3,$E$25:$E$267,Parameters!$M$3,Calendrier!$C$25:$C$267,DR15))</f>
        <v/>
      </c>
      <c r="JJ15" s="59" t="str">
        <f>IF(DS15="","",COUNTIFS($D$25:$D$267,Parameters!$K$2,$E$25:$E$267,Parameters!$M$3,Calendrier!$C$25:$C$267,DS15)+ COUNTIFS($D$25:$D$267,Parameters!$K$4,$E$25:$E$267,Parameters!$M$3,Calendrier!$C$25:$C$267,DS15))</f>
        <v/>
      </c>
      <c r="JK15" s="59" t="str">
        <f>IF(DT15="","",COUNTIFS($D$25:$D$267,Parameters!$K$2,$E$25:$E$267,Parameters!$M$3,Calendrier!$C$25:$C$267,DT15)+ COUNTIFS($D$25:$D$267,Parameters!$K$3,$E$25:$E$267,Parameters!$M$3,Calendrier!$C$25:$C$267,DT15))</f>
        <v/>
      </c>
      <c r="JL15" s="60" t="str">
        <f>IF(DU15="","",COUNTIFS($D$25:$D$267,Parameters!$K$2,$E$25:$E$267,Parameters!$M$3,Calendrier!$C$25:$C$267,DU15)+ COUNTIFS($D$25:$D$267,Parameters!$K$4,$E$25:$E$267,Parameters!$M$3,Calendrier!$C$25:$C$267,DU15))</f>
        <v/>
      </c>
      <c r="JO15" s="58" t="str">
        <f>IF(DX15="","",COUNTIFS($D$25:$D$267,Parameters!$K$2,$E$25:$E$267,Parameters!$M$3,Calendrier!$C$25:$C$267,DX15)+ COUNTIFS($D$25:$D$267,Parameters!$K$3,$E$25:$E$267,Parameters!$M$3,Calendrier!$C$25:$C$267,DX15))</f>
        <v/>
      </c>
      <c r="JP15" s="59" t="str">
        <f>IF(DY15="","",COUNTIFS($D$25:$D$267,Parameters!$K$2,$E$25:$E$267,Parameters!$M$3,Calendrier!$C$25:$C$267,DY15)+ COUNTIFS($D$25:$D$267,Parameters!$K$4,$E$25:$E$267,Parameters!$M$3,Calendrier!$C$25:$C$267,DY15))</f>
        <v/>
      </c>
      <c r="JQ15" s="59" t="str">
        <f>IF(DZ15="","",COUNTIFS($D$25:$D$267,Parameters!$K$2,$E$25:$E$267,Parameters!$M$3,Calendrier!$C$25:$C$267,DZ15)+ COUNTIFS($D$25:$D$267,Parameters!$K$3,$E$25:$E$267,Parameters!$M$3,Calendrier!$C$25:$C$267,DZ15))</f>
        <v/>
      </c>
      <c r="JR15" s="59" t="str">
        <f>IF(EA15="","",COUNTIFS($D$25:$D$267,Parameters!$K$2,$E$25:$E$267,Parameters!$M$3,Calendrier!$C$25:$C$267,EA15)+ COUNTIFS($D$25:$D$267,Parameters!$K$4,$E$25:$E$267,Parameters!$M$3,Calendrier!$C$25:$C$267,EA15))</f>
        <v/>
      </c>
      <c r="JS15" s="59" t="str">
        <f>IF(EB15="","",COUNTIFS($D$25:$D$267,Parameters!$K$2,$E$25:$E$267,Parameters!$M$3,Calendrier!$C$25:$C$267,EB15)+ COUNTIFS($D$25:$D$267,Parameters!$K$3,$E$25:$E$267,Parameters!$M$3,Calendrier!$C$25:$C$267,EB15))</f>
        <v/>
      </c>
      <c r="JT15" s="59" t="str">
        <f>IF(EC15="","",COUNTIFS($D$25:$D$267,Parameters!$K$2,$E$25:$E$267,Parameters!$M$3,Calendrier!$C$25:$C$267,EC15)+ COUNTIFS($D$25:$D$267,Parameters!$K$4,$E$25:$E$267,Parameters!$M$3,Calendrier!$C$25:$C$267,EC15))</f>
        <v/>
      </c>
      <c r="JU15" s="59" t="str">
        <f>IF(ED15="","",COUNTIFS($D$25:$D$267,Parameters!$K$2,$E$25:$E$267,Parameters!$M$3,Calendrier!$C$25:$C$267,ED15)+ COUNTIFS($D$25:$D$267,Parameters!$K$3,$E$25:$E$267,Parameters!$M$3,Calendrier!$C$25:$C$267,ED15))</f>
        <v/>
      </c>
      <c r="JV15" s="59" t="str">
        <f>IF(EE15="","",COUNTIFS($D$25:$D$267,Parameters!$K$2,$E$25:$E$267,Parameters!$M$3,Calendrier!$C$25:$C$267,EE15)+ COUNTIFS($D$25:$D$267,Parameters!$K$4,$E$25:$E$267,Parameters!$M$3,Calendrier!$C$25:$C$267,EE15))</f>
        <v/>
      </c>
      <c r="JW15" s="59" t="str">
        <f>IF(EF15="","",COUNTIFS($D$25:$D$267,Parameters!$K$2,$E$25:$E$267,Parameters!$M$3,Calendrier!$C$25:$C$267,EF15)+ COUNTIFS($D$25:$D$267,Parameters!$K$3,$E$25:$E$267,Parameters!$M$3,Calendrier!$C$25:$C$267,EF15))</f>
        <v/>
      </c>
      <c r="JX15" s="59" t="str">
        <f>IF(EG15="","",COUNTIFS($D$25:$D$267,Parameters!$K$2,$E$25:$E$267,Parameters!$M$3,Calendrier!$C$25:$C$267,EG15)+ COUNTIFS($D$25:$D$267,Parameters!$K$4,$E$25:$E$267,Parameters!$M$3,Calendrier!$C$25:$C$267,EG15))</f>
        <v/>
      </c>
      <c r="JY15" s="59" t="str">
        <f>IF(EH15="","",COUNTIFS($D$25:$D$267,Parameters!$K$2,$E$25:$E$267,Parameters!$M$3,Calendrier!$C$25:$C$267,EH15)+ COUNTIFS($D$25:$D$267,Parameters!$K$3,$E$25:$E$267,Parameters!$M$3,Calendrier!$C$25:$C$267,EH15))</f>
        <v/>
      </c>
      <c r="JZ15" s="59" t="str">
        <f>IF(EI15="","",COUNTIFS($D$25:$D$267,Parameters!$K$2,$E$25:$E$267,Parameters!$M$3,Calendrier!$C$25:$C$267,EI15)+ COUNTIFS($D$25:$D$267,Parameters!$K$4,$E$25:$E$267,Parameters!$M$3,Calendrier!$C$25:$C$267,EI15))</f>
        <v/>
      </c>
      <c r="KA15" s="59" t="str">
        <f>IF(EJ15="","",COUNTIFS($D$25:$D$267,Parameters!$K$2,$E$25:$E$267,Parameters!$M$3,Calendrier!$C$25:$C$267,EJ15)+ COUNTIFS($D$25:$D$267,Parameters!$K$3,$E$25:$E$267,Parameters!$M$3,Calendrier!$C$25:$C$267,EJ15))</f>
        <v/>
      </c>
      <c r="KB15" s="60" t="str">
        <f>IF(EK15="","",COUNTIFS($D$25:$D$267,Parameters!$K$2,$E$25:$E$267,Parameters!$M$3,Calendrier!$C$25:$C$267,EK15)+ COUNTIFS($D$25:$D$267,Parameters!$K$4,$E$25:$E$267,Parameters!$M$3,Calendrier!$C$25:$C$267,EK15))</f>
        <v/>
      </c>
      <c r="KE15" s="58">
        <f>IF(EN15="","",COUNTIFS($D$25:$D$267,Parameters!$K$2,$E$25:$E$267,Parameters!$M$3,Calendrier!$C$25:$C$267,EN15)+ COUNTIFS($D$25:$D$267,Parameters!$K$3,$E$25:$E$267,Parameters!$M$3,Calendrier!$C$25:$C$267,EN15))</f>
        <v>0</v>
      </c>
      <c r="KF15" s="59">
        <f>IF(EO15="","",COUNTIFS($D$25:$D$267,Parameters!$K$2,$E$25:$E$267,Parameters!$M$3,Calendrier!$C$25:$C$267,EO15)+ COUNTIFS($D$25:$D$267,Parameters!$K$4,$E$25:$E$267,Parameters!$M$3,Calendrier!$C$25:$C$267,EO15))</f>
        <v>0</v>
      </c>
      <c r="KG15" s="59">
        <f>IF(EP15="","",COUNTIFS($D$25:$D$267,Parameters!$K$2,$E$25:$E$267,Parameters!$M$3,Calendrier!$C$25:$C$267,EP15)+ COUNTIFS($D$25:$D$267,Parameters!$K$3,$E$25:$E$267,Parameters!$M$3,Calendrier!$C$25:$C$267,EP15))</f>
        <v>0</v>
      </c>
      <c r="KH15" s="59">
        <f>IF(EQ15="","",COUNTIFS($D$25:$D$267,Parameters!$K$2,$E$25:$E$267,Parameters!$M$3,Calendrier!$C$25:$C$267,EQ15)+ COUNTIFS($D$25:$D$267,Parameters!$K$4,$E$25:$E$267,Parameters!$M$3,Calendrier!$C$25:$C$267,EQ15))</f>
        <v>0</v>
      </c>
      <c r="KI15" s="59" t="str">
        <f>IF(ER15="","",COUNTIFS($D$25:$D$267,Parameters!$K$2,$E$25:$E$267,Parameters!$M$3,Calendrier!$C$25:$C$267,ER15)+ COUNTIFS($D$25:$D$267,Parameters!$K$3,$E$25:$E$267,Parameters!$M$3,Calendrier!$C$25:$C$267,ER15))</f>
        <v/>
      </c>
      <c r="KJ15" s="59" t="str">
        <f>IF(ES15="","",COUNTIFS($D$25:$D$267,Parameters!$K$2,$E$25:$E$267,Parameters!$M$3,Calendrier!$C$25:$C$267,ES15)+ COUNTIFS($D$25:$D$267,Parameters!$K$4,$E$25:$E$267,Parameters!$M$3,Calendrier!$C$25:$C$267,ES15))</f>
        <v/>
      </c>
      <c r="KK15" s="59" t="str">
        <f>IF(ET15="","",COUNTIFS($D$25:$D$267,Parameters!$K$2,$E$25:$E$267,Parameters!$M$3,Calendrier!$C$25:$C$267,ET15)+ COUNTIFS($D$25:$D$267,Parameters!$K$3,$E$25:$E$267,Parameters!$M$3,Calendrier!$C$25:$C$267,ET15))</f>
        <v/>
      </c>
      <c r="KL15" s="59" t="str">
        <f>IF(EU15="","",COUNTIFS($D$25:$D$267,Parameters!$K$2,$E$25:$E$267,Parameters!$M$3,Calendrier!$C$25:$C$267,EU15)+ COUNTIFS($D$25:$D$267,Parameters!$K$4,$E$25:$E$267,Parameters!$M$3,Calendrier!$C$25:$C$267,EU15))</f>
        <v/>
      </c>
      <c r="KM15" s="59" t="str">
        <f>IF(EV15="","",COUNTIFS($D$25:$D$267,Parameters!$K$2,$E$25:$E$267,Parameters!$M$3,Calendrier!$C$25:$C$267,EV15)+ COUNTIFS($D$25:$D$267,Parameters!$K$3,$E$25:$E$267,Parameters!$M$3,Calendrier!$C$25:$C$267,EV15))</f>
        <v/>
      </c>
      <c r="KN15" s="59" t="str">
        <f>IF(EW15="","",COUNTIFS($D$25:$D$267,Parameters!$K$2,$E$25:$E$267,Parameters!$M$3,Calendrier!$C$25:$C$267,EW15)+ COUNTIFS($D$25:$D$267,Parameters!$K$4,$E$25:$E$267,Parameters!$M$3,Calendrier!$C$25:$C$267,EW15))</f>
        <v/>
      </c>
      <c r="KO15" s="59" t="str">
        <f>IF(EX15="","",COUNTIFS($D$25:$D$267,Parameters!$K$2,$E$25:$E$267,Parameters!$M$3,Calendrier!$C$25:$C$267,EX15)+ COUNTIFS($D$25:$D$267,Parameters!$K$3,$E$25:$E$267,Parameters!$M$3,Calendrier!$C$25:$C$267,EX15))</f>
        <v/>
      </c>
      <c r="KP15" s="59" t="str">
        <f>IF(EY15="","",COUNTIFS($D$25:$D$267,Parameters!$K$2,$E$25:$E$267,Parameters!$M$3,Calendrier!$C$25:$C$267,EY15)+ COUNTIFS($D$25:$D$267,Parameters!$K$4,$E$25:$E$267,Parameters!$M$3,Calendrier!$C$25:$C$267,EY15))</f>
        <v/>
      </c>
      <c r="KQ15" s="59" t="str">
        <f>IF(EZ15="","",COUNTIFS($D$25:$D$267,Parameters!$K$2,$E$25:$E$267,Parameters!$M$3,Calendrier!$C$25:$C$267,EZ15)+ COUNTIFS($D$25:$D$267,Parameters!$K$3,$E$25:$E$267,Parameters!$M$3,Calendrier!$C$25:$C$267,EZ15))</f>
        <v/>
      </c>
      <c r="KR15" s="60" t="str">
        <f>IF(FA15="","",COUNTIFS($D$25:$D$267,Parameters!$K$2,$E$25:$E$267,Parameters!$M$3,Calendrier!$C$25:$C$267,FA15)+ COUNTIFS($D$25:$D$267,Parameters!$K$4,$E$25:$E$267,Parameters!$M$3,Calendrier!$C$25:$C$267,FA15))</f>
        <v/>
      </c>
      <c r="KV15" s="58" t="str">
        <f>IF(DH15="","",COUNTIFS($D$25:$D$267,Parameters!$K$2,$E$25:$E$267,Parameters!$M$4,Calendrier!$C$25:$C$267,DH15)+ COUNTIFS($D$25:$D$267,Parameters!$K$3,$E$25:$E$267,Parameters!$M$4,Calendrier!$C$25:$C$267,DH15))</f>
        <v/>
      </c>
      <c r="KW15" s="59" t="str">
        <f>IF(DI15="","",COUNTIFS($D$25:$D$267,Parameters!$K$2,$E$25:$E$267,Parameters!$M$4,Calendrier!$C$25:$C$267,DI15)+ COUNTIFS($D$25:$D$267,Parameters!$K$4,$E$25:$E$267,Parameters!$M$4,Calendrier!$C$25:$C$267,DI15))</f>
        <v/>
      </c>
      <c r="KX15" s="59" t="str">
        <f>IF(DJ15="","",COUNTIFS($D$25:$D$267,Parameters!$K$2,$E$25:$E$267,Parameters!$M$4,Calendrier!$C$25:$C$267,DJ15)+ COUNTIFS($D$25:$D$267,Parameters!$K$3,$E$25:$E$267,Parameters!$M$4,Calendrier!$C$25:$C$267,DJ15))</f>
        <v/>
      </c>
      <c r="KY15" s="59" t="str">
        <f>IF(DK15="","",COUNTIFS($D$25:$D$267,Parameters!$K$2,$E$25:$E$267,Parameters!$M$4,Calendrier!$C$25:$C$267,DK15)+ COUNTIFS($D$25:$D$267,Parameters!$K$4,$E$25:$E$267,Parameters!$M$4,Calendrier!$C$25:$C$267,DK15))</f>
        <v/>
      </c>
      <c r="KZ15" s="59" t="str">
        <f>IF(DL15="","",COUNTIFS($D$25:$D$267,Parameters!$K$2,$E$25:$E$267,Parameters!$M$4,Calendrier!$C$25:$C$267,DL15)+ COUNTIFS($D$25:$D$267,Parameters!$K$3,$E$25:$E$267,Parameters!$M$4,Calendrier!$C$25:$C$267,DL15))</f>
        <v/>
      </c>
      <c r="LA15" s="59" t="str">
        <f>IF(DM15="","",COUNTIFS($D$25:$D$267,Parameters!$K$2,$E$25:$E$267,Parameters!$M$4,Calendrier!$C$25:$C$267,DM15)+ COUNTIFS($D$25:$D$267,Parameters!$K$4,$E$25:$E$267,Parameters!$M$4,Calendrier!$C$25:$C$267,DM15))</f>
        <v/>
      </c>
      <c r="LB15" s="59" t="str">
        <f>IF(DN15="","",COUNTIFS($D$25:$D$267,Parameters!$K$2,$E$25:$E$267,Parameters!$M$4,Calendrier!$C$25:$C$267,DN15)+ COUNTIFS($D$25:$D$267,Parameters!$K$3,$E$25:$E$267,Parameters!$M$4,Calendrier!$C$25:$C$267,DN15))</f>
        <v/>
      </c>
      <c r="LC15" s="59" t="str">
        <f>IF(DO15="","",COUNTIFS($D$25:$D$267,Parameters!$K$2,$E$25:$E$267,Parameters!$M$4,Calendrier!$C$25:$C$267,DO15)+ COUNTIFS($D$25:$D$267,Parameters!$K$4,$E$25:$E$267,Parameters!$M$4,Calendrier!$C$25:$C$267,DO15))</f>
        <v/>
      </c>
      <c r="LD15" s="59" t="str">
        <f>IF(DP15="","",COUNTIFS($D$25:$D$267,Parameters!$K$2,$E$25:$E$267,Parameters!$M$4,Calendrier!$C$25:$C$267,DP15)+ COUNTIFS($D$25:$D$267,Parameters!$K$3,$E$25:$E$267,Parameters!$M$4,Calendrier!$C$25:$C$267,DP15))</f>
        <v/>
      </c>
      <c r="LE15" s="59" t="str">
        <f>IF(DQ15="","",COUNTIFS($D$25:$D$267,Parameters!$K$2,$E$25:$E$267,Parameters!$M$4,Calendrier!$C$25:$C$267,DQ15)+ COUNTIFS($D$25:$D$267,Parameters!$K$4,$E$25:$E$267,Parameters!$M$4,Calendrier!$C$25:$C$267,DQ15))</f>
        <v/>
      </c>
      <c r="LF15" s="59" t="str">
        <f>IF(DR15="","",COUNTIFS($D$25:$D$267,Parameters!$K$2,$E$25:$E$267,Parameters!$M$4,Calendrier!$C$25:$C$267,DR15)+ COUNTIFS($D$25:$D$267,Parameters!$K$3,$E$25:$E$267,Parameters!$M$4,Calendrier!$C$25:$C$267,DR15))</f>
        <v/>
      </c>
      <c r="LG15" s="59" t="str">
        <f>IF(DS15="","",COUNTIFS($D$25:$D$267,Parameters!$K$2,$E$25:$E$267,Parameters!$M$4,Calendrier!$C$25:$C$267,DS15)+ COUNTIFS($D$25:$D$267,Parameters!$K$4,$E$25:$E$267,Parameters!$M$4,Calendrier!$C$25:$C$267,DS15))</f>
        <v/>
      </c>
      <c r="LH15" s="59" t="str">
        <f>IF(DT15="","",COUNTIFS($D$25:$D$267,Parameters!$K$2,$E$25:$E$267,Parameters!$M$4,Calendrier!$C$25:$C$267,DT15)+ COUNTIFS($D$25:$D$267,Parameters!$K$3,$E$25:$E$267,Parameters!$M$4,Calendrier!$C$25:$C$267,DT15))</f>
        <v/>
      </c>
      <c r="LI15" s="60" t="str">
        <f>IF(DU15="","",COUNTIFS($D$25:$D$267,Parameters!$K$2,$E$25:$E$267,Parameters!$M$4,Calendrier!$C$25:$C$267,DU15)+ COUNTIFS($D$25:$D$267,Parameters!$K$4,$E$25:$E$267,Parameters!$M$4,Calendrier!$C$25:$C$267,DU15))</f>
        <v/>
      </c>
      <c r="LL15" s="58" t="str">
        <f>IF(DX15="","",COUNTIFS($D$25:$D$267,Parameters!$K$2,$E$25:$E$267,Parameters!$M$4,Calendrier!$C$25:$C$267,DX15)+ COUNTIFS($D$25:$D$267,Parameters!$K$3,$E$25:$E$267,Parameters!$M$4,Calendrier!$C$25:$C$267,DX15))</f>
        <v/>
      </c>
      <c r="LM15" s="59" t="str">
        <f>IF(DY15="","",COUNTIFS($D$25:$D$267,Parameters!$K$2,$E$25:$E$267,Parameters!$M$4,Calendrier!$C$25:$C$267,DY15)+ COUNTIFS($D$25:$D$267,Parameters!$K$4,$E$25:$E$267,Parameters!$M$4,Calendrier!$C$25:$C$267,DY15))</f>
        <v/>
      </c>
      <c r="LN15" s="59" t="str">
        <f>IF(DZ15="","",COUNTIFS($D$25:$D$267,Parameters!$K$2,$E$25:$E$267,Parameters!$M$4,Calendrier!$C$25:$C$267,DZ15)+ COUNTIFS($D$25:$D$267,Parameters!$K$3,$E$25:$E$267,Parameters!$M$4,Calendrier!$C$25:$C$267,DZ15))</f>
        <v/>
      </c>
      <c r="LO15" s="59" t="str">
        <f>IF(EA15="","",COUNTIFS($D$25:$D$267,Parameters!$K$2,$E$25:$E$267,Parameters!$M$4,Calendrier!$C$25:$C$267,EA15)+ COUNTIFS($D$25:$D$267,Parameters!$K$4,$E$25:$E$267,Parameters!$M$4,Calendrier!$C$25:$C$267,EA15))</f>
        <v/>
      </c>
      <c r="LP15" s="59" t="str">
        <f>IF(EB15="","",COUNTIFS($D$25:$D$267,Parameters!$K$2,$E$25:$E$267,Parameters!$M$4,Calendrier!$C$25:$C$267,EB15)+ COUNTIFS($D$25:$D$267,Parameters!$K$3,$E$25:$E$267,Parameters!$M$4,Calendrier!$C$25:$C$267,EB15))</f>
        <v/>
      </c>
      <c r="LQ15" s="59" t="str">
        <f>IF(EC15="","",COUNTIFS($D$25:$D$267,Parameters!$K$2,$E$25:$E$267,Parameters!$M$4,Calendrier!$C$25:$C$267,EC15)+ COUNTIFS($D$25:$D$267,Parameters!$K$4,$E$25:$E$267,Parameters!$M$4,Calendrier!$C$25:$C$267,EC15))</f>
        <v/>
      </c>
      <c r="LR15" s="59" t="str">
        <f>IF(ED15="","",COUNTIFS($D$25:$D$267,Parameters!$K$2,$E$25:$E$267,Parameters!$M$4,Calendrier!$C$25:$C$267,ED15)+ COUNTIFS($D$25:$D$267,Parameters!$K$3,$E$25:$E$267,Parameters!$M$4,Calendrier!$C$25:$C$267,ED15))</f>
        <v/>
      </c>
      <c r="LS15" s="59" t="str">
        <f>IF(EE15="","",COUNTIFS($D$25:$D$267,Parameters!$K$2,$E$25:$E$267,Parameters!$M$4,Calendrier!$C$25:$C$267,EE15)+ COUNTIFS($D$25:$D$267,Parameters!$K$4,$E$25:$E$267,Parameters!$M$4,Calendrier!$C$25:$C$267,EE15))</f>
        <v/>
      </c>
      <c r="LT15" s="59" t="str">
        <f>IF(EF15="","",COUNTIFS($D$25:$D$267,Parameters!$K$2,$E$25:$E$267,Parameters!$M$4,Calendrier!$C$25:$C$267,EF15)+ COUNTIFS($D$25:$D$267,Parameters!$K$3,$E$25:$E$267,Parameters!$M$4,Calendrier!$C$25:$C$267,EF15))</f>
        <v/>
      </c>
      <c r="LU15" s="59" t="str">
        <f>IF(EG15="","",COUNTIFS($D$25:$D$267,Parameters!$K$2,$E$25:$E$267,Parameters!$M$4,Calendrier!$C$25:$C$267,EG15)+ COUNTIFS($D$25:$D$267,Parameters!$K$4,$E$25:$E$267,Parameters!$M$4,Calendrier!$C$25:$C$267,EG15))</f>
        <v/>
      </c>
      <c r="LV15" s="59" t="str">
        <f>IF(EH15="","",COUNTIFS($D$25:$D$267,Parameters!$K$2,$E$25:$E$267,Parameters!$M$4,Calendrier!$C$25:$C$267,EH15)+ COUNTIFS($D$25:$D$267,Parameters!$K$3,$E$25:$E$267,Parameters!$M$4,Calendrier!$C$25:$C$267,EH15))</f>
        <v/>
      </c>
      <c r="LW15" s="59" t="str">
        <f>IF(EI15="","",COUNTIFS($D$25:$D$267,Parameters!$K$2,$E$25:$E$267,Parameters!$M$4,Calendrier!$C$25:$C$267,EI15)+ COUNTIFS($D$25:$D$267,Parameters!$K$4,$E$25:$E$267,Parameters!$M$4,Calendrier!$C$25:$C$267,EI15))</f>
        <v/>
      </c>
      <c r="LX15" s="59" t="str">
        <f>IF(EJ15="","",COUNTIFS($D$25:$D$267,Parameters!$K$2,$E$25:$E$267,Parameters!$M$4,Calendrier!$C$25:$C$267,EJ15)+ COUNTIFS($D$25:$D$267,Parameters!$K$3,$E$25:$E$267,Parameters!$M$4,Calendrier!$C$25:$C$267,EJ15))</f>
        <v/>
      </c>
      <c r="LY15" s="60" t="str">
        <f>IF(EK15="","",COUNTIFS($D$25:$D$267,Parameters!$K$2,$E$25:$E$267,Parameters!$M$4,Calendrier!$C$25:$C$267,EK15)+ COUNTIFS($D$25:$D$267,Parameters!$K$4,$E$25:$E$267,Parameters!$M$4,Calendrier!$C$25:$C$267,EK15))</f>
        <v/>
      </c>
      <c r="MB15" s="58">
        <f>IF(EN15="","",COUNTIFS($D$25:$D$267,Parameters!$K$2,$E$25:$E$267,Parameters!$M$4,Calendrier!$C$25:$C$267,EN15)+ COUNTIFS($D$25:$D$267,Parameters!$K$3,$E$25:$E$267,Parameters!$M$4,Calendrier!$C$25:$C$267,EN15))</f>
        <v>0</v>
      </c>
      <c r="MC15" s="59">
        <f>IF(EO15="","",COUNTIFS($D$25:$D$267,Parameters!$K$2,$E$25:$E$267,Parameters!$M$4,Calendrier!$C$25:$C$267,EO15)+ COUNTIFS($D$25:$D$267,Parameters!$K$4,$E$25:$E$267,Parameters!$M$4,Calendrier!$C$25:$C$267,EO15))</f>
        <v>0</v>
      </c>
      <c r="MD15" s="59">
        <f>IF(EP15="","",COUNTIFS($D$25:$D$267,Parameters!$K$2,$E$25:$E$267,Parameters!$M$4,Calendrier!$C$25:$C$267,EP15)+ COUNTIFS($D$25:$D$267,Parameters!$K$3,$E$25:$E$267,Parameters!$M$4,Calendrier!$C$25:$C$267,EP15))</f>
        <v>0</v>
      </c>
      <c r="ME15" s="59">
        <f>IF(EQ15="","",COUNTIFS($D$25:$D$267,Parameters!$K$2,$E$25:$E$267,Parameters!$M$4,Calendrier!$C$25:$C$267,EQ15)+ COUNTIFS($D$25:$D$267,Parameters!$K$4,$E$25:$E$267,Parameters!$M$4,Calendrier!$C$25:$C$267,EQ15))</f>
        <v>0</v>
      </c>
      <c r="MF15" s="59" t="str">
        <f>IF(ER15="","",COUNTIFS($D$25:$D$267,Parameters!$K$2,$E$25:$E$267,Parameters!$M$4,Calendrier!$C$25:$C$267,ER15)+ COUNTIFS($D$25:$D$267,Parameters!$K$3,$E$25:$E$267,Parameters!$M$4,Calendrier!$C$25:$C$267,ER15))</f>
        <v/>
      </c>
      <c r="MG15" s="59" t="str">
        <f>IF(ES15="","",COUNTIFS($D$25:$D$267,Parameters!$K$2,$E$25:$E$267,Parameters!$M$4,Calendrier!$C$25:$C$267,ES15)+ COUNTIFS($D$25:$D$267,Parameters!$K$4,$E$25:$E$267,Parameters!$M$4,Calendrier!$C$25:$C$267,ES15))</f>
        <v/>
      </c>
      <c r="MH15" s="59" t="str">
        <f>IF(ET15="","",COUNTIFS($D$25:$D$267,Parameters!$K$2,$E$25:$E$267,Parameters!$M$4,Calendrier!$C$25:$C$267,ET15)+ COUNTIFS($D$25:$D$267,Parameters!$K$3,$E$25:$E$267,Parameters!$M$4,Calendrier!$C$25:$C$267,ET15))</f>
        <v/>
      </c>
      <c r="MI15" s="59" t="str">
        <f>IF(EU15="","",COUNTIFS($D$25:$D$267,Parameters!$K$2,$E$25:$E$267,Parameters!$M$4,Calendrier!$C$25:$C$267,EU15)+ COUNTIFS($D$25:$D$267,Parameters!$K$4,$E$25:$E$267,Parameters!$M$4,Calendrier!$C$25:$C$267,EU15))</f>
        <v/>
      </c>
      <c r="MJ15" s="59" t="str">
        <f>IF(EV15="","",COUNTIFS($D$25:$D$267,Parameters!$K$2,$E$25:$E$267,Parameters!$M$4,Calendrier!$C$25:$C$267,EV15)+ COUNTIFS($D$25:$D$267,Parameters!$K$3,$E$25:$E$267,Parameters!$M$4,Calendrier!$C$25:$C$267,EV15))</f>
        <v/>
      </c>
      <c r="MK15" s="59" t="str">
        <f>IF(EW15="","",COUNTIFS($D$25:$D$267,Parameters!$K$2,$E$25:$E$267,Parameters!$M$4,Calendrier!$C$25:$C$267,EW15)+ COUNTIFS($D$25:$D$267,Parameters!$K$4,$E$25:$E$267,Parameters!$M$4,Calendrier!$C$25:$C$267,EW15))</f>
        <v/>
      </c>
      <c r="ML15" s="59" t="str">
        <f>IF(EX15="","",COUNTIFS($D$25:$D$267,Parameters!$K$2,$E$25:$E$267,Parameters!$M$4,Calendrier!$C$25:$C$267,EX15)+ COUNTIFS($D$25:$D$267,Parameters!$K$3,$E$25:$E$267,Parameters!$M$4,Calendrier!$C$25:$C$267,EX15))</f>
        <v/>
      </c>
      <c r="MM15" s="59" t="str">
        <f>IF(EY15="","",COUNTIFS($D$25:$D$267,Parameters!$K$2,$E$25:$E$267,Parameters!$M$4,Calendrier!$C$25:$C$267,EY15)+ COUNTIFS($D$25:$D$267,Parameters!$K$4,$E$25:$E$267,Parameters!$M$4,Calendrier!$C$25:$C$267,EY15))</f>
        <v/>
      </c>
      <c r="MN15" s="59" t="str">
        <f>IF(EZ15="","",COUNTIFS($D$25:$D$267,Parameters!$K$2,$E$25:$E$267,Parameters!$M$4,Calendrier!$C$25:$C$267,EZ15)+ COUNTIFS($D$25:$D$267,Parameters!$K$3,$E$25:$E$267,Parameters!$M$4,Calendrier!$C$25:$C$267,EZ15))</f>
        <v/>
      </c>
      <c r="MO15" s="60" t="str">
        <f>IF(FA15="","",COUNTIFS($D$25:$D$267,Parameters!$K$2,$E$25:$E$267,Parameters!$M$4,Calendrier!$C$25:$C$267,FA15)+ COUNTIFS($D$25:$D$267,Parameters!$K$4,$E$25:$E$267,Parameters!$M$4,Calendrier!$C$25:$C$267,FA15))</f>
        <v/>
      </c>
      <c r="MS15" s="58" t="str">
        <f>IF(DH15="","",COUNTIFS($D$25:$D$267,Parameters!$K$2,$E$25:$E$267,Parameters!$M$5,Calendrier!$C$25:$C$267,DH15)+ COUNTIFS($D$25:$D$267,Parameters!$K$3,$E$25:$E$267,Parameters!$M$5,Calendrier!$C$25:$C$267,DH15))</f>
        <v/>
      </c>
      <c r="MT15" s="59" t="str">
        <f>IF(DI15="","",COUNTIFS($D$25:$D$267,Parameters!$K$2,$E$25:$E$267,Parameters!$M$5,Calendrier!$C$25:$C$267,DI15)+ COUNTIFS($D$25:$D$267,Parameters!$K$4,$E$25:$E$267,Parameters!$M$5,Calendrier!$C$25:$C$267,DI15))</f>
        <v/>
      </c>
      <c r="MU15" s="59" t="str">
        <f>IF(DJ15="","",COUNTIFS($D$25:$D$267,Parameters!$K$2,$E$25:$E$267,Parameters!$M$5,Calendrier!$C$25:$C$267,DJ15)+ COUNTIFS($D$25:$D$267,Parameters!$K$3,$E$25:$E$267,Parameters!$M$5,Calendrier!$C$25:$C$267,DJ15))</f>
        <v/>
      </c>
      <c r="MV15" s="59" t="str">
        <f>IF(DK15="","",COUNTIFS($D$25:$D$267,Parameters!$K$2,$E$25:$E$267,Parameters!$M$5,Calendrier!$C$25:$C$267,DK15)+ COUNTIFS($D$25:$D$267,Parameters!$K$4,$E$25:$E$267,Parameters!$M$5,Calendrier!$C$25:$C$267,DK15))</f>
        <v/>
      </c>
      <c r="MW15" s="59" t="str">
        <f>IF(DL15="","",COUNTIFS($D$25:$D$267,Parameters!$K$2,$E$25:$E$267,Parameters!$M$5,Calendrier!$C$25:$C$267,DL15)+ COUNTIFS($D$25:$D$267,Parameters!$K$3,$E$25:$E$267,Parameters!$M$5,Calendrier!$C$25:$C$267,DL15))</f>
        <v/>
      </c>
      <c r="MX15" s="59" t="str">
        <f>IF(DM15="","",COUNTIFS($D$25:$D$267,Parameters!$K$2,$E$25:$E$267,Parameters!$M$5,Calendrier!$C$25:$C$267,DM15)+ COUNTIFS($D$25:$D$267,Parameters!$K$4,$E$25:$E$267,Parameters!$M$5,Calendrier!$C$25:$C$267,DM15))</f>
        <v/>
      </c>
      <c r="MY15" s="59" t="str">
        <f>IF(DN15="","",COUNTIFS($D$25:$D$267,Parameters!$K$2,$E$25:$E$267,Parameters!$M$5,Calendrier!$C$25:$C$267,DN15)+ COUNTIFS($D$25:$D$267,Parameters!$K$3,$E$25:$E$267,Parameters!$M$5,Calendrier!$C$25:$C$267,DN15))</f>
        <v/>
      </c>
      <c r="MZ15" s="59" t="str">
        <f>IF(DO15="","",COUNTIFS($D$25:$D$267,Parameters!$K$2,$E$25:$E$267,Parameters!$M$5,Calendrier!$C$25:$C$267,DO15)+ COUNTIFS($D$25:$D$267,Parameters!$K$4,$E$25:$E$267,Parameters!$M$5,Calendrier!$C$25:$C$267,DO15))</f>
        <v/>
      </c>
      <c r="NA15" s="59" t="str">
        <f>IF(DP15="","",COUNTIFS($D$25:$D$267,Parameters!$K$2,$E$25:$E$267,Parameters!$M$5,Calendrier!$C$25:$C$267,DP15)+ COUNTIFS($D$25:$D$267,Parameters!$K$3,$E$25:$E$267,Parameters!$M$5,Calendrier!$C$25:$C$267,DP15))</f>
        <v/>
      </c>
      <c r="NB15" s="59" t="str">
        <f>IF(DQ15="","",COUNTIFS($D$25:$D$267,Parameters!$K$2,$E$25:$E$267,Parameters!$M$5,Calendrier!$C$25:$C$267,DQ15)+ COUNTIFS($D$25:$D$267,Parameters!$K$4,$E$25:$E$267,Parameters!$M$5,Calendrier!$C$25:$C$267,DQ15))</f>
        <v/>
      </c>
      <c r="NC15" s="59" t="str">
        <f>IF(DR15="","",COUNTIFS($D$25:$D$267,Parameters!$K$2,$E$25:$E$267,Parameters!$M$5,Calendrier!$C$25:$C$267,DR15)+ COUNTIFS($D$25:$D$267,Parameters!$K$3,$E$25:$E$267,Parameters!$M$5,Calendrier!$C$25:$C$267,DR15))</f>
        <v/>
      </c>
      <c r="ND15" s="59" t="str">
        <f>IF(DS15="","",COUNTIFS($D$25:$D$267,Parameters!$K$2,$E$25:$E$267,Parameters!$M$5,Calendrier!$C$25:$C$267,DS15)+ COUNTIFS($D$25:$D$267,Parameters!$K$4,$E$25:$E$267,Parameters!$M$5,Calendrier!$C$25:$C$267,DS15))</f>
        <v/>
      </c>
      <c r="NE15" s="59" t="str">
        <f>IF(DT15="","",COUNTIFS($D$25:$D$267,Parameters!$K$2,$E$25:$E$267,Parameters!$M$5,Calendrier!$C$25:$C$267,DT15)+ COUNTIFS($D$25:$D$267,Parameters!$K$3,$E$25:$E$267,Parameters!$M$5,Calendrier!$C$25:$C$267,DT15))</f>
        <v/>
      </c>
      <c r="NF15" s="60" t="str">
        <f>IF(DU15="","",COUNTIFS($D$25:$D$267,Parameters!$K$2,$E$25:$E$267,Parameters!$M$5,Calendrier!$C$25:$C$267,DU15)+ COUNTIFS($D$25:$D$267,Parameters!$K$4,$E$25:$E$267,Parameters!$M$5,Calendrier!$C$25:$C$267,DU15))</f>
        <v/>
      </c>
      <c r="NI15" s="58" t="str">
        <f>IF(DX15="","",COUNTIFS($D$25:$D$267,Parameters!$K$2,$E$25:$E$267,Parameters!$M$5,Calendrier!$C$25:$C$267,DX15)+ COUNTIFS($D$25:$D$267,Parameters!$K$3,$E$25:$E$267,Parameters!$M$5,Calendrier!$C$25:$C$267,DX15))</f>
        <v/>
      </c>
      <c r="NJ15" s="59" t="str">
        <f>IF(DY15="","",COUNTIFS($D$25:$D$267,Parameters!$K$2,$E$25:$E$267,Parameters!$M$5,Calendrier!$C$25:$C$267,DY15)+ COUNTIFS($D$25:$D$267,Parameters!$K$4,$E$25:$E$267,Parameters!$M$5,Calendrier!$C$25:$C$267,DY15))</f>
        <v/>
      </c>
      <c r="NK15" s="59" t="str">
        <f>IF(DZ15="","",COUNTIFS($D$25:$D$267,Parameters!$K$2,$E$25:$E$267,Parameters!$M$5,Calendrier!$C$25:$C$267,DZ15)+ COUNTIFS($D$25:$D$267,Parameters!$K$3,$E$25:$E$267,Parameters!$M$5,Calendrier!$C$25:$C$267,DZ15))</f>
        <v/>
      </c>
      <c r="NL15" s="59" t="str">
        <f>IF(EA15="","",COUNTIFS($D$25:$D$267,Parameters!$K$2,$E$25:$E$267,Parameters!$M$5,Calendrier!$C$25:$C$267,EA15)+ COUNTIFS($D$25:$D$267,Parameters!$K$4,$E$25:$E$267,Parameters!$M$5,Calendrier!$C$25:$C$267,EA15))</f>
        <v/>
      </c>
      <c r="NM15" s="59" t="str">
        <f>IF(EB15="","",COUNTIFS($D$25:$D$267,Parameters!$K$2,$E$25:$E$267,Parameters!$M$5,Calendrier!$C$25:$C$267,EB15)+ COUNTIFS($D$25:$D$267,Parameters!$K$3,$E$25:$E$267,Parameters!$M$5,Calendrier!$C$25:$C$267,EB15))</f>
        <v/>
      </c>
      <c r="NN15" s="59" t="str">
        <f>IF(EC15="","",COUNTIFS($D$25:$D$267,Parameters!$K$2,$E$25:$E$267,Parameters!$M$5,Calendrier!$C$25:$C$267,EC15)+ COUNTIFS($D$25:$D$267,Parameters!$K$4,$E$25:$E$267,Parameters!$M$5,Calendrier!$C$25:$C$267,EC15))</f>
        <v/>
      </c>
      <c r="NO15" s="59" t="str">
        <f>IF(ED15="","",COUNTIFS($D$25:$D$267,Parameters!$K$2,$E$25:$E$267,Parameters!$M$5,Calendrier!$C$25:$C$267,ED15)+ COUNTIFS($D$25:$D$267,Parameters!$K$3,$E$25:$E$267,Parameters!$M$5,Calendrier!$C$25:$C$267,ED15))</f>
        <v/>
      </c>
      <c r="NP15" s="59" t="str">
        <f>IF(EE15="","",COUNTIFS($D$25:$D$267,Parameters!$K$2,$E$25:$E$267,Parameters!$M$5,Calendrier!$C$25:$C$267,EE15)+ COUNTIFS($D$25:$D$267,Parameters!$K$4,$E$25:$E$267,Parameters!$M$5,Calendrier!$C$25:$C$267,EE15))</f>
        <v/>
      </c>
      <c r="NQ15" s="59" t="str">
        <f>IF(EF15="","",COUNTIFS($D$25:$D$267,Parameters!$K$2,$E$25:$E$267,Parameters!$M$5,Calendrier!$C$25:$C$267,EF15)+ COUNTIFS($D$25:$D$267,Parameters!$K$3,$E$25:$E$267,Parameters!$M$5,Calendrier!$C$25:$C$267,EF15))</f>
        <v/>
      </c>
      <c r="NR15" s="59" t="str">
        <f>IF(EG15="","",COUNTIFS($D$25:$D$267,Parameters!$K$2,$E$25:$E$267,Parameters!$M$5,Calendrier!$C$25:$C$267,EG15)+ COUNTIFS($D$25:$D$267,Parameters!$K$4,$E$25:$E$267,Parameters!$M$5,Calendrier!$C$25:$C$267,EG15))</f>
        <v/>
      </c>
      <c r="NS15" s="59" t="str">
        <f>IF(EH15="","",COUNTIFS($D$25:$D$267,Parameters!$K$2,$E$25:$E$267,Parameters!$M$5,Calendrier!$C$25:$C$267,EH15)+ COUNTIFS($D$25:$D$267,Parameters!$K$3,$E$25:$E$267,Parameters!$M$5,Calendrier!$C$25:$C$267,EH15))</f>
        <v/>
      </c>
      <c r="NT15" s="59" t="str">
        <f>IF(EI15="","",COUNTIFS($D$25:$D$267,Parameters!$K$2,$E$25:$E$267,Parameters!$M$5,Calendrier!$C$25:$C$267,EI15)+ COUNTIFS($D$25:$D$267,Parameters!$K$4,$E$25:$E$267,Parameters!$M$5,Calendrier!$C$25:$C$267,EI15))</f>
        <v/>
      </c>
      <c r="NU15" s="59" t="str">
        <f>IF(EJ15="","",COUNTIFS($D$25:$D$267,Parameters!$K$2,$E$25:$E$267,Parameters!$M$5,Calendrier!$C$25:$C$267,EJ15)+ COUNTIFS($D$25:$D$267,Parameters!$K$3,$E$25:$E$267,Parameters!$M$5,Calendrier!$C$25:$C$267,EJ15))</f>
        <v/>
      </c>
      <c r="NV15" s="60" t="str">
        <f>IF(EK15="","",COUNTIFS($D$25:$D$267,Parameters!$K$2,$E$25:$E$267,Parameters!$M$5,Calendrier!$C$25:$C$267,EK15)+ COUNTIFS($D$25:$D$267,Parameters!$K$4,$E$25:$E$267,Parameters!$M$5,Calendrier!$C$25:$C$267,EK15))</f>
        <v/>
      </c>
      <c r="NY15" s="58">
        <f>IF(EN15="","",COUNTIFS($D$25:$D$267,Parameters!$K$2,$E$25:$E$267,Parameters!$M$5,Calendrier!$C$25:$C$267,EN15)+ COUNTIFS($D$25:$D$267,Parameters!$K$3,$E$25:$E$267,Parameters!$M$5,Calendrier!$C$25:$C$267,EN15))</f>
        <v>0</v>
      </c>
      <c r="NZ15" s="59">
        <f>IF(EO15="","",COUNTIFS($D$25:$D$267,Parameters!$K$2,$E$25:$E$267,Parameters!$M$5,Calendrier!$C$25:$C$267,EO15)+ COUNTIFS($D$25:$D$267,Parameters!$K$4,$E$25:$E$267,Parameters!$M$5,Calendrier!$C$25:$C$267,EO15))</f>
        <v>0</v>
      </c>
      <c r="OA15" s="59">
        <f>IF(EP15="","",COUNTIFS($D$25:$D$267,Parameters!$K$2,$E$25:$E$267,Parameters!$M$5,Calendrier!$C$25:$C$267,EP15)+ COUNTIFS($D$25:$D$267,Parameters!$K$3,$E$25:$E$267,Parameters!$M$5,Calendrier!$C$25:$C$267,EP15))</f>
        <v>0</v>
      </c>
      <c r="OB15" s="59">
        <f>IF(EQ15="","",COUNTIFS($D$25:$D$267,Parameters!$K$2,$E$25:$E$267,Parameters!$M$5,Calendrier!$C$25:$C$267,EQ15)+ COUNTIFS($D$25:$D$267,Parameters!$K$4,$E$25:$E$267,Parameters!$M$5,Calendrier!$C$25:$C$267,EQ15))</f>
        <v>0</v>
      </c>
      <c r="OC15" s="59" t="str">
        <f>IF(ER15="","",COUNTIFS($D$25:$D$267,Parameters!$K$2,$E$25:$E$267,Parameters!$M$5,Calendrier!$C$25:$C$267,ER15)+ COUNTIFS($D$25:$D$267,Parameters!$K$3,$E$25:$E$267,Parameters!$M$5,Calendrier!$C$25:$C$267,ER15))</f>
        <v/>
      </c>
      <c r="OD15" s="59" t="str">
        <f>IF(ES15="","",COUNTIFS($D$25:$D$267,Parameters!$K$2,$E$25:$E$267,Parameters!$M$5,Calendrier!$C$25:$C$267,ES15)+ COUNTIFS($D$25:$D$267,Parameters!$K$4,$E$25:$E$267,Parameters!$M$5,Calendrier!$C$25:$C$267,ES15))</f>
        <v/>
      </c>
      <c r="OE15" s="59" t="str">
        <f>IF(ET15="","",COUNTIFS($D$25:$D$267,Parameters!$K$2,$E$25:$E$267,Parameters!$M$5,Calendrier!$C$25:$C$267,ET15)+ COUNTIFS($D$25:$D$267,Parameters!$K$3,$E$25:$E$267,Parameters!$M$5,Calendrier!$C$25:$C$267,ET15))</f>
        <v/>
      </c>
      <c r="OF15" s="59" t="str">
        <f>IF(EU15="","",COUNTIFS($D$25:$D$267,Parameters!$K$2,$E$25:$E$267,Parameters!$M$5,Calendrier!$C$25:$C$267,EU15)+ COUNTIFS($D$25:$D$267,Parameters!$K$4,$E$25:$E$267,Parameters!$M$5,Calendrier!$C$25:$C$267,EU15))</f>
        <v/>
      </c>
      <c r="OG15" s="59" t="str">
        <f>IF(EV15="","",COUNTIFS($D$25:$D$267,Parameters!$K$2,$E$25:$E$267,Parameters!$M$5,Calendrier!$C$25:$C$267,EV15)+ COUNTIFS($D$25:$D$267,Parameters!$K$3,$E$25:$E$267,Parameters!$M$5,Calendrier!$C$25:$C$267,EV15))</f>
        <v/>
      </c>
      <c r="OH15" s="59" t="str">
        <f>IF(EW15="","",COUNTIFS($D$25:$D$267,Parameters!$K$2,$E$25:$E$267,Parameters!$M$5,Calendrier!$C$25:$C$267,EW15)+ COUNTIFS($D$25:$D$267,Parameters!$K$4,$E$25:$E$267,Parameters!$M$5,Calendrier!$C$25:$C$267,EW15))</f>
        <v/>
      </c>
      <c r="OI15" s="59" t="str">
        <f>IF(EX15="","",COUNTIFS($D$25:$D$267,Parameters!$K$2,$E$25:$E$267,Parameters!$M$5,Calendrier!$C$25:$C$267,EX15)+ COUNTIFS($D$25:$D$267,Parameters!$K$3,$E$25:$E$267,Parameters!$M$5,Calendrier!$C$25:$C$267,EX15))</f>
        <v/>
      </c>
      <c r="OJ15" s="59" t="str">
        <f>IF(EY15="","",COUNTIFS($D$25:$D$267,Parameters!$K$2,$E$25:$E$267,Parameters!$M$5,Calendrier!$C$25:$C$267,EY15)+ COUNTIFS($D$25:$D$267,Parameters!$K$4,$E$25:$E$267,Parameters!$M$5,Calendrier!$C$25:$C$267,EY15))</f>
        <v/>
      </c>
      <c r="OK15" s="59" t="str">
        <f>IF(EZ15="","",COUNTIFS($D$25:$D$267,Parameters!$K$2,$E$25:$E$267,Parameters!$M$5,Calendrier!$C$25:$C$267,EZ15)+ COUNTIFS($D$25:$D$267,Parameters!$K$3,$E$25:$E$267,Parameters!$M$5,Calendrier!$C$25:$C$267,EZ15))</f>
        <v/>
      </c>
      <c r="OL15" s="60" t="str">
        <f>IF(FA15="","",COUNTIFS($D$25:$D$267,Parameters!$K$2,$E$25:$E$267,Parameters!$M$5,Calendrier!$C$25:$C$267,FA15)+ COUNTIFS($D$25:$D$267,Parameters!$K$4,$E$25:$E$267,Parameters!$M$5,Calendrier!$C$25:$C$267,FA15))</f>
        <v/>
      </c>
      <c r="OP15" s="58" t="str">
        <f>IF(DH15="","",COUNTIFS(Parameters!$Y:$Y,$BF$4,Parameters!$X:$X,DH15))</f>
        <v/>
      </c>
      <c r="OQ15" s="59" t="str">
        <f>IF(DI15="","",COUNTIFS(Parameters!$Y:$Y,$BF$4,Parameters!$X:$X,DI15))</f>
        <v/>
      </c>
      <c r="OR15" s="59" t="str">
        <f>IF(DJ15="","",COUNTIFS(Parameters!$Y:$Y,$BF$4,Parameters!$X:$X,DJ15))</f>
        <v/>
      </c>
      <c r="OS15" s="59" t="str">
        <f>IF(DK15="","",COUNTIFS(Parameters!$Y:$Y,$BF$4,Parameters!$X:$X,DK15))</f>
        <v/>
      </c>
      <c r="OT15" s="59" t="str">
        <f>IF(DL15="","",COUNTIFS(Parameters!$Y:$Y,$BF$4,Parameters!$X:$X,DL15))</f>
        <v/>
      </c>
      <c r="OU15" s="59" t="str">
        <f>IF(DM15="","",COUNTIFS(Parameters!$Y:$Y,$BF$4,Parameters!$X:$X,DM15))</f>
        <v/>
      </c>
      <c r="OV15" s="59" t="str">
        <f>IF(DN15="","",COUNTIFS(Parameters!$Y:$Y,$BF$4,Parameters!$X:$X,DN15))</f>
        <v/>
      </c>
      <c r="OW15" s="59" t="str">
        <f>IF(DO15="","",COUNTIFS(Parameters!$Y:$Y,$BF$4,Parameters!$X:$X,DO15))</f>
        <v/>
      </c>
      <c r="OX15" s="59" t="str">
        <f>IF(DP15="","",COUNTIFS(Parameters!$Y:$Y,$BF$4,Parameters!$X:$X,DP15))</f>
        <v/>
      </c>
      <c r="OY15" s="59" t="str">
        <f>IF(DQ15="","",COUNTIFS(Parameters!$Y:$Y,$BF$4,Parameters!$X:$X,DQ15))</f>
        <v/>
      </c>
      <c r="OZ15" s="59" t="str">
        <f>IF(DR15="","",COUNTIFS(Parameters!$Y:$Y,$BF$4,Parameters!$X:$X,DR15))</f>
        <v/>
      </c>
      <c r="PA15" s="59" t="str">
        <f>IF(DS15="","",COUNTIFS(Parameters!$Y:$Y,$BF$4,Parameters!$X:$X,DS15))</f>
        <v/>
      </c>
      <c r="PB15" s="59" t="str">
        <f>IF(DT15="","",COUNTIFS(Parameters!$Y:$Y,$BF$4,Parameters!$X:$X,DT15))</f>
        <v/>
      </c>
      <c r="PC15" s="60" t="str">
        <f>IF(DU15="","",COUNTIFS(Parameters!$Y:$Y,$BF$4,Parameters!$X:$X,DU15))</f>
        <v/>
      </c>
      <c r="PF15" s="58" t="str">
        <f>IF(DX15="","",COUNTIFS(Parameters!$Y:$Y,$BF$4,Parameters!$X:$X,DX15))</f>
        <v/>
      </c>
      <c r="PG15" s="59" t="str">
        <f>IF(DY15="","",COUNTIFS(Parameters!$Y:$Y,$BF$4,Parameters!$X:$X,DY15))</f>
        <v/>
      </c>
      <c r="PH15" s="59" t="str">
        <f>IF(DZ15="","",COUNTIFS(Parameters!$Y:$Y,$BF$4,Parameters!$X:$X,DZ15))</f>
        <v/>
      </c>
      <c r="PI15" s="59" t="str">
        <f>IF(EA15="","",COUNTIFS(Parameters!$Y:$Y,$BF$4,Parameters!$X:$X,EA15))</f>
        <v/>
      </c>
      <c r="PJ15" s="59" t="str">
        <f>IF(EB15="","",COUNTIFS(Parameters!$Y:$Y,$BF$4,Parameters!$X:$X,EB15))</f>
        <v/>
      </c>
      <c r="PK15" s="59" t="str">
        <f>IF(EC15="","",COUNTIFS(Parameters!$Y:$Y,$BF$4,Parameters!$X:$X,EC15))</f>
        <v/>
      </c>
      <c r="PL15" s="59" t="str">
        <f>IF(ED15="","",COUNTIFS(Parameters!$Y:$Y,$BF$4,Parameters!$X:$X,ED15))</f>
        <v/>
      </c>
      <c r="PM15" s="59" t="str">
        <f>IF(EE15="","",COUNTIFS(Parameters!$Y:$Y,$BF$4,Parameters!$X:$X,EE15))</f>
        <v/>
      </c>
      <c r="PN15" s="59" t="str">
        <f>IF(EF15="","",COUNTIFS(Parameters!$Y:$Y,$BF$4,Parameters!$X:$X,EF15))</f>
        <v/>
      </c>
      <c r="PO15" s="59" t="str">
        <f>IF(EG15="","",COUNTIFS(Parameters!$Y:$Y,$BF$4,Parameters!$X:$X,EG15))</f>
        <v/>
      </c>
      <c r="PP15" s="59" t="str">
        <f>IF(EH15="","",COUNTIFS(Parameters!$Y:$Y,$BF$4,Parameters!$X:$X,EH15))</f>
        <v/>
      </c>
      <c r="PQ15" s="59" t="str">
        <f>IF(EI15="","",COUNTIFS(Parameters!$Y:$Y,$BF$4,Parameters!$X:$X,EI15))</f>
        <v/>
      </c>
      <c r="PR15" s="59" t="str">
        <f>IF(EJ15="","",COUNTIFS(Parameters!$Y:$Y,$BF$4,Parameters!$X:$X,EJ15))</f>
        <v/>
      </c>
      <c r="PS15" s="60" t="str">
        <f>IF(EK15="","",COUNTIFS(Parameters!$Y:$Y,$BF$4,Parameters!$X:$X,EK15))</f>
        <v/>
      </c>
      <c r="PV15" s="58">
        <f>IF(EN15="","",COUNTIFS(Parameters!$Y:$Y,$BF$4,Parameters!$X:$X,EN15))</f>
        <v>0</v>
      </c>
      <c r="PW15" s="59">
        <f>IF(EO15="","",COUNTIFS(Parameters!$Y:$Y,$BF$4,Parameters!$X:$X,EO15))</f>
        <v>0</v>
      </c>
      <c r="PX15" s="59">
        <f>IF(EP15="","",COUNTIFS(Parameters!$Y:$Y,$BF$4,Parameters!$X:$X,EP15))</f>
        <v>0</v>
      </c>
      <c r="PY15" s="59">
        <f>IF(EQ15="","",COUNTIFS(Parameters!$Y:$Y,$BF$4,Parameters!$X:$X,EQ15))</f>
        <v>0</v>
      </c>
      <c r="PZ15" s="59" t="str">
        <f>IF(ER15="","",COUNTIFS(Parameters!$Y:$Y,$BF$4,Parameters!$X:$X,ER15))</f>
        <v/>
      </c>
      <c r="QA15" s="59" t="str">
        <f>IF(ES15="","",COUNTIFS(Parameters!$Y:$Y,$BF$4,Parameters!$X:$X,ES15))</f>
        <v/>
      </c>
      <c r="QB15" s="59" t="str">
        <f>IF(ET15="","",COUNTIFS(Parameters!$Y:$Y,$BF$4,Parameters!$X:$X,ET15))</f>
        <v/>
      </c>
      <c r="QC15" s="59" t="str">
        <f>IF(EU15="","",COUNTIFS(Parameters!$Y:$Y,$BF$4,Parameters!$X:$X,EU15))</f>
        <v/>
      </c>
      <c r="QD15" s="59" t="str">
        <f>IF(EV15="","",COUNTIFS(Parameters!$Y:$Y,$BF$4,Parameters!$X:$X,EV15))</f>
        <v/>
      </c>
      <c r="QE15" s="59" t="str">
        <f>IF(EW15="","",COUNTIFS(Parameters!$Y:$Y,$BF$4,Parameters!$X:$X,EW15))</f>
        <v/>
      </c>
      <c r="QF15" s="59" t="str">
        <f>IF(EX15="","",COUNTIFS(Parameters!$Y:$Y,$BF$4,Parameters!$X:$X,EX15))</f>
        <v/>
      </c>
      <c r="QG15" s="59" t="str">
        <f>IF(EY15="","",COUNTIFS(Parameters!$Y:$Y,$BF$4,Parameters!$X:$X,EY15))</f>
        <v/>
      </c>
      <c r="QH15" s="59" t="str">
        <f>IF(EZ15="","",COUNTIFS(Parameters!$Y:$Y,$BF$4,Parameters!$X:$X,EZ15))</f>
        <v/>
      </c>
      <c r="QI15" s="60" t="str">
        <f>IF(FA15="","",COUNTIFS(Parameters!$Y:$Y,$BF$4,Parameters!$X:$X,FA15))</f>
        <v/>
      </c>
      <c r="QN15" s="58" t="str">
        <f>IF(DH15="","",COUNTIFS($D$25:$D$267,Parameters!$K$2,$E$25:$E$267,Parameters!$M$6,Calendrier!$C$25:$C$267,DH15)+ COUNTIFS($D$25:$D$267,Parameters!$K$3,$E$25:$E$267,Parameters!$M$6,Calendrier!$C$25:$C$267,DH15))</f>
        <v/>
      </c>
      <c r="QO15" s="59" t="str">
        <f>IF(DI15="","",COUNTIFS($D$25:$D$267,Parameters!$K$2,$E$25:$E$267,Parameters!$M$6,Calendrier!$C$25:$C$267,DI15)+ COUNTIFS($D$25:$D$267,Parameters!$K$4,$E$25:$E$267,Parameters!$M$6,Calendrier!$C$25:$C$267,DI15))</f>
        <v/>
      </c>
      <c r="QP15" s="59" t="str">
        <f>IF(DJ15="","",COUNTIFS($D$25:$D$267,Parameters!$K$2,$E$25:$E$267,Parameters!$M$6,Calendrier!$C$25:$C$267,DJ15)+ COUNTIFS($D$25:$D$267,Parameters!$K$3,$E$25:$E$267,Parameters!$M$6,Calendrier!$C$25:$C$267,DJ15))</f>
        <v/>
      </c>
      <c r="QQ15" s="59" t="str">
        <f>IF(DK15="","",COUNTIFS($D$25:$D$267,Parameters!$K$2,$E$25:$E$267,Parameters!$M$6,Calendrier!$C$25:$C$267,DK15)+ COUNTIFS($D$25:$D$267,Parameters!$K$4,$E$25:$E$267,Parameters!$M$6,Calendrier!$C$25:$C$267,DK15))</f>
        <v/>
      </c>
      <c r="QR15" s="59" t="str">
        <f>IF(DL15="","",COUNTIFS($D$25:$D$267,Parameters!$K$2,$E$25:$E$267,Parameters!$M$6,Calendrier!$C$25:$C$267,DL15)+ COUNTIFS($D$25:$D$267,Parameters!$K$3,$E$25:$E$267,Parameters!$M$6,Calendrier!$C$25:$C$267,DL15))</f>
        <v/>
      </c>
      <c r="QS15" s="59" t="str">
        <f>IF(DM15="","",COUNTIFS($D$25:$D$267,Parameters!$K$2,$E$25:$E$267,Parameters!$M$6,Calendrier!$C$25:$C$267,DM15)+ COUNTIFS($D$25:$D$267,Parameters!$K$4,$E$25:$E$267,Parameters!$M$6,Calendrier!$C$25:$C$267,DM15))</f>
        <v/>
      </c>
      <c r="QT15" s="59" t="str">
        <f>IF(DN15="","",COUNTIFS($D$25:$D$267,Parameters!$K$2,$E$25:$E$267,Parameters!$M$6,Calendrier!$C$25:$C$267,DN15)+ COUNTIFS($D$25:$D$267,Parameters!$K$3,$E$25:$E$267,Parameters!$M$6,Calendrier!$C$25:$C$267,DN15))</f>
        <v/>
      </c>
      <c r="QU15" s="59" t="str">
        <f>IF(DO15="","",COUNTIFS($D$25:$D$267,Parameters!$K$2,$E$25:$E$267,Parameters!$M$6,Calendrier!$C$25:$C$267,DO15)+ COUNTIFS($D$25:$D$267,Parameters!$K$4,$E$25:$E$267,Parameters!$M$6,Calendrier!$C$25:$C$267,DO15))</f>
        <v/>
      </c>
      <c r="QV15" s="59" t="str">
        <f>IF(DP15="","",COUNTIFS($D$25:$D$267,Parameters!$K$2,$E$25:$E$267,Parameters!$M$6,Calendrier!$C$25:$C$267,DP15)+ COUNTIFS($D$25:$D$267,Parameters!$K$3,$E$25:$E$267,Parameters!$M$6,Calendrier!$C$25:$C$267,DP15))</f>
        <v/>
      </c>
      <c r="QW15" s="59" t="str">
        <f>IF(DQ15="","",COUNTIFS($D$25:$D$267,Parameters!$K$2,$E$25:$E$267,Parameters!$M$6,Calendrier!$C$25:$C$267,DQ15)+ COUNTIFS($D$25:$D$267,Parameters!$K$4,$E$25:$E$267,Parameters!$M$6,Calendrier!$C$25:$C$267,DQ15))</f>
        <v/>
      </c>
      <c r="QX15" s="59" t="str">
        <f>IF(DR15="","",COUNTIFS($D$25:$D$267,Parameters!$K$2,$E$25:$E$267,Parameters!$M$6,Calendrier!$C$25:$C$267,DR15)+ COUNTIFS($D$25:$D$267,Parameters!$K$3,$E$25:$E$267,Parameters!$M$6,Calendrier!$C$25:$C$267,DR15))</f>
        <v/>
      </c>
      <c r="QY15" s="59" t="str">
        <f>IF(DS15="","",COUNTIFS($D$25:$D$267,Parameters!$K$2,$E$25:$E$267,Parameters!$M$6,Calendrier!$C$25:$C$267,DS15)+ COUNTIFS($D$25:$D$267,Parameters!$K$4,$E$25:$E$267,Parameters!$M$6,Calendrier!$C$25:$C$267,DS15))</f>
        <v/>
      </c>
      <c r="QZ15" s="59" t="str">
        <f>IF(DT15="","",COUNTIFS($D$25:$D$267,Parameters!$K$2,$E$25:$E$267,Parameters!$M$6,Calendrier!$C$25:$C$267,DT15)+ COUNTIFS($D$25:$D$267,Parameters!$K$3,$E$25:$E$267,Parameters!$M$6,Calendrier!$C$25:$C$267,DT15))</f>
        <v/>
      </c>
      <c r="RA15" s="60" t="str">
        <f>IF(DU15="","",COUNTIFS($D$25:$D$267,Parameters!$K$2,$E$25:$E$267,Parameters!$M$6,Calendrier!$C$25:$C$267,DU15)+ COUNTIFS($D$25:$D$267,Parameters!$K$4,$E$25:$E$267,Parameters!$M$6,Calendrier!$C$25:$C$267,DU15))</f>
        <v/>
      </c>
      <c r="RD15" s="58" t="str">
        <f>IF(DX15="","",COUNTIFS($D$25:$D$267,Parameters!$K$2,$E$25:$E$267,Parameters!$M$6,Calendrier!$C$25:$C$267,DX15)+ COUNTIFS($D$25:$D$267,Parameters!$K$3,$E$25:$E$267,Parameters!$M$6,Calendrier!$C$25:$C$267,DX15))</f>
        <v/>
      </c>
      <c r="RE15" s="59" t="str">
        <f>IF(DY15="","",COUNTIFS($D$25:$D$267,Parameters!$K$2,$E$25:$E$267,Parameters!$M$6,Calendrier!$C$25:$C$267,DY15)+ COUNTIFS($D$25:$D$267,Parameters!$K$4,$E$25:$E$267,Parameters!$M$6,Calendrier!$C$25:$C$267,DY15))</f>
        <v/>
      </c>
      <c r="RF15" s="59" t="str">
        <f>IF(DZ15="","",COUNTIFS($D$25:$D$267,Parameters!$K$2,$E$25:$E$267,Parameters!$M$6,Calendrier!$C$25:$C$267,DZ15)+ COUNTIFS($D$25:$D$267,Parameters!$K$3,$E$25:$E$267,Parameters!$M$6,Calendrier!$C$25:$C$267,DZ15))</f>
        <v/>
      </c>
      <c r="RG15" s="59" t="str">
        <f>IF(EA15="","",COUNTIFS($D$25:$D$267,Parameters!$K$2,$E$25:$E$267,Parameters!$M$6,Calendrier!$C$25:$C$267,EA15)+ COUNTIFS($D$25:$D$267,Parameters!$K$4,$E$25:$E$267,Parameters!$M$6,Calendrier!$C$25:$C$267,EA15))</f>
        <v/>
      </c>
      <c r="RH15" s="59" t="str">
        <f>IF(EB15="","",COUNTIFS($D$25:$D$267,Parameters!$K$2,$E$25:$E$267,Parameters!$M$6,Calendrier!$C$25:$C$267,EB15)+ COUNTIFS($D$25:$D$267,Parameters!$K$3,$E$25:$E$267,Parameters!$M$6,Calendrier!$C$25:$C$267,EB15))</f>
        <v/>
      </c>
      <c r="RI15" s="59" t="str">
        <f>IF(EC15="","",COUNTIFS($D$25:$D$267,Parameters!$K$2,$E$25:$E$267,Parameters!$M$6,Calendrier!$C$25:$C$267,EC15)+ COUNTIFS($D$25:$D$267,Parameters!$K$4,$E$25:$E$267,Parameters!$M$6,Calendrier!$C$25:$C$267,EC15))</f>
        <v/>
      </c>
      <c r="RJ15" s="59" t="str">
        <f>IF(ED15="","",COUNTIFS($D$25:$D$267,Parameters!$K$2,$E$25:$E$267,Parameters!$M$6,Calendrier!$C$25:$C$267,ED15)+ COUNTIFS($D$25:$D$267,Parameters!$K$3,$E$25:$E$267,Parameters!$M$6,Calendrier!$C$25:$C$267,ED15))</f>
        <v/>
      </c>
      <c r="RK15" s="59" t="str">
        <f>IF(EE15="","",COUNTIFS($D$25:$D$267,Parameters!$K$2,$E$25:$E$267,Parameters!$M$6,Calendrier!$C$25:$C$267,EE15)+ COUNTIFS($D$25:$D$267,Parameters!$K$4,$E$25:$E$267,Parameters!$M$6,Calendrier!$C$25:$C$267,EE15))</f>
        <v/>
      </c>
      <c r="RL15" s="59" t="str">
        <f>IF(EF15="","",COUNTIFS($D$25:$D$267,Parameters!$K$2,$E$25:$E$267,Parameters!$M$6,Calendrier!$C$25:$C$267,EF15)+ COUNTIFS($D$25:$D$267,Parameters!$K$3,$E$25:$E$267,Parameters!$M$6,Calendrier!$C$25:$C$267,EF15))</f>
        <v/>
      </c>
      <c r="RM15" s="59" t="str">
        <f>IF(EG15="","",COUNTIFS($D$25:$D$267,Parameters!$K$2,$E$25:$E$267,Parameters!$M$6,Calendrier!$C$25:$C$267,EG15)+ COUNTIFS($D$25:$D$267,Parameters!$K$4,$E$25:$E$267,Parameters!$M$6,Calendrier!$C$25:$C$267,EG15))</f>
        <v/>
      </c>
      <c r="RN15" s="59" t="str">
        <f>IF(EH15="","",COUNTIFS($D$25:$D$267,Parameters!$K$2,$E$25:$E$267,Parameters!$M$6,Calendrier!$C$25:$C$267,EH15)+ COUNTIFS($D$25:$D$267,Parameters!$K$3,$E$25:$E$267,Parameters!$M$6,Calendrier!$C$25:$C$267,EH15))</f>
        <v/>
      </c>
      <c r="RO15" s="59" t="str">
        <f>IF(EI15="","",COUNTIFS($D$25:$D$267,Parameters!$K$2,$E$25:$E$267,Parameters!$M$6,Calendrier!$C$25:$C$267,EI15)+ COUNTIFS($D$25:$D$267,Parameters!$K$4,$E$25:$E$267,Parameters!$M$6,Calendrier!$C$25:$C$267,EI15))</f>
        <v/>
      </c>
      <c r="RP15" s="59" t="str">
        <f>IF(EJ15="","",COUNTIFS($D$25:$D$267,Parameters!$K$2,$E$25:$E$267,Parameters!$M$6,Calendrier!$C$25:$C$267,EJ15)+ COUNTIFS($D$25:$D$267,Parameters!$K$3,$E$25:$E$267,Parameters!$M$6,Calendrier!$C$25:$C$267,EJ15))</f>
        <v/>
      </c>
      <c r="RQ15" s="60" t="str">
        <f>IF(EK15="","",COUNTIFS($D$25:$D$267,Parameters!$K$2,$E$25:$E$267,Parameters!$M$6,Calendrier!$C$25:$C$267,EK15)+ COUNTIFS($D$25:$D$267,Parameters!$K$4,$E$25:$E$267,Parameters!$M$6,Calendrier!$C$25:$C$267,EK15))</f>
        <v/>
      </c>
      <c r="RT15" s="58">
        <f>IF(EN15="","",COUNTIFS($D$25:$D$267,Parameters!$K$2,$E$25:$E$267,Parameters!$M$6,Calendrier!$C$25:$C$267,EN15)+ COUNTIFS($D$25:$D$267,Parameters!$K$3,$E$25:$E$267,Parameters!$M$6,Calendrier!$C$25:$C$267,EN15))</f>
        <v>0</v>
      </c>
      <c r="RU15" s="59">
        <f>IF(EO15="","",COUNTIFS($D$25:$D$267,Parameters!$K$2,$E$25:$E$267,Parameters!$M$6,Calendrier!$C$25:$C$267,EO15)+ COUNTIFS($D$25:$D$267,Parameters!$K$4,$E$25:$E$267,Parameters!$M$6,Calendrier!$C$25:$C$267,EO15))</f>
        <v>0</v>
      </c>
      <c r="RV15" s="59">
        <f>IF(EP15="","",COUNTIFS($D$25:$D$267,Parameters!$K$2,$E$25:$E$267,Parameters!$M$6,Calendrier!$C$25:$C$267,EP15)+ COUNTIFS($D$25:$D$267,Parameters!$K$3,$E$25:$E$267,Parameters!$M$6,Calendrier!$C$25:$C$267,EP15))</f>
        <v>0</v>
      </c>
      <c r="RW15" s="59">
        <f>IF(EQ15="","",COUNTIFS($D$25:$D$267,Parameters!$K$2,$E$25:$E$267,Parameters!$M$6,Calendrier!$C$25:$C$267,EQ15)+ COUNTIFS($D$25:$D$267,Parameters!$K$4,$E$25:$E$267,Parameters!$M$6,Calendrier!$C$25:$C$267,EQ15))</f>
        <v>0</v>
      </c>
      <c r="RX15" s="59" t="str">
        <f>IF(ER15="","",COUNTIFS($D$25:$D$267,Parameters!$K$2,$E$25:$E$267,Parameters!$M$6,Calendrier!$C$25:$C$267,ER15)+ COUNTIFS($D$25:$D$267,Parameters!$K$3,$E$25:$E$267,Parameters!$M$6,Calendrier!$C$25:$C$267,ER15))</f>
        <v/>
      </c>
      <c r="RY15" s="59" t="str">
        <f>IF(ES15="","",COUNTIFS($D$25:$D$267,Parameters!$K$2,$E$25:$E$267,Parameters!$M$6,Calendrier!$C$25:$C$267,ES15)+ COUNTIFS($D$25:$D$267,Parameters!$K$4,$E$25:$E$267,Parameters!$M$6,Calendrier!$C$25:$C$267,ES15))</f>
        <v/>
      </c>
      <c r="RZ15" s="59" t="str">
        <f>IF(ET15="","",COUNTIFS($D$25:$D$267,Parameters!$K$2,$E$25:$E$267,Parameters!$M$6,Calendrier!$C$25:$C$267,ET15)+ COUNTIFS($D$25:$D$267,Parameters!$K$3,$E$25:$E$267,Parameters!$M$6,Calendrier!$C$25:$C$267,ET15))</f>
        <v/>
      </c>
      <c r="SA15" s="59" t="str">
        <f>IF(EU15="","",COUNTIFS($D$25:$D$267,Parameters!$K$2,$E$25:$E$267,Parameters!$M$6,Calendrier!$C$25:$C$267,EU15)+ COUNTIFS($D$25:$D$267,Parameters!$K$4,$E$25:$E$267,Parameters!$M$6,Calendrier!$C$25:$C$267,EU15))</f>
        <v/>
      </c>
      <c r="SB15" s="59" t="str">
        <f>IF(EV15="","",COUNTIFS($D$25:$D$267,Parameters!$K$2,$E$25:$E$267,Parameters!$M$6,Calendrier!$C$25:$C$267,EV15)+ COUNTIFS($D$25:$D$267,Parameters!$K$3,$E$25:$E$267,Parameters!$M$6,Calendrier!$C$25:$C$267,EV15))</f>
        <v/>
      </c>
      <c r="SC15" s="59" t="str">
        <f>IF(EW15="","",COUNTIFS($D$25:$D$267,Parameters!$K$2,$E$25:$E$267,Parameters!$M$6,Calendrier!$C$25:$C$267,EW15)+ COUNTIFS($D$25:$D$267,Parameters!$K$4,$E$25:$E$267,Parameters!$M$6,Calendrier!$C$25:$C$267,EW15))</f>
        <v/>
      </c>
      <c r="SD15" s="59" t="str">
        <f>IF(EX15="","",COUNTIFS($D$25:$D$267,Parameters!$K$2,$E$25:$E$267,Parameters!$M$6,Calendrier!$C$25:$C$267,EX15)+ COUNTIFS($D$25:$D$267,Parameters!$K$3,$E$25:$E$267,Parameters!$M$6,Calendrier!$C$25:$C$267,EX15))</f>
        <v/>
      </c>
      <c r="SE15" s="59" t="str">
        <f>IF(EY15="","",COUNTIFS($D$25:$D$267,Parameters!$K$2,$E$25:$E$267,Parameters!$M$6,Calendrier!$C$25:$C$267,EY15)+ COUNTIFS($D$25:$D$267,Parameters!$K$4,$E$25:$E$267,Parameters!$M$6,Calendrier!$C$25:$C$267,EY15))</f>
        <v/>
      </c>
      <c r="SF15" s="59" t="str">
        <f>IF(EZ15="","",COUNTIFS($D$25:$D$267,Parameters!$K$2,$E$25:$E$267,Parameters!$M$6,Calendrier!$C$25:$C$267,EZ15)+ COUNTIFS($D$25:$D$267,Parameters!$K$3,$E$25:$E$267,Parameters!$M$6,Calendrier!$C$25:$C$267,EZ15))</f>
        <v/>
      </c>
      <c r="SG15" s="60" t="str">
        <f>IF(FA15="","",COUNTIFS($D$25:$D$267,Parameters!$K$2,$E$25:$E$267,Parameters!$M$6,Calendrier!$C$25:$C$267,FA15)+ COUNTIFS($D$25:$D$267,Parameters!$K$4,$E$25:$E$267,Parameters!$M$6,Calendrier!$C$25:$C$267,FA15))</f>
        <v/>
      </c>
      <c r="SL15" s="58" t="str">
        <f>IF(DH15="","",COUNTIFS($D$25:$D$267,Parameters!$K$2,$E$25:$E$267,Parameters!$M$7,Calendrier!$C$25:$C$267,DH15)+ COUNTIFS($D$25:$D$267,Parameters!$K$3,$E$25:$E$267,Parameters!$M$7,Calendrier!$C$25:$C$267,DH15))</f>
        <v/>
      </c>
      <c r="SM15" s="59" t="str">
        <f>IF(DI15="","",COUNTIFS($D$25:$D$267,Parameters!$K$2,$E$25:$E$267,Parameters!$M$7,Calendrier!$C$25:$C$267,DI15)+ COUNTIFS($D$25:$D$267,Parameters!$K$4,$E$25:$E$267,Parameters!$M$7,Calendrier!$C$25:$C$267,DI15))</f>
        <v/>
      </c>
      <c r="SN15" s="59" t="str">
        <f>IF(DJ15="","",COUNTIFS($D$25:$D$267,Parameters!$K$2,$E$25:$E$267,Parameters!$M$7,Calendrier!$C$25:$C$267,DJ15)+ COUNTIFS($D$25:$D$267,Parameters!$K$3,$E$25:$E$267,Parameters!$M$7,Calendrier!$C$25:$C$267,DJ15))</f>
        <v/>
      </c>
      <c r="SO15" s="59" t="str">
        <f>IF(DK15="","",COUNTIFS($D$25:$D$267,Parameters!$K$2,$E$25:$E$267,Parameters!$M$7,Calendrier!$C$25:$C$267,DK15)+ COUNTIFS($D$25:$D$267,Parameters!$K$4,$E$25:$E$267,Parameters!$M$7,Calendrier!$C$25:$C$267,DK15))</f>
        <v/>
      </c>
      <c r="SP15" s="59" t="str">
        <f>IF(DL15="","",COUNTIFS($D$25:$D$267,Parameters!$K$2,$E$25:$E$267,Parameters!$M$7,Calendrier!$C$25:$C$267,DL15)+ COUNTIFS($D$25:$D$267,Parameters!$K$3,$E$25:$E$267,Parameters!$M$7,Calendrier!$C$25:$C$267,DL15))</f>
        <v/>
      </c>
      <c r="SQ15" s="59" t="str">
        <f>IF(DM15="","",COUNTIFS($D$25:$D$267,Parameters!$K$2,$E$25:$E$267,Parameters!$M$7,Calendrier!$C$25:$C$267,DM15)+ COUNTIFS($D$25:$D$267,Parameters!$K$4,$E$25:$E$267,Parameters!$M$7,Calendrier!$C$25:$C$267,DM15))</f>
        <v/>
      </c>
      <c r="SR15" s="59" t="str">
        <f>IF(DN15="","",COUNTIFS($D$25:$D$267,Parameters!$K$2,$E$25:$E$267,Parameters!$M$7,Calendrier!$C$25:$C$267,DN15)+ COUNTIFS($D$25:$D$267,Parameters!$K$3,$E$25:$E$267,Parameters!$M$7,Calendrier!$C$25:$C$267,DN15))</f>
        <v/>
      </c>
      <c r="SS15" s="59" t="str">
        <f>IF(DO15="","",COUNTIFS($D$25:$D$267,Parameters!$K$2,$E$25:$E$267,Parameters!$M$7,Calendrier!$C$25:$C$267,DO15)+ COUNTIFS($D$25:$D$267,Parameters!$K$4,$E$25:$E$267,Parameters!$M$7,Calendrier!$C$25:$C$267,DO15))</f>
        <v/>
      </c>
      <c r="ST15" s="59" t="str">
        <f>IF(DP15="","",COUNTIFS($D$25:$D$267,Parameters!$K$2,$E$25:$E$267,Parameters!$M$7,Calendrier!$C$25:$C$267,DP15)+ COUNTIFS($D$25:$D$267,Parameters!$K$3,$E$25:$E$267,Parameters!$M$7,Calendrier!$C$25:$C$267,DP15))</f>
        <v/>
      </c>
      <c r="SU15" s="59" t="str">
        <f>IF(DQ15="","",COUNTIFS($D$25:$D$267,Parameters!$K$2,$E$25:$E$267,Parameters!$M$7,Calendrier!$C$25:$C$267,DQ15)+ COUNTIFS($D$25:$D$267,Parameters!$K$4,$E$25:$E$267,Parameters!$M$7,Calendrier!$C$25:$C$267,DQ15))</f>
        <v/>
      </c>
      <c r="SV15" s="59" t="str">
        <f>IF(DR15="","",COUNTIFS($D$25:$D$267,Parameters!$K$2,$E$25:$E$267,Parameters!$M$7,Calendrier!$C$25:$C$267,DR15)+ COUNTIFS($D$25:$D$267,Parameters!$K$3,$E$25:$E$267,Parameters!$M$7,Calendrier!$C$25:$C$267,DR15))</f>
        <v/>
      </c>
      <c r="SW15" s="59" t="str">
        <f>IF(DS15="","",COUNTIFS($D$25:$D$267,Parameters!$K$2,$E$25:$E$267,Parameters!$M$7,Calendrier!$C$25:$C$267,DS15)+ COUNTIFS($D$25:$D$267,Parameters!$K$4,$E$25:$E$267,Parameters!$M$7,Calendrier!$C$25:$C$267,DS15))</f>
        <v/>
      </c>
      <c r="SX15" s="59" t="str">
        <f>IF(DT15="","",COUNTIFS($D$25:$D$267,Parameters!$K$2,$E$25:$E$267,Parameters!$M$7,Calendrier!$C$25:$C$267,DT15)+ COUNTIFS($D$25:$D$267,Parameters!$K$3,$E$25:$E$267,Parameters!$M$7,Calendrier!$C$25:$C$267,DT15))</f>
        <v/>
      </c>
      <c r="SY15" s="60" t="str">
        <f>IF(DU15="","",COUNTIFS($D$25:$D$267,Parameters!$K$2,$E$25:$E$267,Parameters!$M$7,Calendrier!$C$25:$C$267,DU15)+ COUNTIFS($D$25:$D$267,Parameters!$K$4,$E$25:$E$267,Parameters!$M$7,Calendrier!$C$25:$C$267,DU15))</f>
        <v/>
      </c>
      <c r="TB15" s="58" t="str">
        <f>IF(DX15="","",COUNTIFS($D$25:$D$267,Parameters!$K$2,$E$25:$E$267,Parameters!$M$7,Calendrier!$C$25:$C$267,DX15)+ COUNTIFS($D$25:$D$267,Parameters!$K$3,$E$25:$E$267,Parameters!$M$7,Calendrier!$C$25:$C$267,DX15))</f>
        <v/>
      </c>
      <c r="TC15" s="59" t="str">
        <f>IF(DY15="","",COUNTIFS($D$25:$D$267,Parameters!$K$2,$E$25:$E$267,Parameters!$M$7,Calendrier!$C$25:$C$267,DY15)+ COUNTIFS($D$25:$D$267,Parameters!$K$4,$E$25:$E$267,Parameters!$M$7,Calendrier!$C$25:$C$267,DY15))</f>
        <v/>
      </c>
      <c r="TD15" s="59" t="str">
        <f>IF(DZ15="","",COUNTIFS($D$25:$D$267,Parameters!$K$2,$E$25:$E$267,Parameters!$M$7,Calendrier!$C$25:$C$267,DZ15)+ COUNTIFS($D$25:$D$267,Parameters!$K$3,$E$25:$E$267,Parameters!$M$7,Calendrier!$C$25:$C$267,DZ15))</f>
        <v/>
      </c>
      <c r="TE15" s="59" t="str">
        <f>IF(EA15="","",COUNTIFS($D$25:$D$267,Parameters!$K$2,$E$25:$E$267,Parameters!$M$7,Calendrier!$C$25:$C$267,EA15)+ COUNTIFS($D$25:$D$267,Parameters!$K$4,$E$25:$E$267,Parameters!$M$7,Calendrier!$C$25:$C$267,EA15))</f>
        <v/>
      </c>
      <c r="TF15" s="59" t="str">
        <f>IF(EB15="","",COUNTIFS($D$25:$D$267,Parameters!$K$2,$E$25:$E$267,Parameters!$M$7,Calendrier!$C$25:$C$267,EB15)+ COUNTIFS($D$25:$D$267,Parameters!$K$3,$E$25:$E$267,Parameters!$M$7,Calendrier!$C$25:$C$267,EB15))</f>
        <v/>
      </c>
      <c r="TG15" s="59" t="str">
        <f>IF(EC15="","",COUNTIFS($D$25:$D$267,Parameters!$K$2,$E$25:$E$267,Parameters!$M$7,Calendrier!$C$25:$C$267,EC15)+ COUNTIFS($D$25:$D$267,Parameters!$K$4,$E$25:$E$267,Parameters!$M$7,Calendrier!$C$25:$C$267,EC15))</f>
        <v/>
      </c>
      <c r="TH15" s="59" t="str">
        <f>IF(ED15="","",COUNTIFS($D$25:$D$267,Parameters!$K$2,$E$25:$E$267,Parameters!$M$7,Calendrier!$C$25:$C$267,ED15)+ COUNTIFS($D$25:$D$267,Parameters!$K$3,$E$25:$E$267,Parameters!$M$7,Calendrier!$C$25:$C$267,ED15))</f>
        <v/>
      </c>
      <c r="TI15" s="59" t="str">
        <f>IF(EE15="","",COUNTIFS($D$25:$D$267,Parameters!$K$2,$E$25:$E$267,Parameters!$M$7,Calendrier!$C$25:$C$267,EE15)+ COUNTIFS($D$25:$D$267,Parameters!$K$4,$E$25:$E$267,Parameters!$M$7,Calendrier!$C$25:$C$267,EE15))</f>
        <v/>
      </c>
      <c r="TJ15" s="59" t="str">
        <f>IF(EF15="","",COUNTIFS($D$25:$D$267,Parameters!$K$2,$E$25:$E$267,Parameters!$M$7,Calendrier!$C$25:$C$267,EF15)+ COUNTIFS($D$25:$D$267,Parameters!$K$3,$E$25:$E$267,Parameters!$M$7,Calendrier!$C$25:$C$267,EF15))</f>
        <v/>
      </c>
      <c r="TK15" s="59" t="str">
        <f>IF(EG15="","",COUNTIFS($D$25:$D$267,Parameters!$K$2,$E$25:$E$267,Parameters!$M$7,Calendrier!$C$25:$C$267,EG15)+ COUNTIFS($D$25:$D$267,Parameters!$K$4,$E$25:$E$267,Parameters!$M$7,Calendrier!$C$25:$C$267,EG15))</f>
        <v/>
      </c>
      <c r="TL15" s="59" t="str">
        <f>IF(EH15="","",COUNTIFS($D$25:$D$267,Parameters!$K$2,$E$25:$E$267,Parameters!$M$7,Calendrier!$C$25:$C$267,EH15)+ COUNTIFS($D$25:$D$267,Parameters!$K$3,$E$25:$E$267,Parameters!$M$7,Calendrier!$C$25:$C$267,EH15))</f>
        <v/>
      </c>
      <c r="TM15" s="59" t="str">
        <f>IF(EI15="","",COUNTIFS($D$25:$D$267,Parameters!$K$2,$E$25:$E$267,Parameters!$M$7,Calendrier!$C$25:$C$267,EI15)+ COUNTIFS($D$25:$D$267,Parameters!$K$4,$E$25:$E$267,Parameters!$M$7,Calendrier!$C$25:$C$267,EI15))</f>
        <v/>
      </c>
      <c r="TN15" s="59" t="str">
        <f>IF(EJ15="","",COUNTIFS($D$25:$D$267,Parameters!$K$2,$E$25:$E$267,Parameters!$M$7,Calendrier!$C$25:$C$267,EJ15)+ COUNTIFS($D$25:$D$267,Parameters!$K$3,$E$25:$E$267,Parameters!$M$7,Calendrier!$C$25:$C$267,EJ15))</f>
        <v/>
      </c>
      <c r="TO15" s="60" t="str">
        <f>IF(EK15="","",COUNTIFS($D$25:$D$267,Parameters!$K$2,$E$25:$E$267,Parameters!$M$7,Calendrier!$C$25:$C$267,EK15)+ COUNTIFS($D$25:$D$267,Parameters!$K$4,$E$25:$E$267,Parameters!$M$7,Calendrier!$C$25:$C$267,EK15))</f>
        <v/>
      </c>
      <c r="TR15" s="58">
        <f>IF(EN15="","",COUNTIFS($D$25:$D$267,Parameters!$K$2,$E$25:$E$267,Parameters!$M$7,Calendrier!$C$25:$C$267,EN15)+ COUNTIFS($D$25:$D$267,Parameters!$K$3,$E$25:$E$267,Parameters!$M$7,Calendrier!$C$25:$C$267,EN15))</f>
        <v>0</v>
      </c>
      <c r="TS15" s="59">
        <f>IF(EO15="","",COUNTIFS($D$25:$D$267,Parameters!$K$2,$E$25:$E$267,Parameters!$M$7,Calendrier!$C$25:$C$267,EO15)+ COUNTIFS($D$25:$D$267,Parameters!$K$4,$E$25:$E$267,Parameters!$M$7,Calendrier!$C$25:$C$267,EO15))</f>
        <v>0</v>
      </c>
      <c r="TT15" s="59">
        <f>IF(EP15="","",COUNTIFS($D$25:$D$267,Parameters!$K$2,$E$25:$E$267,Parameters!$M$7,Calendrier!$C$25:$C$267,EP15)+ COUNTIFS($D$25:$D$267,Parameters!$K$3,$E$25:$E$267,Parameters!$M$7,Calendrier!$C$25:$C$267,EP15))</f>
        <v>0</v>
      </c>
      <c r="TU15" s="59">
        <f>IF(EQ15="","",COUNTIFS($D$25:$D$267,Parameters!$K$2,$E$25:$E$267,Parameters!$M$7,Calendrier!$C$25:$C$267,EQ15)+ COUNTIFS($D$25:$D$267,Parameters!$K$4,$E$25:$E$267,Parameters!$M$7,Calendrier!$C$25:$C$267,EQ15))</f>
        <v>0</v>
      </c>
      <c r="TV15" s="59" t="str">
        <f>IF(ER15="","",COUNTIFS($D$25:$D$267,Parameters!$K$2,$E$25:$E$267,Parameters!$M$7,Calendrier!$C$25:$C$267,ER15)+ COUNTIFS($D$25:$D$267,Parameters!$K$3,$E$25:$E$267,Parameters!$M$7,Calendrier!$C$25:$C$267,ER15))</f>
        <v/>
      </c>
      <c r="TW15" s="59" t="str">
        <f>IF(ES15="","",COUNTIFS($D$25:$D$267,Parameters!$K$2,$E$25:$E$267,Parameters!$M$7,Calendrier!$C$25:$C$267,ES15)+ COUNTIFS($D$25:$D$267,Parameters!$K$4,$E$25:$E$267,Parameters!$M$7,Calendrier!$C$25:$C$267,ES15))</f>
        <v/>
      </c>
      <c r="TX15" s="59" t="str">
        <f>IF(ET15="","",COUNTIFS($D$25:$D$267,Parameters!$K$2,$E$25:$E$267,Parameters!$M$7,Calendrier!$C$25:$C$267,ET15)+ COUNTIFS($D$25:$D$267,Parameters!$K$3,$E$25:$E$267,Parameters!$M$7,Calendrier!$C$25:$C$267,ET15))</f>
        <v/>
      </c>
      <c r="TY15" s="59" t="str">
        <f>IF(EU15="","",COUNTIFS($D$25:$D$267,Parameters!$K$2,$E$25:$E$267,Parameters!$M$7,Calendrier!$C$25:$C$267,EU15)+ COUNTIFS($D$25:$D$267,Parameters!$K$4,$E$25:$E$267,Parameters!$M$7,Calendrier!$C$25:$C$267,EU15))</f>
        <v/>
      </c>
      <c r="TZ15" s="59" t="str">
        <f>IF(EV15="","",COUNTIFS($D$25:$D$267,Parameters!$K$2,$E$25:$E$267,Parameters!$M$7,Calendrier!$C$25:$C$267,EV15)+ COUNTIFS($D$25:$D$267,Parameters!$K$3,$E$25:$E$267,Parameters!$M$7,Calendrier!$C$25:$C$267,EV15))</f>
        <v/>
      </c>
      <c r="UA15" s="59" t="str">
        <f>IF(EW15="","",COUNTIFS($D$25:$D$267,Parameters!$K$2,$E$25:$E$267,Parameters!$M$7,Calendrier!$C$25:$C$267,EW15)+ COUNTIFS($D$25:$D$267,Parameters!$K$4,$E$25:$E$267,Parameters!$M$7,Calendrier!$C$25:$C$267,EW15))</f>
        <v/>
      </c>
      <c r="UB15" s="59" t="str">
        <f>IF(EX15="","",COUNTIFS($D$25:$D$267,Parameters!$K$2,$E$25:$E$267,Parameters!$M$7,Calendrier!$C$25:$C$267,EX15)+ COUNTIFS($D$25:$D$267,Parameters!$K$3,$E$25:$E$267,Parameters!$M$7,Calendrier!$C$25:$C$267,EX15))</f>
        <v/>
      </c>
      <c r="UC15" s="59" t="str">
        <f>IF(EY15="","",COUNTIFS($D$25:$D$267,Parameters!$K$2,$E$25:$E$267,Parameters!$M$7,Calendrier!$C$25:$C$267,EY15)+ COUNTIFS($D$25:$D$267,Parameters!$K$4,$E$25:$E$267,Parameters!$M$7,Calendrier!$C$25:$C$267,EY15))</f>
        <v/>
      </c>
      <c r="UD15" s="59" t="str">
        <f>IF(EZ15="","",COUNTIFS($D$25:$D$267,Parameters!$K$2,$E$25:$E$267,Parameters!$M$7,Calendrier!$C$25:$C$267,EZ15)+ COUNTIFS($D$25:$D$267,Parameters!$K$3,$E$25:$E$267,Parameters!$M$7,Calendrier!$C$25:$C$267,EZ15))</f>
        <v/>
      </c>
      <c r="UE15" s="60" t="str">
        <f>IF(FA15="","",COUNTIFS($D$25:$D$267,Parameters!$K$2,$E$25:$E$267,Parameters!$M$7,Calendrier!$C$25:$C$267,FA15)+ COUNTIFS($D$25:$D$267,Parameters!$K$4,$E$25:$E$267,Parameters!$M$7,Calendrier!$C$25:$C$267,FA15))</f>
        <v/>
      </c>
    </row>
    <row r="16" spans="2:551" x14ac:dyDescent="0.3">
      <c r="B16" s="11"/>
      <c r="D16" s="3" t="s">
        <v>5</v>
      </c>
      <c r="E16" s="34" t="s">
        <v>16</v>
      </c>
      <c r="F16" s="34" t="s">
        <v>16</v>
      </c>
      <c r="G16" s="12"/>
      <c r="K16" s="31"/>
      <c r="Z16" s="31"/>
      <c r="AA16" s="31"/>
      <c r="AP16" s="31"/>
      <c r="AQ16" s="31"/>
      <c r="BF16" s="31"/>
      <c r="BG16" s="31"/>
      <c r="BJ16" s="42"/>
      <c r="DG16" s="42"/>
      <c r="FE16" s="11"/>
      <c r="GW16" s="12"/>
      <c r="IT16" s="12"/>
      <c r="KQ16" s="12"/>
      <c r="MN16" s="12"/>
      <c r="OK16" s="12"/>
      <c r="OP16" s="11"/>
      <c r="QH16" s="12"/>
      <c r="SF16" s="12"/>
      <c r="UD16" s="12"/>
    </row>
    <row r="17" spans="2:551" ht="13.95" customHeight="1" x14ac:dyDescent="0.35">
      <c r="B17" s="11"/>
      <c r="D17" s="3" t="s">
        <v>6</v>
      </c>
      <c r="E17" s="34" t="s">
        <v>18</v>
      </c>
      <c r="F17" s="34" t="s">
        <v>18</v>
      </c>
      <c r="G17" s="12"/>
      <c r="K17" s="31">
        <v>4</v>
      </c>
      <c r="L17" s="87" t="str">
        <f>TEXT(DATE($K$2,K17,1),"mmmm")</f>
        <v>avril</v>
      </c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31"/>
      <c r="AA17" s="31">
        <v>5</v>
      </c>
      <c r="AB17" s="87" t="str">
        <f>TEXT(DATE($K$2,AA17,1),"mmmm")</f>
        <v>mai</v>
      </c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31"/>
      <c r="AQ17" s="31">
        <v>6</v>
      </c>
      <c r="AR17" s="87" t="str">
        <f>TEXT(DATE($K$2,AQ17,1),"mmmm")</f>
        <v>juin</v>
      </c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31"/>
      <c r="BG17" s="31"/>
      <c r="BJ17" s="42">
        <v>4</v>
      </c>
      <c r="BK17" s="6" t="s">
        <v>59</v>
      </c>
      <c r="BZ17" s="6">
        <v>5</v>
      </c>
      <c r="CA17" s="6" t="s">
        <v>60</v>
      </c>
      <c r="CP17" s="6">
        <v>6</v>
      </c>
      <c r="CQ17" s="6" t="s">
        <v>61</v>
      </c>
      <c r="DG17" s="42">
        <v>4</v>
      </c>
      <c r="DH17" s="6" t="s">
        <v>59</v>
      </c>
      <c r="DW17" s="6">
        <v>5</v>
      </c>
      <c r="DX17" s="6" t="s">
        <v>60</v>
      </c>
      <c r="EM17" s="6">
        <v>6</v>
      </c>
      <c r="EN17" s="6" t="s">
        <v>61</v>
      </c>
      <c r="FE17" s="11" t="s">
        <v>59</v>
      </c>
      <c r="FT17" s="6">
        <v>5</v>
      </c>
      <c r="FU17" s="6" t="s">
        <v>60</v>
      </c>
      <c r="GJ17" s="6">
        <v>6</v>
      </c>
      <c r="GK17" s="6" t="s">
        <v>61</v>
      </c>
      <c r="GW17" s="12"/>
      <c r="HB17" s="11" t="s">
        <v>59</v>
      </c>
      <c r="HQ17" s="6">
        <v>5</v>
      </c>
      <c r="HR17" s="6" t="s">
        <v>60</v>
      </c>
      <c r="IG17" s="6">
        <v>6</v>
      </c>
      <c r="IH17" s="6" t="s">
        <v>61</v>
      </c>
      <c r="IT17" s="12"/>
      <c r="IY17" s="11" t="s">
        <v>59</v>
      </c>
      <c r="JN17" s="6">
        <v>5</v>
      </c>
      <c r="JO17" s="6" t="s">
        <v>60</v>
      </c>
      <c r="KD17" s="6">
        <v>6</v>
      </c>
      <c r="KE17" s="6" t="s">
        <v>61</v>
      </c>
      <c r="KQ17" s="12"/>
      <c r="KV17" s="11" t="s">
        <v>59</v>
      </c>
      <c r="LK17" s="6">
        <v>5</v>
      </c>
      <c r="LL17" s="6" t="s">
        <v>60</v>
      </c>
      <c r="MA17" s="6">
        <v>6</v>
      </c>
      <c r="MB17" s="6" t="s">
        <v>61</v>
      </c>
      <c r="MN17" s="12"/>
      <c r="MS17" s="11" t="s">
        <v>59</v>
      </c>
      <c r="NH17" s="6">
        <v>5</v>
      </c>
      <c r="NI17" s="6" t="s">
        <v>60</v>
      </c>
      <c r="NX17" s="6">
        <v>6</v>
      </c>
      <c r="NY17" s="6" t="s">
        <v>61</v>
      </c>
      <c r="OK17" s="12"/>
      <c r="OP17" s="11" t="s">
        <v>59</v>
      </c>
      <c r="PE17" s="6">
        <v>5</v>
      </c>
      <c r="PF17" s="6" t="s">
        <v>60</v>
      </c>
      <c r="PU17" s="6">
        <v>6</v>
      </c>
      <c r="PV17" s="6" t="s">
        <v>61</v>
      </c>
      <c r="QH17" s="12"/>
      <c r="QN17" s="11" t="s">
        <v>59</v>
      </c>
      <c r="RC17" s="6">
        <v>5</v>
      </c>
      <c r="RD17" s="6" t="s">
        <v>60</v>
      </c>
      <c r="RS17" s="6">
        <v>6</v>
      </c>
      <c r="RT17" s="6" t="s">
        <v>61</v>
      </c>
      <c r="SF17" s="12"/>
      <c r="SL17" s="11" t="s">
        <v>59</v>
      </c>
      <c r="TA17" s="6">
        <v>5</v>
      </c>
      <c r="TB17" s="6" t="s">
        <v>60</v>
      </c>
      <c r="TQ17" s="6">
        <v>6</v>
      </c>
      <c r="TR17" s="6" t="s">
        <v>61</v>
      </c>
      <c r="UD17" s="12"/>
    </row>
    <row r="18" spans="2:551" ht="15" thickBot="1" x14ac:dyDescent="0.35">
      <c r="B18" s="11"/>
      <c r="D18" s="3" t="s">
        <v>7</v>
      </c>
      <c r="E18" s="34" t="s">
        <v>18</v>
      </c>
      <c r="F18" s="34" t="s">
        <v>18</v>
      </c>
      <c r="G18" s="12"/>
      <c r="K18" s="31">
        <f>WEEKDAY(DATE($K$2,K17,1),Parameters!$A$2)</f>
        <v>3</v>
      </c>
      <c r="L18" s="17" t="str">
        <f>TEXT(2,"jjj")</f>
        <v>lun</v>
      </c>
      <c r="M18" s="18"/>
      <c r="N18" s="18" t="str">
        <f>TEXT(3,"jjj")</f>
        <v>mar</v>
      </c>
      <c r="O18" s="18"/>
      <c r="P18" s="18" t="str">
        <f>TEXT(4,"jjj")</f>
        <v>mer</v>
      </c>
      <c r="Q18" s="18"/>
      <c r="R18" s="18" t="str">
        <f>TEXT(5,"jjj")</f>
        <v>jeu</v>
      </c>
      <c r="S18" s="18"/>
      <c r="T18" s="18" t="str">
        <f>TEXT(6,"jjj")</f>
        <v>ven</v>
      </c>
      <c r="U18" s="18"/>
      <c r="V18" s="18" t="str">
        <f>TEXT(7,"jjj")</f>
        <v>sam</v>
      </c>
      <c r="W18" s="18"/>
      <c r="X18" s="18" t="str">
        <f>TEXT(8,"jjj")</f>
        <v>dim</v>
      </c>
      <c r="Y18" s="24"/>
      <c r="Z18" s="33">
        <f>DAY(DATE($K$2,K17+1,1)-1)</f>
        <v>30</v>
      </c>
      <c r="AA18" s="31">
        <f>WEEKDAY(DATE($K$2,AA17,1),Parameters!$A$2)</f>
        <v>5</v>
      </c>
      <c r="AB18" s="17" t="str">
        <f>TEXT(2,"jjj")</f>
        <v>lun</v>
      </c>
      <c r="AC18" s="18"/>
      <c r="AD18" s="18" t="str">
        <f>TEXT(3,"jjj")</f>
        <v>mar</v>
      </c>
      <c r="AE18" s="18"/>
      <c r="AF18" s="18" t="str">
        <f>TEXT(4,"jjj")</f>
        <v>mer</v>
      </c>
      <c r="AG18" s="18"/>
      <c r="AH18" s="18" t="str">
        <f>TEXT(5,"jjj")</f>
        <v>jeu</v>
      </c>
      <c r="AI18" s="18"/>
      <c r="AJ18" s="18" t="str">
        <f>TEXT(6,"jjj")</f>
        <v>ven</v>
      </c>
      <c r="AK18" s="18"/>
      <c r="AL18" s="18" t="str">
        <f>TEXT(7,"jjj")</f>
        <v>sam</v>
      </c>
      <c r="AM18" s="18"/>
      <c r="AN18" s="18" t="str">
        <f>TEXT(8,"jjj")</f>
        <v>dim</v>
      </c>
      <c r="AO18" s="24"/>
      <c r="AP18" s="33">
        <f>DAY(DATE($K$2,AA17+1,1)-1)</f>
        <v>31</v>
      </c>
      <c r="AQ18" s="31">
        <f>WEEKDAY(DATE($K$2,AQ17,1),Parameters!$A$2)</f>
        <v>1</v>
      </c>
      <c r="AR18" s="17" t="str">
        <f>TEXT(2,"jjj")</f>
        <v>lun</v>
      </c>
      <c r="AS18" s="18"/>
      <c r="AT18" s="18" t="str">
        <f>TEXT(3,"jjj")</f>
        <v>mar</v>
      </c>
      <c r="AU18" s="18"/>
      <c r="AV18" s="18" t="str">
        <f>TEXT(4,"jjj")</f>
        <v>mer</v>
      </c>
      <c r="AW18" s="18"/>
      <c r="AX18" s="18" t="str">
        <f>TEXT(5,"jjj")</f>
        <v>jeu</v>
      </c>
      <c r="AY18" s="18"/>
      <c r="AZ18" s="18" t="str">
        <f>TEXT(6,"jjj")</f>
        <v>ven</v>
      </c>
      <c r="BA18" s="18"/>
      <c r="BB18" s="18" t="str">
        <f>TEXT(7,"jjj")</f>
        <v>sam</v>
      </c>
      <c r="BC18" s="18"/>
      <c r="BD18" s="18" t="str">
        <f>TEXT(8,"jjj")</f>
        <v>dim</v>
      </c>
      <c r="BE18" s="24"/>
      <c r="BF18" s="33">
        <f>DAY(DATE($K$2,AQ17+1,1)-1)</f>
        <v>30</v>
      </c>
      <c r="BG18" s="33"/>
      <c r="BJ18" s="42">
        <v>5</v>
      </c>
      <c r="BK18" s="6" t="s">
        <v>52</v>
      </c>
      <c r="BM18" s="6" t="s">
        <v>53</v>
      </c>
      <c r="BO18" s="6" t="s">
        <v>54</v>
      </c>
      <c r="BQ18" s="6" t="s">
        <v>55</v>
      </c>
      <c r="BS18" s="6" t="s">
        <v>56</v>
      </c>
      <c r="BU18" s="6" t="s">
        <v>57</v>
      </c>
      <c r="BW18" s="6" t="s">
        <v>58</v>
      </c>
      <c r="BY18" s="6">
        <v>30</v>
      </c>
      <c r="BZ18" s="6">
        <v>7</v>
      </c>
      <c r="CA18" s="6" t="s">
        <v>52</v>
      </c>
      <c r="CC18" s="6" t="s">
        <v>53</v>
      </c>
      <c r="CE18" s="6" t="s">
        <v>54</v>
      </c>
      <c r="CG18" s="6" t="s">
        <v>55</v>
      </c>
      <c r="CI18" s="6" t="s">
        <v>56</v>
      </c>
      <c r="CK18" s="6" t="s">
        <v>57</v>
      </c>
      <c r="CM18" s="6" t="s">
        <v>58</v>
      </c>
      <c r="CO18" s="6">
        <v>31</v>
      </c>
      <c r="CP18" s="6">
        <v>3</v>
      </c>
      <c r="CQ18" s="6" t="s">
        <v>52</v>
      </c>
      <c r="CS18" s="6" t="s">
        <v>53</v>
      </c>
      <c r="CU18" s="6" t="s">
        <v>54</v>
      </c>
      <c r="CW18" s="6" t="s">
        <v>55</v>
      </c>
      <c r="CY18" s="6" t="s">
        <v>56</v>
      </c>
      <c r="DA18" s="6" t="s">
        <v>57</v>
      </c>
      <c r="DC18" s="6" t="s">
        <v>58</v>
      </c>
      <c r="DG18" s="42">
        <v>5</v>
      </c>
      <c r="DH18" s="6" t="s">
        <v>52</v>
      </c>
      <c r="DJ18" s="6" t="s">
        <v>53</v>
      </c>
      <c r="DL18" s="6" t="s">
        <v>54</v>
      </c>
      <c r="DN18" s="6" t="s">
        <v>55</v>
      </c>
      <c r="DP18" s="6" t="s">
        <v>56</v>
      </c>
      <c r="DR18" s="6" t="s">
        <v>57</v>
      </c>
      <c r="DT18" s="6" t="s">
        <v>58</v>
      </c>
      <c r="DV18" s="6">
        <v>30</v>
      </c>
      <c r="DW18" s="6">
        <v>7</v>
      </c>
      <c r="DX18" s="6" t="s">
        <v>52</v>
      </c>
      <c r="DZ18" s="6" t="s">
        <v>53</v>
      </c>
      <c r="EB18" s="6" t="s">
        <v>54</v>
      </c>
      <c r="ED18" s="6" t="s">
        <v>55</v>
      </c>
      <c r="EF18" s="6" t="s">
        <v>56</v>
      </c>
      <c r="EH18" s="6" t="s">
        <v>57</v>
      </c>
      <c r="EJ18" s="6" t="s">
        <v>58</v>
      </c>
      <c r="EL18" s="6">
        <v>31</v>
      </c>
      <c r="EM18" s="6">
        <v>3</v>
      </c>
      <c r="EN18" s="6" t="s">
        <v>52</v>
      </c>
      <c r="EP18" s="6" t="s">
        <v>53</v>
      </c>
      <c r="ER18" s="6" t="s">
        <v>54</v>
      </c>
      <c r="ET18" s="6" t="s">
        <v>55</v>
      </c>
      <c r="EV18" s="6" t="s">
        <v>56</v>
      </c>
      <c r="EX18" s="6" t="s">
        <v>57</v>
      </c>
      <c r="EZ18" s="6" t="s">
        <v>58</v>
      </c>
      <c r="FE18" s="11" t="s">
        <v>52</v>
      </c>
      <c r="FG18" s="6" t="s">
        <v>53</v>
      </c>
      <c r="FI18" s="6" t="s">
        <v>54</v>
      </c>
      <c r="FK18" s="6" t="s">
        <v>55</v>
      </c>
      <c r="FM18" s="6" t="s">
        <v>56</v>
      </c>
      <c r="FO18" s="6" t="s">
        <v>57</v>
      </c>
      <c r="FQ18" s="6" t="s">
        <v>58</v>
      </c>
      <c r="FS18" s="6">
        <v>30</v>
      </c>
      <c r="FT18" s="6">
        <v>7</v>
      </c>
      <c r="FU18" s="6" t="s">
        <v>52</v>
      </c>
      <c r="FW18" s="6" t="s">
        <v>53</v>
      </c>
      <c r="FY18" s="6" t="s">
        <v>54</v>
      </c>
      <c r="GA18" s="6" t="s">
        <v>55</v>
      </c>
      <c r="GC18" s="6" t="s">
        <v>56</v>
      </c>
      <c r="GE18" s="6" t="s">
        <v>57</v>
      </c>
      <c r="GG18" s="6" t="s">
        <v>58</v>
      </c>
      <c r="GI18" s="6">
        <v>31</v>
      </c>
      <c r="GJ18" s="6">
        <v>3</v>
      </c>
      <c r="GK18" s="6" t="s">
        <v>52</v>
      </c>
      <c r="GM18" s="6" t="s">
        <v>53</v>
      </c>
      <c r="GO18" s="6" t="s">
        <v>54</v>
      </c>
      <c r="GQ18" s="6" t="s">
        <v>55</v>
      </c>
      <c r="GS18" s="6" t="s">
        <v>56</v>
      </c>
      <c r="GU18" s="6" t="s">
        <v>57</v>
      </c>
      <c r="GW18" s="12" t="s">
        <v>58</v>
      </c>
      <c r="HB18" s="11" t="s">
        <v>52</v>
      </c>
      <c r="HD18" s="6" t="s">
        <v>53</v>
      </c>
      <c r="HF18" s="6" t="s">
        <v>54</v>
      </c>
      <c r="HH18" s="6" t="s">
        <v>55</v>
      </c>
      <c r="HJ18" s="6" t="s">
        <v>56</v>
      </c>
      <c r="HL18" s="6" t="s">
        <v>57</v>
      </c>
      <c r="HN18" s="6" t="s">
        <v>58</v>
      </c>
      <c r="HP18" s="6">
        <v>30</v>
      </c>
      <c r="HQ18" s="6">
        <v>7</v>
      </c>
      <c r="HR18" s="6" t="s">
        <v>52</v>
      </c>
      <c r="HT18" s="6" t="s">
        <v>53</v>
      </c>
      <c r="HV18" s="6" t="s">
        <v>54</v>
      </c>
      <c r="HX18" s="6" t="s">
        <v>55</v>
      </c>
      <c r="HZ18" s="6" t="s">
        <v>56</v>
      </c>
      <c r="IB18" s="6" t="s">
        <v>57</v>
      </c>
      <c r="ID18" s="6" t="s">
        <v>58</v>
      </c>
      <c r="IF18" s="6">
        <v>31</v>
      </c>
      <c r="IG18" s="6">
        <v>3</v>
      </c>
      <c r="IH18" s="6" t="s">
        <v>52</v>
      </c>
      <c r="IJ18" s="6" t="s">
        <v>53</v>
      </c>
      <c r="IL18" s="6" t="s">
        <v>54</v>
      </c>
      <c r="IN18" s="6" t="s">
        <v>55</v>
      </c>
      <c r="IP18" s="6" t="s">
        <v>56</v>
      </c>
      <c r="IR18" s="6" t="s">
        <v>57</v>
      </c>
      <c r="IT18" s="12" t="s">
        <v>58</v>
      </c>
      <c r="IY18" s="11" t="s">
        <v>52</v>
      </c>
      <c r="JA18" s="6" t="s">
        <v>53</v>
      </c>
      <c r="JC18" s="6" t="s">
        <v>54</v>
      </c>
      <c r="JE18" s="6" t="s">
        <v>55</v>
      </c>
      <c r="JG18" s="6" t="s">
        <v>56</v>
      </c>
      <c r="JI18" s="6" t="s">
        <v>57</v>
      </c>
      <c r="JK18" s="6" t="s">
        <v>58</v>
      </c>
      <c r="JM18" s="6">
        <v>30</v>
      </c>
      <c r="JN18" s="6">
        <v>7</v>
      </c>
      <c r="JO18" s="6" t="s">
        <v>52</v>
      </c>
      <c r="JQ18" s="6" t="s">
        <v>53</v>
      </c>
      <c r="JS18" s="6" t="s">
        <v>54</v>
      </c>
      <c r="JU18" s="6" t="s">
        <v>55</v>
      </c>
      <c r="JW18" s="6" t="s">
        <v>56</v>
      </c>
      <c r="JY18" s="6" t="s">
        <v>57</v>
      </c>
      <c r="KA18" s="6" t="s">
        <v>58</v>
      </c>
      <c r="KC18" s="6">
        <v>31</v>
      </c>
      <c r="KD18" s="6">
        <v>3</v>
      </c>
      <c r="KE18" s="6" t="s">
        <v>52</v>
      </c>
      <c r="KG18" s="6" t="s">
        <v>53</v>
      </c>
      <c r="KI18" s="6" t="s">
        <v>54</v>
      </c>
      <c r="KK18" s="6" t="s">
        <v>55</v>
      </c>
      <c r="KM18" s="6" t="s">
        <v>56</v>
      </c>
      <c r="KO18" s="6" t="s">
        <v>57</v>
      </c>
      <c r="KQ18" s="12" t="s">
        <v>58</v>
      </c>
      <c r="KV18" s="11" t="s">
        <v>52</v>
      </c>
      <c r="KX18" s="6" t="s">
        <v>53</v>
      </c>
      <c r="KZ18" s="6" t="s">
        <v>54</v>
      </c>
      <c r="LB18" s="6" t="s">
        <v>55</v>
      </c>
      <c r="LD18" s="6" t="s">
        <v>56</v>
      </c>
      <c r="LF18" s="6" t="s">
        <v>57</v>
      </c>
      <c r="LH18" s="6" t="s">
        <v>58</v>
      </c>
      <c r="LJ18" s="6">
        <v>30</v>
      </c>
      <c r="LK18" s="6">
        <v>7</v>
      </c>
      <c r="LL18" s="6" t="s">
        <v>52</v>
      </c>
      <c r="LN18" s="6" t="s">
        <v>53</v>
      </c>
      <c r="LP18" s="6" t="s">
        <v>54</v>
      </c>
      <c r="LR18" s="6" t="s">
        <v>55</v>
      </c>
      <c r="LT18" s="6" t="s">
        <v>56</v>
      </c>
      <c r="LV18" s="6" t="s">
        <v>57</v>
      </c>
      <c r="LX18" s="6" t="s">
        <v>58</v>
      </c>
      <c r="LZ18" s="6">
        <v>31</v>
      </c>
      <c r="MA18" s="6">
        <v>3</v>
      </c>
      <c r="MB18" s="6" t="s">
        <v>52</v>
      </c>
      <c r="MD18" s="6" t="s">
        <v>53</v>
      </c>
      <c r="MF18" s="6" t="s">
        <v>54</v>
      </c>
      <c r="MH18" s="6" t="s">
        <v>55</v>
      </c>
      <c r="MJ18" s="6" t="s">
        <v>56</v>
      </c>
      <c r="ML18" s="6" t="s">
        <v>57</v>
      </c>
      <c r="MN18" s="12" t="s">
        <v>58</v>
      </c>
      <c r="MS18" s="11" t="s">
        <v>52</v>
      </c>
      <c r="MU18" s="6" t="s">
        <v>53</v>
      </c>
      <c r="MW18" s="6" t="s">
        <v>54</v>
      </c>
      <c r="MY18" s="6" t="s">
        <v>55</v>
      </c>
      <c r="NA18" s="6" t="s">
        <v>56</v>
      </c>
      <c r="NC18" s="6" t="s">
        <v>57</v>
      </c>
      <c r="NE18" s="6" t="s">
        <v>58</v>
      </c>
      <c r="NG18" s="6">
        <v>30</v>
      </c>
      <c r="NH18" s="6">
        <v>7</v>
      </c>
      <c r="NI18" s="6" t="s">
        <v>52</v>
      </c>
      <c r="NK18" s="6" t="s">
        <v>53</v>
      </c>
      <c r="NM18" s="6" t="s">
        <v>54</v>
      </c>
      <c r="NO18" s="6" t="s">
        <v>55</v>
      </c>
      <c r="NQ18" s="6" t="s">
        <v>56</v>
      </c>
      <c r="NS18" s="6" t="s">
        <v>57</v>
      </c>
      <c r="NU18" s="6" t="s">
        <v>58</v>
      </c>
      <c r="NW18" s="6">
        <v>31</v>
      </c>
      <c r="NX18" s="6">
        <v>3</v>
      </c>
      <c r="NY18" s="6" t="s">
        <v>52</v>
      </c>
      <c r="OA18" s="6" t="s">
        <v>53</v>
      </c>
      <c r="OC18" s="6" t="s">
        <v>54</v>
      </c>
      <c r="OE18" s="6" t="s">
        <v>55</v>
      </c>
      <c r="OG18" s="6" t="s">
        <v>56</v>
      </c>
      <c r="OI18" s="6" t="s">
        <v>57</v>
      </c>
      <c r="OK18" s="12" t="s">
        <v>58</v>
      </c>
      <c r="OP18" s="11" t="s">
        <v>52</v>
      </c>
      <c r="OR18" s="6" t="s">
        <v>53</v>
      </c>
      <c r="OT18" s="6" t="s">
        <v>54</v>
      </c>
      <c r="OV18" s="6" t="s">
        <v>55</v>
      </c>
      <c r="OX18" s="6" t="s">
        <v>56</v>
      </c>
      <c r="OZ18" s="6" t="s">
        <v>57</v>
      </c>
      <c r="PB18" s="6" t="s">
        <v>58</v>
      </c>
      <c r="PD18" s="6">
        <v>30</v>
      </c>
      <c r="PE18" s="6">
        <v>7</v>
      </c>
      <c r="PF18" s="6" t="s">
        <v>52</v>
      </c>
      <c r="PH18" s="6" t="s">
        <v>53</v>
      </c>
      <c r="PJ18" s="6" t="s">
        <v>54</v>
      </c>
      <c r="PL18" s="6" t="s">
        <v>55</v>
      </c>
      <c r="PN18" s="6" t="s">
        <v>56</v>
      </c>
      <c r="PP18" s="6" t="s">
        <v>57</v>
      </c>
      <c r="PR18" s="6" t="s">
        <v>58</v>
      </c>
      <c r="PT18" s="6">
        <v>31</v>
      </c>
      <c r="PU18" s="6">
        <v>3</v>
      </c>
      <c r="PV18" s="6" t="s">
        <v>52</v>
      </c>
      <c r="PX18" s="6" t="s">
        <v>53</v>
      </c>
      <c r="PZ18" s="6" t="s">
        <v>54</v>
      </c>
      <c r="QB18" s="6" t="s">
        <v>55</v>
      </c>
      <c r="QD18" s="6" t="s">
        <v>56</v>
      </c>
      <c r="QF18" s="6" t="s">
        <v>57</v>
      </c>
      <c r="QH18" s="12" t="s">
        <v>58</v>
      </c>
      <c r="QN18" s="11" t="s">
        <v>52</v>
      </c>
      <c r="QP18" s="6" t="s">
        <v>53</v>
      </c>
      <c r="QR18" s="6" t="s">
        <v>54</v>
      </c>
      <c r="QT18" s="6" t="s">
        <v>55</v>
      </c>
      <c r="QV18" s="6" t="s">
        <v>56</v>
      </c>
      <c r="QX18" s="6" t="s">
        <v>57</v>
      </c>
      <c r="QZ18" s="6" t="s">
        <v>58</v>
      </c>
      <c r="RB18" s="6">
        <v>30</v>
      </c>
      <c r="RC18" s="6">
        <v>7</v>
      </c>
      <c r="RD18" s="6" t="s">
        <v>52</v>
      </c>
      <c r="RF18" s="6" t="s">
        <v>53</v>
      </c>
      <c r="RH18" s="6" t="s">
        <v>54</v>
      </c>
      <c r="RJ18" s="6" t="s">
        <v>55</v>
      </c>
      <c r="RL18" s="6" t="s">
        <v>56</v>
      </c>
      <c r="RN18" s="6" t="s">
        <v>57</v>
      </c>
      <c r="RP18" s="6" t="s">
        <v>58</v>
      </c>
      <c r="RR18" s="6">
        <v>31</v>
      </c>
      <c r="RS18" s="6">
        <v>3</v>
      </c>
      <c r="RT18" s="6" t="s">
        <v>52</v>
      </c>
      <c r="RV18" s="6" t="s">
        <v>53</v>
      </c>
      <c r="RX18" s="6" t="s">
        <v>54</v>
      </c>
      <c r="RZ18" s="6" t="s">
        <v>55</v>
      </c>
      <c r="SB18" s="6" t="s">
        <v>56</v>
      </c>
      <c r="SD18" s="6" t="s">
        <v>57</v>
      </c>
      <c r="SF18" s="12" t="s">
        <v>58</v>
      </c>
      <c r="SL18" s="11" t="s">
        <v>52</v>
      </c>
      <c r="SN18" s="6" t="s">
        <v>53</v>
      </c>
      <c r="SP18" s="6" t="s">
        <v>54</v>
      </c>
      <c r="SR18" s="6" t="s">
        <v>55</v>
      </c>
      <c r="ST18" s="6" t="s">
        <v>56</v>
      </c>
      <c r="SV18" s="6" t="s">
        <v>57</v>
      </c>
      <c r="SX18" s="6" t="s">
        <v>58</v>
      </c>
      <c r="SZ18" s="6">
        <v>30</v>
      </c>
      <c r="TA18" s="6">
        <v>7</v>
      </c>
      <c r="TB18" s="6" t="s">
        <v>52</v>
      </c>
      <c r="TD18" s="6" t="s">
        <v>53</v>
      </c>
      <c r="TF18" s="6" t="s">
        <v>54</v>
      </c>
      <c r="TH18" s="6" t="s">
        <v>55</v>
      </c>
      <c r="TJ18" s="6" t="s">
        <v>56</v>
      </c>
      <c r="TL18" s="6" t="s">
        <v>57</v>
      </c>
      <c r="TN18" s="6" t="s">
        <v>58</v>
      </c>
      <c r="TP18" s="6">
        <v>31</v>
      </c>
      <c r="TQ18" s="6">
        <v>3</v>
      </c>
      <c r="TR18" s="6" t="s">
        <v>52</v>
      </c>
      <c r="TT18" s="6" t="s">
        <v>53</v>
      </c>
      <c r="TV18" s="6" t="s">
        <v>54</v>
      </c>
      <c r="TX18" s="6" t="s">
        <v>55</v>
      </c>
      <c r="TZ18" s="6" t="s">
        <v>56</v>
      </c>
      <c r="UB18" s="6" t="s">
        <v>57</v>
      </c>
      <c r="UD18" s="12" t="s">
        <v>58</v>
      </c>
    </row>
    <row r="19" spans="2:551" ht="15" thickBot="1" x14ac:dyDescent="0.35">
      <c r="B19" s="11"/>
      <c r="D19" s="4" t="s">
        <v>8</v>
      </c>
      <c r="E19" s="39" t="s">
        <v>18</v>
      </c>
      <c r="F19" s="39" t="s">
        <v>18</v>
      </c>
      <c r="G19" s="12"/>
      <c r="K19" s="31"/>
      <c r="L19" s="22" t="str">
        <f>IF($K18=L$6,1,IF(J19&lt;&gt;"",J19+1,""))</f>
        <v/>
      </c>
      <c r="M19" s="23"/>
      <c r="N19" s="22" t="str">
        <f>IF($K18=N$6,1,IF(L19&lt;&gt;"",L19+1,""))</f>
        <v/>
      </c>
      <c r="O19" s="23"/>
      <c r="P19" s="22">
        <f>IF($K18=P$6,1,IF(N19&lt;&gt;"",N19+1,""))</f>
        <v>1</v>
      </c>
      <c r="Q19" s="23"/>
      <c r="R19" s="22">
        <f>IF($K18=R$6,1,IF(P19&lt;&gt;"",P19+1,""))</f>
        <v>2</v>
      </c>
      <c r="S19" s="23"/>
      <c r="T19" s="22">
        <f>IF($K18=T$6,1,IF(R19&lt;&gt;"",R19+1,""))</f>
        <v>3</v>
      </c>
      <c r="U19" s="23"/>
      <c r="V19" s="22">
        <f>IF($K18=V$6,1,IF(T19&lt;&gt;"",T19+1,""))</f>
        <v>4</v>
      </c>
      <c r="W19" s="23"/>
      <c r="X19" s="22">
        <f>IF($K18=X$6,1,IF(V19&lt;&gt;"",V19+1,""))</f>
        <v>5</v>
      </c>
      <c r="Y19" s="23"/>
      <c r="Z19" s="31"/>
      <c r="AA19" s="31"/>
      <c r="AB19" s="22" t="str">
        <f>IF($AA$18=AB$6,1,IF(Z19&lt;&gt;"",Z19+1,""))</f>
        <v/>
      </c>
      <c r="AC19" s="23"/>
      <c r="AD19" s="22" t="str">
        <f>IF($AA$18=AD$6,1,IF(AB19&lt;&gt;"",AB19+1,""))</f>
        <v/>
      </c>
      <c r="AE19" s="23"/>
      <c r="AF19" s="22" t="str">
        <f>IF($AA$18=AF$6,1,IF(AD19&lt;&gt;"",AD19+1,""))</f>
        <v/>
      </c>
      <c r="AG19" s="23"/>
      <c r="AH19" s="22" t="str">
        <f>IF($AA$18=AH$6,1,IF(AF19&lt;&gt;"",AF19+1,""))</f>
        <v/>
      </c>
      <c r="AI19" s="23"/>
      <c r="AJ19" s="22">
        <f>IF($AA$18=AJ$6,1,IF(AH19&lt;&gt;"",AH19+1,""))</f>
        <v>1</v>
      </c>
      <c r="AK19" s="23"/>
      <c r="AL19" s="22">
        <f>IF($AA$18=AL$6,1,IF(AJ19&lt;&gt;"",AJ19+1,""))</f>
        <v>2</v>
      </c>
      <c r="AM19" s="23"/>
      <c r="AN19" s="22">
        <f>IF($AA$18=AN$6,1,IF(AL19&lt;&gt;"",AL19+1,""))</f>
        <v>3</v>
      </c>
      <c r="AO19" s="23"/>
      <c r="AP19" s="31"/>
      <c r="AQ19" s="31"/>
      <c r="AR19" s="22">
        <f>IF($AQ18=AR$6,1,IF(AP19&lt;&gt;"",AP19+1,""))</f>
        <v>1</v>
      </c>
      <c r="AS19" s="23"/>
      <c r="AT19" s="22">
        <f>IF($AQ18=AT$6,1,IF(AR19&lt;&gt;"",AR19+1,""))</f>
        <v>2</v>
      </c>
      <c r="AU19" s="23"/>
      <c r="AV19" s="22">
        <f>IF($AQ18=AV$6,1,IF(AT19&lt;&gt;"",AT19+1,""))</f>
        <v>3</v>
      </c>
      <c r="AW19" s="23"/>
      <c r="AX19" s="22">
        <f>IF($AQ18=AX$6,1,IF(AV19&lt;&gt;"",AV19+1,""))</f>
        <v>4</v>
      </c>
      <c r="AY19" s="23"/>
      <c r="AZ19" s="22">
        <f>IF($AQ18=AZ$6,1,IF(AX19&lt;&gt;"",AX19+1,""))</f>
        <v>5</v>
      </c>
      <c r="BA19" s="23"/>
      <c r="BB19" s="22">
        <f>IF($AQ18=BB$6,1,IF(AZ19&lt;&gt;"",AZ19+1,""))</f>
        <v>6</v>
      </c>
      <c r="BC19" s="23"/>
      <c r="BD19" s="22">
        <f>IF($AQ18=BD$6,1,IF(BB19&lt;&gt;"",BB19+1,""))</f>
        <v>7</v>
      </c>
      <c r="BE19" s="23"/>
      <c r="BF19" s="31"/>
      <c r="BG19" s="31"/>
      <c r="BJ19" s="42"/>
      <c r="BK19" s="6">
        <v>4</v>
      </c>
      <c r="BL19" s="6">
        <v>4</v>
      </c>
      <c r="BM19" s="6">
        <v>4</v>
      </c>
      <c r="BN19" s="6">
        <v>4</v>
      </c>
      <c r="BO19" s="6">
        <v>4</v>
      </c>
      <c r="BP19" s="6">
        <v>4</v>
      </c>
      <c r="BQ19" s="6">
        <v>4</v>
      </c>
      <c r="BR19" s="6">
        <v>4</v>
      </c>
      <c r="BS19" s="6">
        <v>4</v>
      </c>
      <c r="BT19" s="6">
        <v>4</v>
      </c>
      <c r="BU19" s="6">
        <v>4</v>
      </c>
      <c r="BV19" s="6">
        <v>4</v>
      </c>
      <c r="BW19" s="6">
        <v>4</v>
      </c>
      <c r="CA19" s="6">
        <v>5</v>
      </c>
      <c r="CB19" s="6">
        <v>5</v>
      </c>
      <c r="CC19" s="6">
        <v>5</v>
      </c>
      <c r="CD19" s="6">
        <v>5</v>
      </c>
      <c r="CE19" s="6">
        <v>5</v>
      </c>
      <c r="CF19" s="6">
        <v>5</v>
      </c>
      <c r="CG19" s="6">
        <v>5</v>
      </c>
      <c r="CH19" s="6">
        <v>5</v>
      </c>
      <c r="CI19" s="6">
        <v>5</v>
      </c>
      <c r="CJ19" s="6">
        <v>5</v>
      </c>
      <c r="CK19" s="6">
        <v>5</v>
      </c>
      <c r="CL19" s="6">
        <v>5</v>
      </c>
      <c r="CM19" s="6">
        <v>5</v>
      </c>
      <c r="CQ19" s="6">
        <v>6</v>
      </c>
      <c r="CR19" s="6">
        <v>6</v>
      </c>
      <c r="CS19" s="6">
        <v>6</v>
      </c>
      <c r="CT19" s="6">
        <v>6</v>
      </c>
      <c r="CU19" s="6">
        <v>6</v>
      </c>
      <c r="CV19" s="6">
        <v>6</v>
      </c>
      <c r="CW19" s="6">
        <v>6</v>
      </c>
      <c r="CX19" s="6">
        <v>6</v>
      </c>
      <c r="CY19" s="6">
        <v>6</v>
      </c>
      <c r="CZ19" s="6">
        <v>6</v>
      </c>
      <c r="DA19" s="6">
        <v>6</v>
      </c>
      <c r="DB19" s="6">
        <v>6</v>
      </c>
      <c r="DC19" s="6">
        <v>6</v>
      </c>
      <c r="DG19" s="42"/>
      <c r="DH19" s="51" t="str">
        <f>IF(L19="","",DATE($K$2,BK19,L19))</f>
        <v/>
      </c>
      <c r="DI19" s="52" t="str">
        <f>DH19</f>
        <v/>
      </c>
      <c r="DJ19" s="52" t="str">
        <f t="shared" ref="DJ19:DJ24" si="161">IF(N19="","",DATE($K$2,BM19,N19))</f>
        <v/>
      </c>
      <c r="DK19" s="52" t="str">
        <f t="shared" ref="DK19" si="162">DJ19</f>
        <v/>
      </c>
      <c r="DL19" s="52">
        <f t="shared" ref="DL19:DL24" si="163">IF(P19="","",DATE($K$2,BO19,P19))</f>
        <v>46113</v>
      </c>
      <c r="DM19" s="52">
        <f t="shared" ref="DM19" si="164">DL19</f>
        <v>46113</v>
      </c>
      <c r="DN19" s="52">
        <f t="shared" ref="DN19:DN24" si="165">IF(R19="","",DATE($K$2,BQ19,R19))</f>
        <v>46114</v>
      </c>
      <c r="DO19" s="52">
        <f t="shared" ref="DO19" si="166">DN19</f>
        <v>46114</v>
      </c>
      <c r="DP19" s="52">
        <f t="shared" ref="DP19:DP24" si="167">IF(T19="","",DATE($K$2,BS19,T19))</f>
        <v>46115</v>
      </c>
      <c r="DQ19" s="52">
        <f t="shared" ref="DQ19" si="168">DP19</f>
        <v>46115</v>
      </c>
      <c r="DR19" s="52">
        <f t="shared" ref="DR19:DR24" si="169">IF(V19="","",DATE($K$2,BU19,V19))</f>
        <v>46116</v>
      </c>
      <c r="DS19" s="52">
        <f t="shared" ref="DS19" si="170">DR19</f>
        <v>46116</v>
      </c>
      <c r="DT19" s="52">
        <f t="shared" ref="DT19:DT24" si="171">IF(X19="","",DATE($K$2,BW19,X19))</f>
        <v>46117</v>
      </c>
      <c r="DU19" s="53">
        <f t="shared" ref="DU19:DU24" si="172">DT19</f>
        <v>46117</v>
      </c>
      <c r="DX19" s="51" t="str">
        <f>IF(AB19="","",DATE($K$2,CA19,AB19))</f>
        <v/>
      </c>
      <c r="DY19" s="52" t="str">
        <f>DX19</f>
        <v/>
      </c>
      <c r="DZ19" s="52" t="str">
        <f t="shared" ref="DZ19:DZ24" si="173">IF(AD19="","",DATE($K$2,CC19,AD19))</f>
        <v/>
      </c>
      <c r="EA19" s="52" t="str">
        <f t="shared" ref="EA19" si="174">DZ19</f>
        <v/>
      </c>
      <c r="EB19" s="52" t="str">
        <f t="shared" ref="EB19:EB24" si="175">IF(AF19="","",DATE($K$2,CE19,AF19))</f>
        <v/>
      </c>
      <c r="EC19" s="52" t="str">
        <f t="shared" ref="EC19" si="176">EB19</f>
        <v/>
      </c>
      <c r="ED19" s="52" t="str">
        <f t="shared" ref="ED19:ED24" si="177">IF(AH19="","",DATE($K$2,CG19,AH19))</f>
        <v/>
      </c>
      <c r="EE19" s="52" t="str">
        <f t="shared" ref="EE19" si="178">ED19</f>
        <v/>
      </c>
      <c r="EF19" s="52">
        <f t="shared" ref="EF19:EF24" si="179">IF(AJ19="","",DATE($K$2,CI19,AJ19))</f>
        <v>46143</v>
      </c>
      <c r="EG19" s="52">
        <f t="shared" ref="EG19" si="180">EF19</f>
        <v>46143</v>
      </c>
      <c r="EH19" s="52">
        <f t="shared" ref="EH19:EH24" si="181">IF(AL19="","",DATE($K$2,CK19,AL19))</f>
        <v>46144</v>
      </c>
      <c r="EI19" s="52">
        <f t="shared" ref="EI19" si="182">EH19</f>
        <v>46144</v>
      </c>
      <c r="EJ19" s="52">
        <f t="shared" ref="EJ19:EJ24" si="183">IF(AN19="","",DATE($K$2,CM19,AN19))</f>
        <v>46145</v>
      </c>
      <c r="EK19" s="53">
        <f t="shared" ref="EK19:EK24" si="184">EJ19</f>
        <v>46145</v>
      </c>
      <c r="EN19" s="51">
        <f>IF(AR19="","",DATE($K$2,CQ19,AR19))</f>
        <v>46174</v>
      </c>
      <c r="EO19" s="52">
        <f>EN19</f>
        <v>46174</v>
      </c>
      <c r="EP19" s="52">
        <f t="shared" ref="EP19:EP24" si="185">IF(AT19="","",DATE($K$2,CS19,AT19))</f>
        <v>46175</v>
      </c>
      <c r="EQ19" s="52">
        <f t="shared" ref="EQ19" si="186">EP19</f>
        <v>46175</v>
      </c>
      <c r="ER19" s="52">
        <f t="shared" ref="ER19:ER24" si="187">IF(AV19="","",DATE($K$2,CU19,AV19))</f>
        <v>46176</v>
      </c>
      <c r="ES19" s="52">
        <f t="shared" ref="ES19" si="188">ER19</f>
        <v>46176</v>
      </c>
      <c r="ET19" s="52">
        <f t="shared" ref="ET19:ET24" si="189">IF(AX19="","",DATE($K$2,CW19,AX19))</f>
        <v>46177</v>
      </c>
      <c r="EU19" s="52">
        <f t="shared" ref="EU19" si="190">ET19</f>
        <v>46177</v>
      </c>
      <c r="EV19" s="52">
        <f t="shared" ref="EV19:EV24" si="191">IF(AZ19="","",DATE($K$2,CY19,AZ19))</f>
        <v>46178</v>
      </c>
      <c r="EW19" s="52">
        <f t="shared" ref="EW19" si="192">EV19</f>
        <v>46178</v>
      </c>
      <c r="EX19" s="52">
        <f t="shared" ref="EX19:EX24" si="193">IF(BB19="","",DATE($K$2,DA19,BB19))</f>
        <v>46179</v>
      </c>
      <c r="EY19" s="52">
        <f t="shared" ref="EY19" si="194">EX19</f>
        <v>46179</v>
      </c>
      <c r="EZ19" s="52">
        <f t="shared" ref="EZ19:EZ24" si="195">IF(BD19="","",DATE($K$2,DC19,BD19))</f>
        <v>46180</v>
      </c>
      <c r="FA19" s="53">
        <f t="shared" ref="FA19:FA24" si="196">EZ19</f>
        <v>46180</v>
      </c>
      <c r="FE19" s="54">
        <f>COUNTIFS(Parameters!$S:$S,$D$4,Parameters!$Q:$Q,DH19)</f>
        <v>0</v>
      </c>
      <c r="FF19" s="55">
        <f>COUNTIFS(Parameters!$S:$S,$D$4,Parameters!$Q:$Q,DI19)</f>
        <v>0</v>
      </c>
      <c r="FG19" s="55">
        <f>COUNTIFS(Parameters!$S:$S,$D$4,Parameters!$Q:$Q,DJ19)</f>
        <v>0</v>
      </c>
      <c r="FH19" s="55">
        <f>COUNTIFS(Parameters!$S:$S,$D$4,Parameters!$Q:$Q,DK19)</f>
        <v>0</v>
      </c>
      <c r="FI19" s="55">
        <f>COUNTIFS(Parameters!$S:$S,$D$4,Parameters!$Q:$Q,DL19)</f>
        <v>0</v>
      </c>
      <c r="FJ19" s="55">
        <f>COUNTIFS(Parameters!$S:$S,$D$4,Parameters!$Q:$Q,DM19)</f>
        <v>0</v>
      </c>
      <c r="FK19" s="55">
        <f>COUNTIFS(Parameters!$S:$S,$D$4,Parameters!$Q:$Q,DN19)</f>
        <v>0</v>
      </c>
      <c r="FL19" s="55">
        <f>COUNTIFS(Parameters!$S:$S,$D$4,Parameters!$Q:$Q,DO19)</f>
        <v>0</v>
      </c>
      <c r="FM19" s="55">
        <f>COUNTIFS(Parameters!$S:$S,$D$4,Parameters!$Q:$Q,DP19)</f>
        <v>1</v>
      </c>
      <c r="FN19" s="55">
        <f>COUNTIFS(Parameters!$S:$S,$D$4,Parameters!$Q:$Q,DQ19)</f>
        <v>1</v>
      </c>
      <c r="FO19" s="55">
        <f>COUNTIFS(Parameters!$S:$S,$D$4,Parameters!$Q:$Q,DR19)</f>
        <v>0</v>
      </c>
      <c r="FP19" s="55">
        <f>COUNTIFS(Parameters!$S:$S,$D$4,Parameters!$Q:$Q,DS19)</f>
        <v>0</v>
      </c>
      <c r="FQ19" s="55">
        <f>COUNTIFS(Parameters!$S:$S,$D$4,Parameters!$Q:$Q,DT19)</f>
        <v>0</v>
      </c>
      <c r="FR19" s="56">
        <f>COUNTIFS(Parameters!$S:$S,$D$4,Parameters!$Q:$Q,DU19)</f>
        <v>0</v>
      </c>
      <c r="FU19" s="54">
        <f>COUNTIFS(Parameters!$S:$S,$D$4,Parameters!$Q:$Q,DX19)</f>
        <v>0</v>
      </c>
      <c r="FV19" s="55">
        <f>COUNTIFS(Parameters!$S:$S,$D$4,Parameters!$Q:$Q,DY19)</f>
        <v>0</v>
      </c>
      <c r="FW19" s="55">
        <f>COUNTIFS(Parameters!$S:$S,$D$4,Parameters!$Q:$Q,DZ19)</f>
        <v>0</v>
      </c>
      <c r="FX19" s="55">
        <f>COUNTIFS(Parameters!$S:$S,$D$4,Parameters!$Q:$Q,EA19)</f>
        <v>0</v>
      </c>
      <c r="FY19" s="55">
        <f>COUNTIFS(Parameters!$S:$S,$D$4,Parameters!$Q:$Q,EB19)</f>
        <v>0</v>
      </c>
      <c r="FZ19" s="55">
        <f>COUNTIFS(Parameters!$S:$S,$D$4,Parameters!$Q:$Q,EC19)</f>
        <v>0</v>
      </c>
      <c r="GA19" s="55">
        <f>COUNTIFS(Parameters!$S:$S,$D$4,Parameters!$Q:$Q,ED19)</f>
        <v>0</v>
      </c>
      <c r="GB19" s="55">
        <f>COUNTIFS(Parameters!$S:$S,$D$4,Parameters!$Q:$Q,EE19)</f>
        <v>0</v>
      </c>
      <c r="GC19" s="55">
        <f>COUNTIFS(Parameters!$S:$S,$D$4,Parameters!$Q:$Q,EF19)</f>
        <v>0</v>
      </c>
      <c r="GD19" s="55">
        <f>COUNTIFS(Parameters!$S:$S,$D$4,Parameters!$Q:$Q,EG19)</f>
        <v>0</v>
      </c>
      <c r="GE19" s="55">
        <f>COUNTIFS(Parameters!$S:$S,$D$4,Parameters!$Q:$Q,EH19)</f>
        <v>0</v>
      </c>
      <c r="GF19" s="55">
        <f>COUNTIFS(Parameters!$S:$S,$D$4,Parameters!$Q:$Q,EI19)</f>
        <v>0</v>
      </c>
      <c r="GG19" s="55">
        <f>COUNTIFS(Parameters!$S:$S,$D$4,Parameters!$Q:$Q,EJ19)</f>
        <v>0</v>
      </c>
      <c r="GH19" s="56">
        <f>COUNTIFS(Parameters!$S:$S,$D$4,Parameters!$Q:$Q,EK19)</f>
        <v>0</v>
      </c>
      <c r="GK19" s="54">
        <f>COUNTIFS(Parameters!$S:$S,$D$4,Parameters!$Q:$Q,EN19)</f>
        <v>0</v>
      </c>
      <c r="GL19" s="55">
        <f>COUNTIFS(Parameters!$S:$S,$D$4,Parameters!$Q:$Q,EO19)</f>
        <v>0</v>
      </c>
      <c r="GM19" s="55">
        <f>COUNTIFS(Parameters!$S:$S,$D$4,Parameters!$Q:$Q,EP19)</f>
        <v>0</v>
      </c>
      <c r="GN19" s="55">
        <f>COUNTIFS(Parameters!$S:$S,$D$4,Parameters!$Q:$Q,EQ19)</f>
        <v>0</v>
      </c>
      <c r="GO19" s="55">
        <f>COUNTIFS(Parameters!$S:$S,$D$4,Parameters!$Q:$Q,ER19)</f>
        <v>0</v>
      </c>
      <c r="GP19" s="55">
        <f>COUNTIFS(Parameters!$S:$S,$D$4,Parameters!$Q:$Q,ES19)</f>
        <v>0</v>
      </c>
      <c r="GQ19" s="55">
        <f>COUNTIFS(Parameters!$S:$S,$D$4,Parameters!$Q:$Q,ET19)</f>
        <v>0</v>
      </c>
      <c r="GR19" s="55">
        <f>COUNTIFS(Parameters!$S:$S,$D$4,Parameters!$Q:$Q,EU19)</f>
        <v>0</v>
      </c>
      <c r="GS19" s="55">
        <f>COUNTIFS(Parameters!$S:$S,$D$4,Parameters!$Q:$Q,EV19)</f>
        <v>0</v>
      </c>
      <c r="GT19" s="55">
        <f>COUNTIFS(Parameters!$S:$S,$D$4,Parameters!$Q:$Q,EW19)</f>
        <v>0</v>
      </c>
      <c r="GU19" s="55">
        <f>COUNTIFS(Parameters!$S:$S,$D$4,Parameters!$Q:$Q,EX19)</f>
        <v>0</v>
      </c>
      <c r="GV19" s="55">
        <f>COUNTIFS(Parameters!$S:$S,$D$4,Parameters!$Q:$Q,EY19)</f>
        <v>0</v>
      </c>
      <c r="GW19" s="55">
        <f>COUNTIFS(Parameters!$S:$S,$D$4,Parameters!$Q:$Q,EZ19)</f>
        <v>0</v>
      </c>
      <c r="GX19" s="56">
        <f>COUNTIFS(Parameters!$S:$S,$D$4,Parameters!$Q:$Q,FA19)</f>
        <v>0</v>
      </c>
      <c r="HB19" s="54" t="str">
        <f>IF(DH19="","",COUNTIFS($D$25:$D$267,Parameters!$K$2,$E$25:$E$267,Parameters!$M$2,Calendrier!$C$25:$C$267,DH19)+ COUNTIFS($D$25:$D$267,Parameters!$K$3,$E$25:$E$267,Parameters!$M$2,Calendrier!$C$25:$C$267,DH19))</f>
        <v/>
      </c>
      <c r="HC19" s="55" t="str">
        <f>IF(DI19="","",COUNTIFS($D$25:$D$267,Parameters!$K$2,$E$25:$E$267,Parameters!$M$2,Calendrier!$C$25:$C$267,DI19)+ COUNTIFS($D$25:$D$267,Parameters!$K$4,$E$25:$E$267,Parameters!$M$2,Calendrier!$C$25:$C$267,DI19))</f>
        <v/>
      </c>
      <c r="HD19" s="55" t="str">
        <f>IF(DJ19="","",COUNTIFS($D$25:$D$267,Parameters!$K$2,$E$25:$E$267,Parameters!$M$2,Calendrier!$C$25:$C$267,DJ19)+ COUNTIFS($D$25:$D$267,Parameters!$K$3,$E$25:$E$267,Parameters!$M$2,Calendrier!$C$25:$C$267,DJ19))</f>
        <v/>
      </c>
      <c r="HE19" s="55" t="str">
        <f>IF(DK19="","",COUNTIFS($D$25:$D$267,Parameters!$K$2,$E$25:$E$267,Parameters!$M$2,Calendrier!$C$25:$C$267,DK19)+ COUNTIFS($D$25:$D$267,Parameters!$K$4,$E$25:$E$267,Parameters!$M$2,Calendrier!$C$25:$C$267,DK19))</f>
        <v/>
      </c>
      <c r="HF19" s="55">
        <f>IF(DL19="","",COUNTIFS($D$25:$D$267,Parameters!$K$2,$E$25:$E$267,Parameters!$M$2,Calendrier!$C$25:$C$267,DL19)+ COUNTIFS($D$25:$D$267,Parameters!$K$3,$E$25:$E$267,Parameters!$M$2,Calendrier!$C$25:$C$267,DL19))</f>
        <v>0</v>
      </c>
      <c r="HG19" s="55">
        <f>IF(DM19="","",COUNTIFS($D$25:$D$267,Parameters!$K$2,$E$25:$E$267,Parameters!$M$2,Calendrier!$C$25:$C$267,DM19)+ COUNTIFS($D$25:$D$267,Parameters!$K$4,$E$25:$E$267,Parameters!$M$2,Calendrier!$C$25:$C$267,DM19))</f>
        <v>0</v>
      </c>
      <c r="HH19" s="55">
        <f>IF(DN19="","",COUNTIFS($D$25:$D$267,Parameters!$K$2,$E$25:$E$267,Parameters!$M$2,Calendrier!$C$25:$C$267,DN19)+ COUNTIFS($D$25:$D$267,Parameters!$K$3,$E$25:$E$267,Parameters!$M$2,Calendrier!$C$25:$C$267,DN19))</f>
        <v>0</v>
      </c>
      <c r="HI19" s="55">
        <f>IF(DO19="","",COUNTIFS($D$25:$D$267,Parameters!$K$2,$E$25:$E$267,Parameters!$M$2,Calendrier!$C$25:$C$267,DO19)+ COUNTIFS($D$25:$D$267,Parameters!$K$4,$E$25:$E$267,Parameters!$M$2,Calendrier!$C$25:$C$267,DO19))</f>
        <v>0</v>
      </c>
      <c r="HJ19" s="55">
        <f>IF(DP19="","",COUNTIFS($D$25:$D$267,Parameters!$K$2,$E$25:$E$267,Parameters!$M$2,Calendrier!$C$25:$C$267,DP19)+ COUNTIFS($D$25:$D$267,Parameters!$K$3,$E$25:$E$267,Parameters!$M$2,Calendrier!$C$25:$C$267,DP19))</f>
        <v>0</v>
      </c>
      <c r="HK19" s="55">
        <f>IF(DQ19="","",COUNTIFS($D$25:$D$267,Parameters!$K$2,$E$25:$E$267,Parameters!$M$2,Calendrier!$C$25:$C$267,DQ19)+ COUNTIFS($D$25:$D$267,Parameters!$K$4,$E$25:$E$267,Parameters!$M$2,Calendrier!$C$25:$C$267,DQ19))</f>
        <v>0</v>
      </c>
      <c r="HL19" s="55">
        <f>IF(DR19="","",COUNTIFS($D$25:$D$267,Parameters!$K$2,$E$25:$E$267,Parameters!$M$2,Calendrier!$C$25:$C$267,DR19)+ COUNTIFS($D$25:$D$267,Parameters!$K$3,$E$25:$E$267,Parameters!$M$2,Calendrier!$C$25:$C$267,DR19))</f>
        <v>0</v>
      </c>
      <c r="HM19" s="55">
        <f>IF(DS19="","",COUNTIFS($D$25:$D$267,Parameters!$K$2,$E$25:$E$267,Parameters!$M$2,Calendrier!$C$25:$C$267,DS19)+ COUNTIFS($D$25:$D$267,Parameters!$K$4,$E$25:$E$267,Parameters!$M$2,Calendrier!$C$25:$C$267,DS19))</f>
        <v>0</v>
      </c>
      <c r="HN19" s="55">
        <f>IF(DT19="","",COUNTIFS($D$25:$D$267,Parameters!$K$2,$E$25:$E$267,Parameters!$M$2,Calendrier!$C$25:$C$267,DT19)+ COUNTIFS($D$25:$D$267,Parameters!$K$3,$E$25:$E$267,Parameters!$M$2,Calendrier!$C$25:$C$267,DT19))</f>
        <v>0</v>
      </c>
      <c r="HO19" s="56">
        <f>IF(DU19="","",COUNTIFS($D$25:$D$267,Parameters!$K$2,$E$25:$E$267,Parameters!$M$2,Calendrier!$C$25:$C$267,DU19)+ COUNTIFS($D$25:$D$267,Parameters!$K$4,$E$25:$E$267,Parameters!$M$2,Calendrier!$C$25:$C$267,DU19))</f>
        <v>0</v>
      </c>
      <c r="HR19" s="54" t="str">
        <f>IF(DX19="","",COUNTIFS($D$25:$D$267,Parameters!$K$2,$E$25:$E$267,Parameters!$M$2,Calendrier!$C$25:$C$267,DX19)+ COUNTIFS($D$25:$D$267,Parameters!$K$3,$E$25:$E$267,Parameters!$M$2,Calendrier!$C$25:$C$267,DX19))</f>
        <v/>
      </c>
      <c r="HS19" s="55" t="str">
        <f>IF(DY19="","",COUNTIFS($D$25:$D$267,Parameters!$K$2,$E$25:$E$267,Parameters!$M$2,Calendrier!$C$25:$C$267,DY19)+ COUNTIFS($D$25:$D$267,Parameters!$K$4,$E$25:$E$267,Parameters!$M$2,Calendrier!$C$25:$C$267,DY19))</f>
        <v/>
      </c>
      <c r="HT19" s="55" t="str">
        <f>IF(DZ19="","",COUNTIFS($D$25:$D$267,Parameters!$K$2,$E$25:$E$267,Parameters!$M$2,Calendrier!$C$25:$C$267,DZ19)+ COUNTIFS($D$25:$D$267,Parameters!$K$3,$E$25:$E$267,Parameters!$M$2,Calendrier!$C$25:$C$267,DZ19))</f>
        <v/>
      </c>
      <c r="HU19" s="55" t="str">
        <f>IF(EA19="","",COUNTIFS($D$25:$D$267,Parameters!$K$2,$E$25:$E$267,Parameters!$M$2,Calendrier!$C$25:$C$267,EA19)+ COUNTIFS($D$25:$D$267,Parameters!$K$4,$E$25:$E$267,Parameters!$M$2,Calendrier!$C$25:$C$267,EA19))</f>
        <v/>
      </c>
      <c r="HV19" s="55" t="str">
        <f>IF(EB19="","",COUNTIFS($D$25:$D$267,Parameters!$K$2,$E$25:$E$267,Parameters!$M$2,Calendrier!$C$25:$C$267,EB19)+ COUNTIFS($D$25:$D$267,Parameters!$K$3,$E$25:$E$267,Parameters!$M$2,Calendrier!$C$25:$C$267,EB19))</f>
        <v/>
      </c>
      <c r="HW19" s="55" t="str">
        <f>IF(EC19="","",COUNTIFS($D$25:$D$267,Parameters!$K$2,$E$25:$E$267,Parameters!$M$2,Calendrier!$C$25:$C$267,EC19)+ COUNTIFS($D$25:$D$267,Parameters!$K$4,$E$25:$E$267,Parameters!$M$2,Calendrier!$C$25:$C$267,EC19))</f>
        <v/>
      </c>
      <c r="HX19" s="55" t="str">
        <f>IF(ED19="","",COUNTIFS($D$25:$D$267,Parameters!$K$2,$E$25:$E$267,Parameters!$M$2,Calendrier!$C$25:$C$267,ED19)+ COUNTIFS($D$25:$D$267,Parameters!$K$3,$E$25:$E$267,Parameters!$M$2,Calendrier!$C$25:$C$267,ED19))</f>
        <v/>
      </c>
      <c r="HY19" s="55" t="str">
        <f>IF(EE19="","",COUNTIFS($D$25:$D$267,Parameters!$K$2,$E$25:$E$267,Parameters!$M$2,Calendrier!$C$25:$C$267,EE19)+ COUNTIFS($D$25:$D$267,Parameters!$K$4,$E$25:$E$267,Parameters!$M$2,Calendrier!$C$25:$C$267,EE19))</f>
        <v/>
      </c>
      <c r="HZ19" s="55">
        <f>IF(EF19="","",COUNTIFS($D$25:$D$267,Parameters!$K$2,$E$25:$E$267,Parameters!$M$2,Calendrier!$C$25:$C$267,EF19)+ COUNTIFS($D$25:$D$267,Parameters!$K$3,$E$25:$E$267,Parameters!$M$2,Calendrier!$C$25:$C$267,EF19))</f>
        <v>0</v>
      </c>
      <c r="IA19" s="55">
        <f>IF(EG19="","",COUNTIFS($D$25:$D$267,Parameters!$K$2,$E$25:$E$267,Parameters!$M$2,Calendrier!$C$25:$C$267,EG19)+ COUNTIFS($D$25:$D$267,Parameters!$K$4,$E$25:$E$267,Parameters!$M$2,Calendrier!$C$25:$C$267,EG19))</f>
        <v>0</v>
      </c>
      <c r="IB19" s="55">
        <f>IF(EH19="","",COUNTIFS($D$25:$D$267,Parameters!$K$2,$E$25:$E$267,Parameters!$M$2,Calendrier!$C$25:$C$267,EH19)+ COUNTIFS($D$25:$D$267,Parameters!$K$3,$E$25:$E$267,Parameters!$M$2,Calendrier!$C$25:$C$267,EH19))</f>
        <v>0</v>
      </c>
      <c r="IC19" s="55">
        <f>IF(EI19="","",COUNTIFS($D$25:$D$267,Parameters!$K$2,$E$25:$E$267,Parameters!$M$2,Calendrier!$C$25:$C$267,EI19)+ COUNTIFS($D$25:$D$267,Parameters!$K$4,$E$25:$E$267,Parameters!$M$2,Calendrier!$C$25:$C$267,EI19))</f>
        <v>0</v>
      </c>
      <c r="ID19" s="55">
        <f>IF(EJ19="","",COUNTIFS($D$25:$D$267,Parameters!$K$2,$E$25:$E$267,Parameters!$M$2,Calendrier!$C$25:$C$267,EJ19)+ COUNTIFS($D$25:$D$267,Parameters!$K$3,$E$25:$E$267,Parameters!$M$2,Calendrier!$C$25:$C$267,EJ19))</f>
        <v>0</v>
      </c>
      <c r="IE19" s="56">
        <f>IF(EK19="","",COUNTIFS($D$25:$D$267,Parameters!$K$2,$E$25:$E$267,Parameters!$M$2,Calendrier!$C$25:$C$267,EK19)+ COUNTIFS($D$25:$D$267,Parameters!$K$4,$E$25:$E$267,Parameters!$M$2,Calendrier!$C$25:$C$267,EK19))</f>
        <v>0</v>
      </c>
      <c r="IH19" s="54">
        <f>IF(EN19="","",COUNTIFS($D$25:$D$267,Parameters!$K$2,$E$25:$E$267,Parameters!$M$2,Calendrier!$C$25:$C$267,EN19)+ COUNTIFS($D$25:$D$267,Parameters!$K$3,$E$25:$E$267,Parameters!$M$2,Calendrier!$C$25:$C$267,EN19))</f>
        <v>1</v>
      </c>
      <c r="II19" s="55">
        <f>IF(EO19="","",COUNTIFS($D$25:$D$267,Parameters!$K$2,$E$25:$E$267,Parameters!$M$2,Calendrier!$C$25:$C$267,EO19)+ COUNTIFS($D$25:$D$267,Parameters!$K$4,$E$25:$E$267,Parameters!$M$2,Calendrier!$C$25:$C$267,EO19))</f>
        <v>1</v>
      </c>
      <c r="IJ19" s="55">
        <f>IF(EP19="","",COUNTIFS($D$25:$D$267,Parameters!$K$2,$E$25:$E$267,Parameters!$M$2,Calendrier!$C$25:$C$267,EP19)+ COUNTIFS($D$25:$D$267,Parameters!$K$3,$E$25:$E$267,Parameters!$M$2,Calendrier!$C$25:$C$267,EP19))</f>
        <v>1</v>
      </c>
      <c r="IK19" s="55">
        <f>IF(EQ19="","",COUNTIFS($D$25:$D$267,Parameters!$K$2,$E$25:$E$267,Parameters!$M$2,Calendrier!$C$25:$C$267,EQ19)+ COUNTIFS($D$25:$D$267,Parameters!$K$4,$E$25:$E$267,Parameters!$M$2,Calendrier!$C$25:$C$267,EQ19))</f>
        <v>1</v>
      </c>
      <c r="IL19" s="55">
        <f>IF(ER19="","",COUNTIFS($D$25:$D$267,Parameters!$K$2,$E$25:$E$267,Parameters!$M$2,Calendrier!$C$25:$C$267,ER19)+ COUNTIFS($D$25:$D$267,Parameters!$K$3,$E$25:$E$267,Parameters!$M$2,Calendrier!$C$25:$C$267,ER19))</f>
        <v>1</v>
      </c>
      <c r="IM19" s="55">
        <f>IF(ES19="","",COUNTIFS($D$25:$D$267,Parameters!$K$2,$E$25:$E$267,Parameters!$M$2,Calendrier!$C$25:$C$267,ES19)+ COUNTIFS($D$25:$D$267,Parameters!$K$4,$E$25:$E$267,Parameters!$M$2,Calendrier!$C$25:$C$267,ES19))</f>
        <v>1</v>
      </c>
      <c r="IN19" s="55">
        <f>IF(ET19="","",COUNTIFS($D$25:$D$267,Parameters!$K$2,$E$25:$E$267,Parameters!$M$2,Calendrier!$C$25:$C$267,ET19)+ COUNTIFS($D$25:$D$267,Parameters!$K$3,$E$25:$E$267,Parameters!$M$2,Calendrier!$C$25:$C$267,ET19))</f>
        <v>1</v>
      </c>
      <c r="IO19" s="55">
        <f>IF(EU19="","",COUNTIFS($D$25:$D$267,Parameters!$K$2,$E$25:$E$267,Parameters!$M$2,Calendrier!$C$25:$C$267,EU19)+ COUNTIFS($D$25:$D$267,Parameters!$K$4,$E$25:$E$267,Parameters!$M$2,Calendrier!$C$25:$C$267,EU19))</f>
        <v>1</v>
      </c>
      <c r="IP19" s="55">
        <f>IF(EV19="","",COUNTIFS($D$25:$D$267,Parameters!$K$2,$E$25:$E$267,Parameters!$M$2,Calendrier!$C$25:$C$267,EV19)+ COUNTIFS($D$25:$D$267,Parameters!$K$3,$E$25:$E$267,Parameters!$M$2,Calendrier!$C$25:$C$267,EV19))</f>
        <v>0</v>
      </c>
      <c r="IQ19" s="55">
        <f>IF(EW19="","",COUNTIFS($D$25:$D$267,Parameters!$K$2,$E$25:$E$267,Parameters!$M$2,Calendrier!$C$25:$C$267,EW19)+ COUNTIFS($D$25:$D$267,Parameters!$K$4,$E$25:$E$267,Parameters!$M$2,Calendrier!$C$25:$C$267,EW19))</f>
        <v>0</v>
      </c>
      <c r="IR19" s="55">
        <f>IF(EX19="","",COUNTIFS($D$25:$D$267,Parameters!$K$2,$E$25:$E$267,Parameters!$M$2,Calendrier!$C$25:$C$267,EX19)+ COUNTIFS($D$25:$D$267,Parameters!$K$3,$E$25:$E$267,Parameters!$M$2,Calendrier!$C$25:$C$267,EX19))</f>
        <v>0</v>
      </c>
      <c r="IS19" s="55">
        <f>IF(EY19="","",COUNTIFS($D$25:$D$267,Parameters!$K$2,$E$25:$E$267,Parameters!$M$2,Calendrier!$C$25:$C$267,EY19)+ COUNTIFS($D$25:$D$267,Parameters!$K$4,$E$25:$E$267,Parameters!$M$2,Calendrier!$C$25:$C$267,EY19))</f>
        <v>0</v>
      </c>
      <c r="IT19" s="55">
        <f>IF(EZ19="","",COUNTIFS($D$25:$D$267,Parameters!$K$2,$E$25:$E$267,Parameters!$M$2,Calendrier!$C$25:$C$267,EZ19)+ COUNTIFS($D$25:$D$267,Parameters!$K$3,$E$25:$E$267,Parameters!$M$2,Calendrier!$C$25:$C$267,EZ19))</f>
        <v>0</v>
      </c>
      <c r="IU19" s="56">
        <f>IF(FA19="","",COUNTIFS($D$25:$D$267,Parameters!$K$2,$E$25:$E$267,Parameters!$M$2,Calendrier!$C$25:$C$267,FA19)+ COUNTIFS($D$25:$D$267,Parameters!$K$4,$E$25:$E$267,Parameters!$M$2,Calendrier!$C$25:$C$267,FA19))</f>
        <v>0</v>
      </c>
      <c r="IY19" s="54" t="str">
        <f>IF(DH19="","",COUNTIFS($D$25:$D$267,Parameters!$K$2,$E$25:$E$267,Parameters!$M$3,Calendrier!$C$25:$C$267,DH19)+ COUNTIFS($D$25:$D$267,Parameters!$K$3,$E$25:$E$267,Parameters!$M$3,Calendrier!$C$25:$C$267,DH19))</f>
        <v/>
      </c>
      <c r="IZ19" s="55" t="str">
        <f>IF(DI19="","",COUNTIFS($D$25:$D$267,Parameters!$K$2,$E$25:$E$267,Parameters!$M$3,Calendrier!$C$25:$C$267,DI19)+ COUNTIFS($D$25:$D$267,Parameters!$K$4,$E$25:$E$267,Parameters!$M$3,Calendrier!$C$25:$C$267,DI19))</f>
        <v/>
      </c>
      <c r="JA19" s="55" t="str">
        <f>IF(DJ19="","",COUNTIFS($D$25:$D$267,Parameters!$K$2,$E$25:$E$267,Parameters!$M$3,Calendrier!$C$25:$C$267,DJ19)+ COUNTIFS($D$25:$D$267,Parameters!$K$3,$E$25:$E$267,Parameters!$M$3,Calendrier!$C$25:$C$267,DJ19))</f>
        <v/>
      </c>
      <c r="JB19" s="55" t="str">
        <f>IF(DK19="","",COUNTIFS($D$25:$D$267,Parameters!$K$2,$E$25:$E$267,Parameters!$M$3,Calendrier!$C$25:$C$267,DK19)+ COUNTIFS($D$25:$D$267,Parameters!$K$4,$E$25:$E$267,Parameters!$M$3,Calendrier!$C$25:$C$267,DK19))</f>
        <v/>
      </c>
      <c r="JC19" s="55">
        <f>IF(DL19="","",COUNTIFS($D$25:$D$267,Parameters!$K$2,$E$25:$E$267,Parameters!$M$3,Calendrier!$C$25:$C$267,DL19)+ COUNTIFS($D$25:$D$267,Parameters!$K$3,$E$25:$E$267,Parameters!$M$3,Calendrier!$C$25:$C$267,DL19))</f>
        <v>0</v>
      </c>
      <c r="JD19" s="55">
        <f>IF(DM19="","",COUNTIFS($D$25:$D$267,Parameters!$K$2,$E$25:$E$267,Parameters!$M$3,Calendrier!$C$25:$C$267,DM19)+ COUNTIFS($D$25:$D$267,Parameters!$K$4,$E$25:$E$267,Parameters!$M$3,Calendrier!$C$25:$C$267,DM19))</f>
        <v>0</v>
      </c>
      <c r="JE19" s="55">
        <f>IF(DN19="","",COUNTIFS($D$25:$D$267,Parameters!$K$2,$E$25:$E$267,Parameters!$M$3,Calendrier!$C$25:$C$267,DN19)+ COUNTIFS($D$25:$D$267,Parameters!$K$3,$E$25:$E$267,Parameters!$M$3,Calendrier!$C$25:$C$267,DN19))</f>
        <v>0</v>
      </c>
      <c r="JF19" s="55">
        <f>IF(DO19="","",COUNTIFS($D$25:$D$267,Parameters!$K$2,$E$25:$E$267,Parameters!$M$3,Calendrier!$C$25:$C$267,DO19)+ COUNTIFS($D$25:$D$267,Parameters!$K$4,$E$25:$E$267,Parameters!$M$3,Calendrier!$C$25:$C$267,DO19))</f>
        <v>0</v>
      </c>
      <c r="JG19" s="55">
        <f>IF(DP19="","",COUNTIFS($D$25:$D$267,Parameters!$K$2,$E$25:$E$267,Parameters!$M$3,Calendrier!$C$25:$C$267,DP19)+ COUNTIFS($D$25:$D$267,Parameters!$K$3,$E$25:$E$267,Parameters!$M$3,Calendrier!$C$25:$C$267,DP19))</f>
        <v>0</v>
      </c>
      <c r="JH19" s="55">
        <f>IF(DQ19="","",COUNTIFS($D$25:$D$267,Parameters!$K$2,$E$25:$E$267,Parameters!$M$3,Calendrier!$C$25:$C$267,DQ19)+ COUNTIFS($D$25:$D$267,Parameters!$K$4,$E$25:$E$267,Parameters!$M$3,Calendrier!$C$25:$C$267,DQ19))</f>
        <v>0</v>
      </c>
      <c r="JI19" s="55">
        <f>IF(DR19="","",COUNTIFS($D$25:$D$267,Parameters!$K$2,$E$25:$E$267,Parameters!$M$3,Calendrier!$C$25:$C$267,DR19)+ COUNTIFS($D$25:$D$267,Parameters!$K$3,$E$25:$E$267,Parameters!$M$3,Calendrier!$C$25:$C$267,DR19))</f>
        <v>0</v>
      </c>
      <c r="JJ19" s="55">
        <f>IF(DS19="","",COUNTIFS($D$25:$D$267,Parameters!$K$2,$E$25:$E$267,Parameters!$M$3,Calendrier!$C$25:$C$267,DS19)+ COUNTIFS($D$25:$D$267,Parameters!$K$4,$E$25:$E$267,Parameters!$M$3,Calendrier!$C$25:$C$267,DS19))</f>
        <v>0</v>
      </c>
      <c r="JK19" s="55">
        <f>IF(DT19="","",COUNTIFS($D$25:$D$267,Parameters!$K$2,$E$25:$E$267,Parameters!$M$3,Calendrier!$C$25:$C$267,DT19)+ COUNTIFS($D$25:$D$267,Parameters!$K$3,$E$25:$E$267,Parameters!$M$3,Calendrier!$C$25:$C$267,DT19))</f>
        <v>0</v>
      </c>
      <c r="JL19" s="56">
        <f>IF(DU19="","",COUNTIFS($D$25:$D$267,Parameters!$K$2,$E$25:$E$267,Parameters!$M$3,Calendrier!$C$25:$C$267,DU19)+ COUNTIFS($D$25:$D$267,Parameters!$K$4,$E$25:$E$267,Parameters!$M$3,Calendrier!$C$25:$C$267,DU19))</f>
        <v>0</v>
      </c>
      <c r="JO19" s="54" t="str">
        <f>IF(DX19="","",COUNTIFS($D$25:$D$267,Parameters!$K$2,$E$25:$E$267,Parameters!$M$3,Calendrier!$C$25:$C$267,DX19)+ COUNTIFS($D$25:$D$267,Parameters!$K$3,$E$25:$E$267,Parameters!$M$3,Calendrier!$C$25:$C$267,DX19))</f>
        <v/>
      </c>
      <c r="JP19" s="55" t="str">
        <f>IF(DY19="","",COUNTIFS($D$25:$D$267,Parameters!$K$2,$E$25:$E$267,Parameters!$M$3,Calendrier!$C$25:$C$267,DY19)+ COUNTIFS($D$25:$D$267,Parameters!$K$4,$E$25:$E$267,Parameters!$M$3,Calendrier!$C$25:$C$267,DY19))</f>
        <v/>
      </c>
      <c r="JQ19" s="55" t="str">
        <f>IF(DZ19="","",COUNTIFS($D$25:$D$267,Parameters!$K$2,$E$25:$E$267,Parameters!$M$3,Calendrier!$C$25:$C$267,DZ19)+ COUNTIFS($D$25:$D$267,Parameters!$K$3,$E$25:$E$267,Parameters!$M$3,Calendrier!$C$25:$C$267,DZ19))</f>
        <v/>
      </c>
      <c r="JR19" s="55" t="str">
        <f>IF(EA19="","",COUNTIFS($D$25:$D$267,Parameters!$K$2,$E$25:$E$267,Parameters!$M$3,Calendrier!$C$25:$C$267,EA19)+ COUNTIFS($D$25:$D$267,Parameters!$K$4,$E$25:$E$267,Parameters!$M$3,Calendrier!$C$25:$C$267,EA19))</f>
        <v/>
      </c>
      <c r="JS19" s="55" t="str">
        <f>IF(EB19="","",COUNTIFS($D$25:$D$267,Parameters!$K$2,$E$25:$E$267,Parameters!$M$3,Calendrier!$C$25:$C$267,EB19)+ COUNTIFS($D$25:$D$267,Parameters!$K$3,$E$25:$E$267,Parameters!$M$3,Calendrier!$C$25:$C$267,EB19))</f>
        <v/>
      </c>
      <c r="JT19" s="55" t="str">
        <f>IF(EC19="","",COUNTIFS($D$25:$D$267,Parameters!$K$2,$E$25:$E$267,Parameters!$M$3,Calendrier!$C$25:$C$267,EC19)+ COUNTIFS($D$25:$D$267,Parameters!$K$4,$E$25:$E$267,Parameters!$M$3,Calendrier!$C$25:$C$267,EC19))</f>
        <v/>
      </c>
      <c r="JU19" s="55" t="str">
        <f>IF(ED19="","",COUNTIFS($D$25:$D$267,Parameters!$K$2,$E$25:$E$267,Parameters!$M$3,Calendrier!$C$25:$C$267,ED19)+ COUNTIFS($D$25:$D$267,Parameters!$K$3,$E$25:$E$267,Parameters!$M$3,Calendrier!$C$25:$C$267,ED19))</f>
        <v/>
      </c>
      <c r="JV19" s="55" t="str">
        <f>IF(EE19="","",COUNTIFS($D$25:$D$267,Parameters!$K$2,$E$25:$E$267,Parameters!$M$3,Calendrier!$C$25:$C$267,EE19)+ COUNTIFS($D$25:$D$267,Parameters!$K$4,$E$25:$E$267,Parameters!$M$3,Calendrier!$C$25:$C$267,EE19))</f>
        <v/>
      </c>
      <c r="JW19" s="55">
        <f>IF(EF19="","",COUNTIFS($D$25:$D$267,Parameters!$K$2,$E$25:$E$267,Parameters!$M$3,Calendrier!$C$25:$C$267,EF19)+ COUNTIFS($D$25:$D$267,Parameters!$K$3,$E$25:$E$267,Parameters!$M$3,Calendrier!$C$25:$C$267,EF19))</f>
        <v>0</v>
      </c>
      <c r="JX19" s="55">
        <f>IF(EG19="","",COUNTIFS($D$25:$D$267,Parameters!$K$2,$E$25:$E$267,Parameters!$M$3,Calendrier!$C$25:$C$267,EG19)+ COUNTIFS($D$25:$D$267,Parameters!$K$4,$E$25:$E$267,Parameters!$M$3,Calendrier!$C$25:$C$267,EG19))</f>
        <v>0</v>
      </c>
      <c r="JY19" s="55">
        <f>IF(EH19="","",COUNTIFS($D$25:$D$267,Parameters!$K$2,$E$25:$E$267,Parameters!$M$3,Calendrier!$C$25:$C$267,EH19)+ COUNTIFS($D$25:$D$267,Parameters!$K$3,$E$25:$E$267,Parameters!$M$3,Calendrier!$C$25:$C$267,EH19))</f>
        <v>0</v>
      </c>
      <c r="JZ19" s="55">
        <f>IF(EI19="","",COUNTIFS($D$25:$D$267,Parameters!$K$2,$E$25:$E$267,Parameters!$M$3,Calendrier!$C$25:$C$267,EI19)+ COUNTIFS($D$25:$D$267,Parameters!$K$4,$E$25:$E$267,Parameters!$M$3,Calendrier!$C$25:$C$267,EI19))</f>
        <v>0</v>
      </c>
      <c r="KA19" s="55">
        <f>IF(EJ19="","",COUNTIFS($D$25:$D$267,Parameters!$K$2,$E$25:$E$267,Parameters!$M$3,Calendrier!$C$25:$C$267,EJ19)+ COUNTIFS($D$25:$D$267,Parameters!$K$3,$E$25:$E$267,Parameters!$M$3,Calendrier!$C$25:$C$267,EJ19))</f>
        <v>0</v>
      </c>
      <c r="KB19" s="56">
        <f>IF(EK19="","",COUNTIFS($D$25:$D$267,Parameters!$K$2,$E$25:$E$267,Parameters!$M$3,Calendrier!$C$25:$C$267,EK19)+ COUNTIFS($D$25:$D$267,Parameters!$K$4,$E$25:$E$267,Parameters!$M$3,Calendrier!$C$25:$C$267,EK19))</f>
        <v>0</v>
      </c>
      <c r="KE19" s="54">
        <f>IF(EN19="","",COUNTIFS($D$25:$D$267,Parameters!$K$2,$E$25:$E$267,Parameters!$M$3,Calendrier!$C$25:$C$267,EN19)+ COUNTIFS($D$25:$D$267,Parameters!$K$3,$E$25:$E$267,Parameters!$M$3,Calendrier!$C$25:$C$267,EN19))</f>
        <v>0</v>
      </c>
      <c r="KF19" s="55">
        <f>IF(EO19="","",COUNTIFS($D$25:$D$267,Parameters!$K$2,$E$25:$E$267,Parameters!$M$3,Calendrier!$C$25:$C$267,EO19)+ COUNTIFS($D$25:$D$267,Parameters!$K$4,$E$25:$E$267,Parameters!$M$3,Calendrier!$C$25:$C$267,EO19))</f>
        <v>0</v>
      </c>
      <c r="KG19" s="55">
        <f>IF(EP19="","",COUNTIFS($D$25:$D$267,Parameters!$K$2,$E$25:$E$267,Parameters!$M$3,Calendrier!$C$25:$C$267,EP19)+ COUNTIFS($D$25:$D$267,Parameters!$K$3,$E$25:$E$267,Parameters!$M$3,Calendrier!$C$25:$C$267,EP19))</f>
        <v>0</v>
      </c>
      <c r="KH19" s="55">
        <f>IF(EQ19="","",COUNTIFS($D$25:$D$267,Parameters!$K$2,$E$25:$E$267,Parameters!$M$3,Calendrier!$C$25:$C$267,EQ19)+ COUNTIFS($D$25:$D$267,Parameters!$K$4,$E$25:$E$267,Parameters!$M$3,Calendrier!$C$25:$C$267,EQ19))</f>
        <v>0</v>
      </c>
      <c r="KI19" s="55">
        <f>IF(ER19="","",COUNTIFS($D$25:$D$267,Parameters!$K$2,$E$25:$E$267,Parameters!$M$3,Calendrier!$C$25:$C$267,ER19)+ COUNTIFS($D$25:$D$267,Parameters!$K$3,$E$25:$E$267,Parameters!$M$3,Calendrier!$C$25:$C$267,ER19))</f>
        <v>0</v>
      </c>
      <c r="KJ19" s="55">
        <f>IF(ES19="","",COUNTIFS($D$25:$D$267,Parameters!$K$2,$E$25:$E$267,Parameters!$M$3,Calendrier!$C$25:$C$267,ES19)+ COUNTIFS($D$25:$D$267,Parameters!$K$4,$E$25:$E$267,Parameters!$M$3,Calendrier!$C$25:$C$267,ES19))</f>
        <v>0</v>
      </c>
      <c r="KK19" s="55">
        <f>IF(ET19="","",COUNTIFS($D$25:$D$267,Parameters!$K$2,$E$25:$E$267,Parameters!$M$3,Calendrier!$C$25:$C$267,ET19)+ COUNTIFS($D$25:$D$267,Parameters!$K$3,$E$25:$E$267,Parameters!$M$3,Calendrier!$C$25:$C$267,ET19))</f>
        <v>0</v>
      </c>
      <c r="KL19" s="55">
        <f>IF(EU19="","",COUNTIFS($D$25:$D$267,Parameters!$K$2,$E$25:$E$267,Parameters!$M$3,Calendrier!$C$25:$C$267,EU19)+ COUNTIFS($D$25:$D$267,Parameters!$K$4,$E$25:$E$267,Parameters!$M$3,Calendrier!$C$25:$C$267,EU19))</f>
        <v>0</v>
      </c>
      <c r="KM19" s="55">
        <f>IF(EV19="","",COUNTIFS($D$25:$D$267,Parameters!$K$2,$E$25:$E$267,Parameters!$M$3,Calendrier!$C$25:$C$267,EV19)+ COUNTIFS($D$25:$D$267,Parameters!$K$3,$E$25:$E$267,Parameters!$M$3,Calendrier!$C$25:$C$267,EV19))</f>
        <v>0</v>
      </c>
      <c r="KN19" s="55">
        <f>IF(EW19="","",COUNTIFS($D$25:$D$267,Parameters!$K$2,$E$25:$E$267,Parameters!$M$3,Calendrier!$C$25:$C$267,EW19)+ COUNTIFS($D$25:$D$267,Parameters!$K$4,$E$25:$E$267,Parameters!$M$3,Calendrier!$C$25:$C$267,EW19))</f>
        <v>0</v>
      </c>
      <c r="KO19" s="55">
        <f>IF(EX19="","",COUNTIFS($D$25:$D$267,Parameters!$K$2,$E$25:$E$267,Parameters!$M$3,Calendrier!$C$25:$C$267,EX19)+ COUNTIFS($D$25:$D$267,Parameters!$K$3,$E$25:$E$267,Parameters!$M$3,Calendrier!$C$25:$C$267,EX19))</f>
        <v>0</v>
      </c>
      <c r="KP19" s="55">
        <f>IF(EY19="","",COUNTIFS($D$25:$D$267,Parameters!$K$2,$E$25:$E$267,Parameters!$M$3,Calendrier!$C$25:$C$267,EY19)+ COUNTIFS($D$25:$D$267,Parameters!$K$4,$E$25:$E$267,Parameters!$M$3,Calendrier!$C$25:$C$267,EY19))</f>
        <v>0</v>
      </c>
      <c r="KQ19" s="55">
        <f>IF(EZ19="","",COUNTIFS($D$25:$D$267,Parameters!$K$2,$E$25:$E$267,Parameters!$M$3,Calendrier!$C$25:$C$267,EZ19)+ COUNTIFS($D$25:$D$267,Parameters!$K$3,$E$25:$E$267,Parameters!$M$3,Calendrier!$C$25:$C$267,EZ19))</f>
        <v>0</v>
      </c>
      <c r="KR19" s="56">
        <f>IF(FA19="","",COUNTIFS($D$25:$D$267,Parameters!$K$2,$E$25:$E$267,Parameters!$M$3,Calendrier!$C$25:$C$267,FA19)+ COUNTIFS($D$25:$D$267,Parameters!$K$4,$E$25:$E$267,Parameters!$M$3,Calendrier!$C$25:$C$267,FA19))</f>
        <v>0</v>
      </c>
      <c r="KV19" s="54" t="str">
        <f>IF(DH19="","",COUNTIFS($D$25:$D$267,Parameters!$K$2,$E$25:$E$267,Parameters!$M$4,Calendrier!$C$25:$C$267,DH19)+ COUNTIFS($D$25:$D$267,Parameters!$K$3,$E$25:$E$267,Parameters!$M$4,Calendrier!$C$25:$C$267,DH19))</f>
        <v/>
      </c>
      <c r="KW19" s="55" t="str">
        <f>IF(DI19="","",COUNTIFS($D$25:$D$267,Parameters!$K$2,$E$25:$E$267,Parameters!$M$4,Calendrier!$C$25:$C$267,DI19)+ COUNTIFS($D$25:$D$267,Parameters!$K$4,$E$25:$E$267,Parameters!$M$4,Calendrier!$C$25:$C$267,DI19))</f>
        <v/>
      </c>
      <c r="KX19" s="55" t="str">
        <f>IF(DJ19="","",COUNTIFS($D$25:$D$267,Parameters!$K$2,$E$25:$E$267,Parameters!$M$4,Calendrier!$C$25:$C$267,DJ19)+ COUNTIFS($D$25:$D$267,Parameters!$K$3,$E$25:$E$267,Parameters!$M$4,Calendrier!$C$25:$C$267,DJ19))</f>
        <v/>
      </c>
      <c r="KY19" s="55" t="str">
        <f>IF(DK19="","",COUNTIFS($D$25:$D$267,Parameters!$K$2,$E$25:$E$267,Parameters!$M$4,Calendrier!$C$25:$C$267,DK19)+ COUNTIFS($D$25:$D$267,Parameters!$K$4,$E$25:$E$267,Parameters!$M$4,Calendrier!$C$25:$C$267,DK19))</f>
        <v/>
      </c>
      <c r="KZ19" s="55">
        <f>IF(DL19="","",COUNTIFS($D$25:$D$267,Parameters!$K$2,$E$25:$E$267,Parameters!$M$4,Calendrier!$C$25:$C$267,DL19)+ COUNTIFS($D$25:$D$267,Parameters!$K$3,$E$25:$E$267,Parameters!$M$4,Calendrier!$C$25:$C$267,DL19))</f>
        <v>0</v>
      </c>
      <c r="LA19" s="55">
        <f>IF(DM19="","",COUNTIFS($D$25:$D$267,Parameters!$K$2,$E$25:$E$267,Parameters!$M$4,Calendrier!$C$25:$C$267,DM19)+ COUNTIFS($D$25:$D$267,Parameters!$K$4,$E$25:$E$267,Parameters!$M$4,Calendrier!$C$25:$C$267,DM19))</f>
        <v>0</v>
      </c>
      <c r="LB19" s="55">
        <f>IF(DN19="","",COUNTIFS($D$25:$D$267,Parameters!$K$2,$E$25:$E$267,Parameters!$M$4,Calendrier!$C$25:$C$267,DN19)+ COUNTIFS($D$25:$D$267,Parameters!$K$3,$E$25:$E$267,Parameters!$M$4,Calendrier!$C$25:$C$267,DN19))</f>
        <v>0</v>
      </c>
      <c r="LC19" s="55">
        <f>IF(DO19="","",COUNTIFS($D$25:$D$267,Parameters!$K$2,$E$25:$E$267,Parameters!$M$4,Calendrier!$C$25:$C$267,DO19)+ COUNTIFS($D$25:$D$267,Parameters!$K$4,$E$25:$E$267,Parameters!$M$4,Calendrier!$C$25:$C$267,DO19))</f>
        <v>0</v>
      </c>
      <c r="LD19" s="55">
        <f>IF(DP19="","",COUNTIFS($D$25:$D$267,Parameters!$K$2,$E$25:$E$267,Parameters!$M$4,Calendrier!$C$25:$C$267,DP19)+ COUNTIFS($D$25:$D$267,Parameters!$K$3,$E$25:$E$267,Parameters!$M$4,Calendrier!$C$25:$C$267,DP19))</f>
        <v>0</v>
      </c>
      <c r="LE19" s="55">
        <f>IF(DQ19="","",COUNTIFS($D$25:$D$267,Parameters!$K$2,$E$25:$E$267,Parameters!$M$4,Calendrier!$C$25:$C$267,DQ19)+ COUNTIFS($D$25:$D$267,Parameters!$K$4,$E$25:$E$267,Parameters!$M$4,Calendrier!$C$25:$C$267,DQ19))</f>
        <v>0</v>
      </c>
      <c r="LF19" s="55">
        <f>IF(DR19="","",COUNTIFS($D$25:$D$267,Parameters!$K$2,$E$25:$E$267,Parameters!$M$4,Calendrier!$C$25:$C$267,DR19)+ COUNTIFS($D$25:$D$267,Parameters!$K$3,$E$25:$E$267,Parameters!$M$4,Calendrier!$C$25:$C$267,DR19))</f>
        <v>0</v>
      </c>
      <c r="LG19" s="55">
        <f>IF(DS19="","",COUNTIFS($D$25:$D$267,Parameters!$K$2,$E$25:$E$267,Parameters!$M$4,Calendrier!$C$25:$C$267,DS19)+ COUNTIFS($D$25:$D$267,Parameters!$K$4,$E$25:$E$267,Parameters!$M$4,Calendrier!$C$25:$C$267,DS19))</f>
        <v>0</v>
      </c>
      <c r="LH19" s="55">
        <f>IF(DT19="","",COUNTIFS($D$25:$D$267,Parameters!$K$2,$E$25:$E$267,Parameters!$M$4,Calendrier!$C$25:$C$267,DT19)+ COUNTIFS($D$25:$D$267,Parameters!$K$3,$E$25:$E$267,Parameters!$M$4,Calendrier!$C$25:$C$267,DT19))</f>
        <v>0</v>
      </c>
      <c r="LI19" s="56">
        <f>IF(DU19="","",COUNTIFS($D$25:$D$267,Parameters!$K$2,$E$25:$E$267,Parameters!$M$4,Calendrier!$C$25:$C$267,DU19)+ COUNTIFS($D$25:$D$267,Parameters!$K$4,$E$25:$E$267,Parameters!$M$4,Calendrier!$C$25:$C$267,DU19))</f>
        <v>0</v>
      </c>
      <c r="LL19" s="54" t="str">
        <f>IF(DX19="","",COUNTIFS($D$25:$D$267,Parameters!$K$2,$E$25:$E$267,Parameters!$M$4,Calendrier!$C$25:$C$267,DX19)+ COUNTIFS($D$25:$D$267,Parameters!$K$3,$E$25:$E$267,Parameters!$M$4,Calendrier!$C$25:$C$267,DX19))</f>
        <v/>
      </c>
      <c r="LM19" s="55" t="str">
        <f>IF(DY19="","",COUNTIFS($D$25:$D$267,Parameters!$K$2,$E$25:$E$267,Parameters!$M$4,Calendrier!$C$25:$C$267,DY19)+ COUNTIFS($D$25:$D$267,Parameters!$K$4,$E$25:$E$267,Parameters!$M$4,Calendrier!$C$25:$C$267,DY19))</f>
        <v/>
      </c>
      <c r="LN19" s="55" t="str">
        <f>IF(DZ19="","",COUNTIFS($D$25:$D$267,Parameters!$K$2,$E$25:$E$267,Parameters!$M$4,Calendrier!$C$25:$C$267,DZ19)+ COUNTIFS($D$25:$D$267,Parameters!$K$3,$E$25:$E$267,Parameters!$M$4,Calendrier!$C$25:$C$267,DZ19))</f>
        <v/>
      </c>
      <c r="LO19" s="55" t="str">
        <f>IF(EA19="","",COUNTIFS($D$25:$D$267,Parameters!$K$2,$E$25:$E$267,Parameters!$M$4,Calendrier!$C$25:$C$267,EA19)+ COUNTIFS($D$25:$D$267,Parameters!$K$4,$E$25:$E$267,Parameters!$M$4,Calendrier!$C$25:$C$267,EA19))</f>
        <v/>
      </c>
      <c r="LP19" s="55" t="str">
        <f>IF(EB19="","",COUNTIFS($D$25:$D$267,Parameters!$K$2,$E$25:$E$267,Parameters!$M$4,Calendrier!$C$25:$C$267,EB19)+ COUNTIFS($D$25:$D$267,Parameters!$K$3,$E$25:$E$267,Parameters!$M$4,Calendrier!$C$25:$C$267,EB19))</f>
        <v/>
      </c>
      <c r="LQ19" s="55" t="str">
        <f>IF(EC19="","",COUNTIFS($D$25:$D$267,Parameters!$K$2,$E$25:$E$267,Parameters!$M$4,Calendrier!$C$25:$C$267,EC19)+ COUNTIFS($D$25:$D$267,Parameters!$K$4,$E$25:$E$267,Parameters!$M$4,Calendrier!$C$25:$C$267,EC19))</f>
        <v/>
      </c>
      <c r="LR19" s="55" t="str">
        <f>IF(ED19="","",COUNTIFS($D$25:$D$267,Parameters!$K$2,$E$25:$E$267,Parameters!$M$4,Calendrier!$C$25:$C$267,ED19)+ COUNTIFS($D$25:$D$267,Parameters!$K$3,$E$25:$E$267,Parameters!$M$4,Calendrier!$C$25:$C$267,ED19))</f>
        <v/>
      </c>
      <c r="LS19" s="55" t="str">
        <f>IF(EE19="","",COUNTIFS($D$25:$D$267,Parameters!$K$2,$E$25:$E$267,Parameters!$M$4,Calendrier!$C$25:$C$267,EE19)+ COUNTIFS($D$25:$D$267,Parameters!$K$4,$E$25:$E$267,Parameters!$M$4,Calendrier!$C$25:$C$267,EE19))</f>
        <v/>
      </c>
      <c r="LT19" s="55">
        <f>IF(EF19="","",COUNTIFS($D$25:$D$267,Parameters!$K$2,$E$25:$E$267,Parameters!$M$4,Calendrier!$C$25:$C$267,EF19)+ COUNTIFS($D$25:$D$267,Parameters!$K$3,$E$25:$E$267,Parameters!$M$4,Calendrier!$C$25:$C$267,EF19))</f>
        <v>0</v>
      </c>
      <c r="LU19" s="55">
        <f>IF(EG19="","",COUNTIFS($D$25:$D$267,Parameters!$K$2,$E$25:$E$267,Parameters!$M$4,Calendrier!$C$25:$C$267,EG19)+ COUNTIFS($D$25:$D$267,Parameters!$K$4,$E$25:$E$267,Parameters!$M$4,Calendrier!$C$25:$C$267,EG19))</f>
        <v>0</v>
      </c>
      <c r="LV19" s="55">
        <f>IF(EH19="","",COUNTIFS($D$25:$D$267,Parameters!$K$2,$E$25:$E$267,Parameters!$M$4,Calendrier!$C$25:$C$267,EH19)+ COUNTIFS($D$25:$D$267,Parameters!$K$3,$E$25:$E$267,Parameters!$M$4,Calendrier!$C$25:$C$267,EH19))</f>
        <v>0</v>
      </c>
      <c r="LW19" s="55">
        <f>IF(EI19="","",COUNTIFS($D$25:$D$267,Parameters!$K$2,$E$25:$E$267,Parameters!$M$4,Calendrier!$C$25:$C$267,EI19)+ COUNTIFS($D$25:$D$267,Parameters!$K$4,$E$25:$E$267,Parameters!$M$4,Calendrier!$C$25:$C$267,EI19))</f>
        <v>0</v>
      </c>
      <c r="LX19" s="55">
        <f>IF(EJ19="","",COUNTIFS($D$25:$D$267,Parameters!$K$2,$E$25:$E$267,Parameters!$M$4,Calendrier!$C$25:$C$267,EJ19)+ COUNTIFS($D$25:$D$267,Parameters!$K$3,$E$25:$E$267,Parameters!$M$4,Calendrier!$C$25:$C$267,EJ19))</f>
        <v>0</v>
      </c>
      <c r="LY19" s="56">
        <f>IF(EK19="","",COUNTIFS($D$25:$D$267,Parameters!$K$2,$E$25:$E$267,Parameters!$M$4,Calendrier!$C$25:$C$267,EK19)+ COUNTIFS($D$25:$D$267,Parameters!$K$4,$E$25:$E$267,Parameters!$M$4,Calendrier!$C$25:$C$267,EK19))</f>
        <v>0</v>
      </c>
      <c r="MB19" s="54">
        <f>IF(EN19="","",COUNTIFS($D$25:$D$267,Parameters!$K$2,$E$25:$E$267,Parameters!$M$4,Calendrier!$C$25:$C$267,EN19)+ COUNTIFS($D$25:$D$267,Parameters!$K$3,$E$25:$E$267,Parameters!$M$4,Calendrier!$C$25:$C$267,EN19))</f>
        <v>0</v>
      </c>
      <c r="MC19" s="55">
        <f>IF(EO19="","",COUNTIFS($D$25:$D$267,Parameters!$K$2,$E$25:$E$267,Parameters!$M$4,Calendrier!$C$25:$C$267,EO19)+ COUNTIFS($D$25:$D$267,Parameters!$K$4,$E$25:$E$267,Parameters!$M$4,Calendrier!$C$25:$C$267,EO19))</f>
        <v>0</v>
      </c>
      <c r="MD19" s="55">
        <f>IF(EP19="","",COUNTIFS($D$25:$D$267,Parameters!$K$2,$E$25:$E$267,Parameters!$M$4,Calendrier!$C$25:$C$267,EP19)+ COUNTIFS($D$25:$D$267,Parameters!$K$3,$E$25:$E$267,Parameters!$M$4,Calendrier!$C$25:$C$267,EP19))</f>
        <v>0</v>
      </c>
      <c r="ME19" s="55">
        <f>IF(EQ19="","",COUNTIFS($D$25:$D$267,Parameters!$K$2,$E$25:$E$267,Parameters!$M$4,Calendrier!$C$25:$C$267,EQ19)+ COUNTIFS($D$25:$D$267,Parameters!$K$4,$E$25:$E$267,Parameters!$M$4,Calendrier!$C$25:$C$267,EQ19))</f>
        <v>0</v>
      </c>
      <c r="MF19" s="55">
        <f>IF(ER19="","",COUNTIFS($D$25:$D$267,Parameters!$K$2,$E$25:$E$267,Parameters!$M$4,Calendrier!$C$25:$C$267,ER19)+ COUNTIFS($D$25:$D$267,Parameters!$K$3,$E$25:$E$267,Parameters!$M$4,Calendrier!$C$25:$C$267,ER19))</f>
        <v>0</v>
      </c>
      <c r="MG19" s="55">
        <f>IF(ES19="","",COUNTIFS($D$25:$D$267,Parameters!$K$2,$E$25:$E$267,Parameters!$M$4,Calendrier!$C$25:$C$267,ES19)+ COUNTIFS($D$25:$D$267,Parameters!$K$4,$E$25:$E$267,Parameters!$M$4,Calendrier!$C$25:$C$267,ES19))</f>
        <v>0</v>
      </c>
      <c r="MH19" s="55">
        <f>IF(ET19="","",COUNTIFS($D$25:$D$267,Parameters!$K$2,$E$25:$E$267,Parameters!$M$4,Calendrier!$C$25:$C$267,ET19)+ COUNTIFS($D$25:$D$267,Parameters!$K$3,$E$25:$E$267,Parameters!$M$4,Calendrier!$C$25:$C$267,ET19))</f>
        <v>0</v>
      </c>
      <c r="MI19" s="55">
        <f>IF(EU19="","",COUNTIFS($D$25:$D$267,Parameters!$K$2,$E$25:$E$267,Parameters!$M$4,Calendrier!$C$25:$C$267,EU19)+ COUNTIFS($D$25:$D$267,Parameters!$K$4,$E$25:$E$267,Parameters!$M$4,Calendrier!$C$25:$C$267,EU19))</f>
        <v>0</v>
      </c>
      <c r="MJ19" s="55">
        <f>IF(EV19="","",COUNTIFS($D$25:$D$267,Parameters!$K$2,$E$25:$E$267,Parameters!$M$4,Calendrier!$C$25:$C$267,EV19)+ COUNTIFS($D$25:$D$267,Parameters!$K$3,$E$25:$E$267,Parameters!$M$4,Calendrier!$C$25:$C$267,EV19))</f>
        <v>0</v>
      </c>
      <c r="MK19" s="55">
        <f>IF(EW19="","",COUNTIFS($D$25:$D$267,Parameters!$K$2,$E$25:$E$267,Parameters!$M$4,Calendrier!$C$25:$C$267,EW19)+ COUNTIFS($D$25:$D$267,Parameters!$K$4,$E$25:$E$267,Parameters!$M$4,Calendrier!$C$25:$C$267,EW19))</f>
        <v>0</v>
      </c>
      <c r="ML19" s="55">
        <f>IF(EX19="","",COUNTIFS($D$25:$D$267,Parameters!$K$2,$E$25:$E$267,Parameters!$M$4,Calendrier!$C$25:$C$267,EX19)+ COUNTIFS($D$25:$D$267,Parameters!$K$3,$E$25:$E$267,Parameters!$M$4,Calendrier!$C$25:$C$267,EX19))</f>
        <v>0</v>
      </c>
      <c r="MM19" s="55">
        <f>IF(EY19="","",COUNTIFS($D$25:$D$267,Parameters!$K$2,$E$25:$E$267,Parameters!$M$4,Calendrier!$C$25:$C$267,EY19)+ COUNTIFS($D$25:$D$267,Parameters!$K$4,$E$25:$E$267,Parameters!$M$4,Calendrier!$C$25:$C$267,EY19))</f>
        <v>0</v>
      </c>
      <c r="MN19" s="55">
        <f>IF(EZ19="","",COUNTIFS($D$25:$D$267,Parameters!$K$2,$E$25:$E$267,Parameters!$M$4,Calendrier!$C$25:$C$267,EZ19)+ COUNTIFS($D$25:$D$267,Parameters!$K$3,$E$25:$E$267,Parameters!$M$4,Calendrier!$C$25:$C$267,EZ19))</f>
        <v>0</v>
      </c>
      <c r="MO19" s="56">
        <f>IF(FA19="","",COUNTIFS($D$25:$D$267,Parameters!$K$2,$E$25:$E$267,Parameters!$M$4,Calendrier!$C$25:$C$267,FA19)+ COUNTIFS($D$25:$D$267,Parameters!$K$4,$E$25:$E$267,Parameters!$M$4,Calendrier!$C$25:$C$267,FA19))</f>
        <v>0</v>
      </c>
      <c r="MS19" s="54" t="str">
        <f>IF(DH19="","",COUNTIFS($D$25:$D$267,Parameters!$K$2,$E$25:$E$267,Parameters!$M$5,Calendrier!$C$25:$C$267,DH19)+ COUNTIFS($D$25:$D$267,Parameters!$K$3,$E$25:$E$267,Parameters!$M$5,Calendrier!$C$25:$C$267,DH19))</f>
        <v/>
      </c>
      <c r="MT19" s="55" t="str">
        <f>IF(DI19="","",COUNTIFS($D$25:$D$267,Parameters!$K$2,$E$25:$E$267,Parameters!$M$5,Calendrier!$C$25:$C$267,DI19)+ COUNTIFS($D$25:$D$267,Parameters!$K$4,$E$25:$E$267,Parameters!$M$5,Calendrier!$C$25:$C$267,DI19))</f>
        <v/>
      </c>
      <c r="MU19" s="55" t="str">
        <f>IF(DJ19="","",COUNTIFS($D$25:$D$267,Parameters!$K$2,$E$25:$E$267,Parameters!$M$5,Calendrier!$C$25:$C$267,DJ19)+ COUNTIFS($D$25:$D$267,Parameters!$K$3,$E$25:$E$267,Parameters!$M$5,Calendrier!$C$25:$C$267,DJ19))</f>
        <v/>
      </c>
      <c r="MV19" s="55" t="str">
        <f>IF(DK19="","",COUNTIFS($D$25:$D$267,Parameters!$K$2,$E$25:$E$267,Parameters!$M$5,Calendrier!$C$25:$C$267,DK19)+ COUNTIFS($D$25:$D$267,Parameters!$K$4,$E$25:$E$267,Parameters!$M$5,Calendrier!$C$25:$C$267,DK19))</f>
        <v/>
      </c>
      <c r="MW19" s="55">
        <f>IF(DL19="","",COUNTIFS($D$25:$D$267,Parameters!$K$2,$E$25:$E$267,Parameters!$M$5,Calendrier!$C$25:$C$267,DL19)+ COUNTIFS($D$25:$D$267,Parameters!$K$3,$E$25:$E$267,Parameters!$M$5,Calendrier!$C$25:$C$267,DL19))</f>
        <v>0</v>
      </c>
      <c r="MX19" s="55">
        <f>IF(DM19="","",COUNTIFS($D$25:$D$267,Parameters!$K$2,$E$25:$E$267,Parameters!$M$5,Calendrier!$C$25:$C$267,DM19)+ COUNTIFS($D$25:$D$267,Parameters!$K$4,$E$25:$E$267,Parameters!$M$5,Calendrier!$C$25:$C$267,DM19))</f>
        <v>0</v>
      </c>
      <c r="MY19" s="55">
        <f>IF(DN19="","",COUNTIFS($D$25:$D$267,Parameters!$K$2,$E$25:$E$267,Parameters!$M$5,Calendrier!$C$25:$C$267,DN19)+ COUNTIFS($D$25:$D$267,Parameters!$K$3,$E$25:$E$267,Parameters!$M$5,Calendrier!$C$25:$C$267,DN19))</f>
        <v>0</v>
      </c>
      <c r="MZ19" s="55">
        <f>IF(DO19="","",COUNTIFS($D$25:$D$267,Parameters!$K$2,$E$25:$E$267,Parameters!$M$5,Calendrier!$C$25:$C$267,DO19)+ COUNTIFS($D$25:$D$267,Parameters!$K$4,$E$25:$E$267,Parameters!$M$5,Calendrier!$C$25:$C$267,DO19))</f>
        <v>0</v>
      </c>
      <c r="NA19" s="55">
        <f>IF(DP19="","",COUNTIFS($D$25:$D$267,Parameters!$K$2,$E$25:$E$267,Parameters!$M$5,Calendrier!$C$25:$C$267,DP19)+ COUNTIFS($D$25:$D$267,Parameters!$K$3,$E$25:$E$267,Parameters!$M$5,Calendrier!$C$25:$C$267,DP19))</f>
        <v>0</v>
      </c>
      <c r="NB19" s="55">
        <f>IF(DQ19="","",COUNTIFS($D$25:$D$267,Parameters!$K$2,$E$25:$E$267,Parameters!$M$5,Calendrier!$C$25:$C$267,DQ19)+ COUNTIFS($D$25:$D$267,Parameters!$K$4,$E$25:$E$267,Parameters!$M$5,Calendrier!$C$25:$C$267,DQ19))</f>
        <v>0</v>
      </c>
      <c r="NC19" s="55">
        <f>IF(DR19="","",COUNTIFS($D$25:$D$267,Parameters!$K$2,$E$25:$E$267,Parameters!$M$5,Calendrier!$C$25:$C$267,DR19)+ COUNTIFS($D$25:$D$267,Parameters!$K$3,$E$25:$E$267,Parameters!$M$5,Calendrier!$C$25:$C$267,DR19))</f>
        <v>0</v>
      </c>
      <c r="ND19" s="55">
        <f>IF(DS19="","",COUNTIFS($D$25:$D$267,Parameters!$K$2,$E$25:$E$267,Parameters!$M$5,Calendrier!$C$25:$C$267,DS19)+ COUNTIFS($D$25:$D$267,Parameters!$K$4,$E$25:$E$267,Parameters!$M$5,Calendrier!$C$25:$C$267,DS19))</f>
        <v>0</v>
      </c>
      <c r="NE19" s="55">
        <f>IF(DT19="","",COUNTIFS($D$25:$D$267,Parameters!$K$2,$E$25:$E$267,Parameters!$M$5,Calendrier!$C$25:$C$267,DT19)+ COUNTIFS($D$25:$D$267,Parameters!$K$3,$E$25:$E$267,Parameters!$M$5,Calendrier!$C$25:$C$267,DT19))</f>
        <v>0</v>
      </c>
      <c r="NF19" s="56">
        <f>IF(DU19="","",COUNTIFS($D$25:$D$267,Parameters!$K$2,$E$25:$E$267,Parameters!$M$5,Calendrier!$C$25:$C$267,DU19)+ COUNTIFS($D$25:$D$267,Parameters!$K$4,$E$25:$E$267,Parameters!$M$5,Calendrier!$C$25:$C$267,DU19))</f>
        <v>0</v>
      </c>
      <c r="NI19" s="54" t="str">
        <f>IF(DX19="","",COUNTIFS($D$25:$D$267,Parameters!$K$2,$E$25:$E$267,Parameters!$M$5,Calendrier!$C$25:$C$267,DX19)+ COUNTIFS($D$25:$D$267,Parameters!$K$3,$E$25:$E$267,Parameters!$M$5,Calendrier!$C$25:$C$267,DX19))</f>
        <v/>
      </c>
      <c r="NJ19" s="55" t="str">
        <f>IF(DY19="","",COUNTIFS($D$25:$D$267,Parameters!$K$2,$E$25:$E$267,Parameters!$M$5,Calendrier!$C$25:$C$267,DY19)+ COUNTIFS($D$25:$D$267,Parameters!$K$4,$E$25:$E$267,Parameters!$M$5,Calendrier!$C$25:$C$267,DY19))</f>
        <v/>
      </c>
      <c r="NK19" s="55" t="str">
        <f>IF(DZ19="","",COUNTIFS($D$25:$D$267,Parameters!$K$2,$E$25:$E$267,Parameters!$M$5,Calendrier!$C$25:$C$267,DZ19)+ COUNTIFS($D$25:$D$267,Parameters!$K$3,$E$25:$E$267,Parameters!$M$5,Calendrier!$C$25:$C$267,DZ19))</f>
        <v/>
      </c>
      <c r="NL19" s="55" t="str">
        <f>IF(EA19="","",COUNTIFS($D$25:$D$267,Parameters!$K$2,$E$25:$E$267,Parameters!$M$5,Calendrier!$C$25:$C$267,EA19)+ COUNTIFS($D$25:$D$267,Parameters!$K$4,$E$25:$E$267,Parameters!$M$5,Calendrier!$C$25:$C$267,EA19))</f>
        <v/>
      </c>
      <c r="NM19" s="55" t="str">
        <f>IF(EB19="","",COUNTIFS($D$25:$D$267,Parameters!$K$2,$E$25:$E$267,Parameters!$M$5,Calendrier!$C$25:$C$267,EB19)+ COUNTIFS($D$25:$D$267,Parameters!$K$3,$E$25:$E$267,Parameters!$M$5,Calendrier!$C$25:$C$267,EB19))</f>
        <v/>
      </c>
      <c r="NN19" s="55" t="str">
        <f>IF(EC19="","",COUNTIFS($D$25:$D$267,Parameters!$K$2,$E$25:$E$267,Parameters!$M$5,Calendrier!$C$25:$C$267,EC19)+ COUNTIFS($D$25:$D$267,Parameters!$K$4,$E$25:$E$267,Parameters!$M$5,Calendrier!$C$25:$C$267,EC19))</f>
        <v/>
      </c>
      <c r="NO19" s="55" t="str">
        <f>IF(ED19="","",COUNTIFS($D$25:$D$267,Parameters!$K$2,$E$25:$E$267,Parameters!$M$5,Calendrier!$C$25:$C$267,ED19)+ COUNTIFS($D$25:$D$267,Parameters!$K$3,$E$25:$E$267,Parameters!$M$5,Calendrier!$C$25:$C$267,ED19))</f>
        <v/>
      </c>
      <c r="NP19" s="55" t="str">
        <f>IF(EE19="","",COUNTIFS($D$25:$D$267,Parameters!$K$2,$E$25:$E$267,Parameters!$M$5,Calendrier!$C$25:$C$267,EE19)+ COUNTIFS($D$25:$D$267,Parameters!$K$4,$E$25:$E$267,Parameters!$M$5,Calendrier!$C$25:$C$267,EE19))</f>
        <v/>
      </c>
      <c r="NQ19" s="55">
        <f>IF(EF19="","",COUNTIFS($D$25:$D$267,Parameters!$K$2,$E$25:$E$267,Parameters!$M$5,Calendrier!$C$25:$C$267,EF19)+ COUNTIFS($D$25:$D$267,Parameters!$K$3,$E$25:$E$267,Parameters!$M$5,Calendrier!$C$25:$C$267,EF19))</f>
        <v>0</v>
      </c>
      <c r="NR19" s="55">
        <f>IF(EG19="","",COUNTIFS($D$25:$D$267,Parameters!$K$2,$E$25:$E$267,Parameters!$M$5,Calendrier!$C$25:$C$267,EG19)+ COUNTIFS($D$25:$D$267,Parameters!$K$4,$E$25:$E$267,Parameters!$M$5,Calendrier!$C$25:$C$267,EG19))</f>
        <v>0</v>
      </c>
      <c r="NS19" s="55">
        <f>IF(EH19="","",COUNTIFS($D$25:$D$267,Parameters!$K$2,$E$25:$E$267,Parameters!$M$5,Calendrier!$C$25:$C$267,EH19)+ COUNTIFS($D$25:$D$267,Parameters!$K$3,$E$25:$E$267,Parameters!$M$5,Calendrier!$C$25:$C$267,EH19))</f>
        <v>0</v>
      </c>
      <c r="NT19" s="55">
        <f>IF(EI19="","",COUNTIFS($D$25:$D$267,Parameters!$K$2,$E$25:$E$267,Parameters!$M$5,Calendrier!$C$25:$C$267,EI19)+ COUNTIFS($D$25:$D$267,Parameters!$K$4,$E$25:$E$267,Parameters!$M$5,Calendrier!$C$25:$C$267,EI19))</f>
        <v>0</v>
      </c>
      <c r="NU19" s="55">
        <f>IF(EJ19="","",COUNTIFS($D$25:$D$267,Parameters!$K$2,$E$25:$E$267,Parameters!$M$5,Calendrier!$C$25:$C$267,EJ19)+ COUNTIFS($D$25:$D$267,Parameters!$K$3,$E$25:$E$267,Parameters!$M$5,Calendrier!$C$25:$C$267,EJ19))</f>
        <v>0</v>
      </c>
      <c r="NV19" s="56">
        <f>IF(EK19="","",COUNTIFS($D$25:$D$267,Parameters!$K$2,$E$25:$E$267,Parameters!$M$5,Calendrier!$C$25:$C$267,EK19)+ COUNTIFS($D$25:$D$267,Parameters!$K$4,$E$25:$E$267,Parameters!$M$5,Calendrier!$C$25:$C$267,EK19))</f>
        <v>0</v>
      </c>
      <c r="NY19" s="54">
        <f>IF(EN19="","",COUNTIFS($D$25:$D$267,Parameters!$K$2,$E$25:$E$267,Parameters!$M$5,Calendrier!$C$25:$C$267,EN19)+ COUNTIFS($D$25:$D$267,Parameters!$K$3,$E$25:$E$267,Parameters!$M$5,Calendrier!$C$25:$C$267,EN19))</f>
        <v>0</v>
      </c>
      <c r="NZ19" s="55">
        <f>IF(EO19="","",COUNTIFS($D$25:$D$267,Parameters!$K$2,$E$25:$E$267,Parameters!$M$5,Calendrier!$C$25:$C$267,EO19)+ COUNTIFS($D$25:$D$267,Parameters!$K$4,$E$25:$E$267,Parameters!$M$5,Calendrier!$C$25:$C$267,EO19))</f>
        <v>0</v>
      </c>
      <c r="OA19" s="55">
        <f>IF(EP19="","",COUNTIFS($D$25:$D$267,Parameters!$K$2,$E$25:$E$267,Parameters!$M$5,Calendrier!$C$25:$C$267,EP19)+ COUNTIFS($D$25:$D$267,Parameters!$K$3,$E$25:$E$267,Parameters!$M$5,Calendrier!$C$25:$C$267,EP19))</f>
        <v>0</v>
      </c>
      <c r="OB19" s="55">
        <f>IF(EQ19="","",COUNTIFS($D$25:$D$267,Parameters!$K$2,$E$25:$E$267,Parameters!$M$5,Calendrier!$C$25:$C$267,EQ19)+ COUNTIFS($D$25:$D$267,Parameters!$K$4,$E$25:$E$267,Parameters!$M$5,Calendrier!$C$25:$C$267,EQ19))</f>
        <v>0</v>
      </c>
      <c r="OC19" s="55">
        <f>IF(ER19="","",COUNTIFS($D$25:$D$267,Parameters!$K$2,$E$25:$E$267,Parameters!$M$5,Calendrier!$C$25:$C$267,ER19)+ COUNTIFS($D$25:$D$267,Parameters!$K$3,$E$25:$E$267,Parameters!$M$5,Calendrier!$C$25:$C$267,ER19))</f>
        <v>0</v>
      </c>
      <c r="OD19" s="55">
        <f>IF(ES19="","",COUNTIFS($D$25:$D$267,Parameters!$K$2,$E$25:$E$267,Parameters!$M$5,Calendrier!$C$25:$C$267,ES19)+ COUNTIFS($D$25:$D$267,Parameters!$K$4,$E$25:$E$267,Parameters!$M$5,Calendrier!$C$25:$C$267,ES19))</f>
        <v>0</v>
      </c>
      <c r="OE19" s="55">
        <f>IF(ET19="","",COUNTIFS($D$25:$D$267,Parameters!$K$2,$E$25:$E$267,Parameters!$M$5,Calendrier!$C$25:$C$267,ET19)+ COUNTIFS($D$25:$D$267,Parameters!$K$3,$E$25:$E$267,Parameters!$M$5,Calendrier!$C$25:$C$267,ET19))</f>
        <v>0</v>
      </c>
      <c r="OF19" s="55">
        <f>IF(EU19="","",COUNTIFS($D$25:$D$267,Parameters!$K$2,$E$25:$E$267,Parameters!$M$5,Calendrier!$C$25:$C$267,EU19)+ COUNTIFS($D$25:$D$267,Parameters!$K$4,$E$25:$E$267,Parameters!$M$5,Calendrier!$C$25:$C$267,EU19))</f>
        <v>0</v>
      </c>
      <c r="OG19" s="55">
        <f>IF(EV19="","",COUNTIFS($D$25:$D$267,Parameters!$K$2,$E$25:$E$267,Parameters!$M$5,Calendrier!$C$25:$C$267,EV19)+ COUNTIFS($D$25:$D$267,Parameters!$K$3,$E$25:$E$267,Parameters!$M$5,Calendrier!$C$25:$C$267,EV19))</f>
        <v>0</v>
      </c>
      <c r="OH19" s="55">
        <f>IF(EW19="","",COUNTIFS($D$25:$D$267,Parameters!$K$2,$E$25:$E$267,Parameters!$M$5,Calendrier!$C$25:$C$267,EW19)+ COUNTIFS($D$25:$D$267,Parameters!$K$4,$E$25:$E$267,Parameters!$M$5,Calendrier!$C$25:$C$267,EW19))</f>
        <v>0</v>
      </c>
      <c r="OI19" s="55">
        <f>IF(EX19="","",COUNTIFS($D$25:$D$267,Parameters!$K$2,$E$25:$E$267,Parameters!$M$5,Calendrier!$C$25:$C$267,EX19)+ COUNTIFS($D$25:$D$267,Parameters!$K$3,$E$25:$E$267,Parameters!$M$5,Calendrier!$C$25:$C$267,EX19))</f>
        <v>0</v>
      </c>
      <c r="OJ19" s="55">
        <f>IF(EY19="","",COUNTIFS($D$25:$D$267,Parameters!$K$2,$E$25:$E$267,Parameters!$M$5,Calendrier!$C$25:$C$267,EY19)+ COUNTIFS($D$25:$D$267,Parameters!$K$4,$E$25:$E$267,Parameters!$M$5,Calendrier!$C$25:$C$267,EY19))</f>
        <v>0</v>
      </c>
      <c r="OK19" s="55">
        <f>IF(EZ19="","",COUNTIFS($D$25:$D$267,Parameters!$K$2,$E$25:$E$267,Parameters!$M$5,Calendrier!$C$25:$C$267,EZ19)+ COUNTIFS($D$25:$D$267,Parameters!$K$3,$E$25:$E$267,Parameters!$M$5,Calendrier!$C$25:$C$267,EZ19))</f>
        <v>0</v>
      </c>
      <c r="OL19" s="56">
        <f>IF(FA19="","",COUNTIFS($D$25:$D$267,Parameters!$K$2,$E$25:$E$267,Parameters!$M$5,Calendrier!$C$25:$C$267,FA19)+ COUNTIFS($D$25:$D$267,Parameters!$K$4,$E$25:$E$267,Parameters!$M$5,Calendrier!$C$25:$C$267,FA19))</f>
        <v>0</v>
      </c>
      <c r="OP19" s="54" t="str">
        <f>IF(DH19="","",COUNTIFS(Parameters!$Y:$Y,$BF$4,Parameters!$X:$X,DH19))</f>
        <v/>
      </c>
      <c r="OQ19" s="55" t="str">
        <f>IF(DI19="","",COUNTIFS(Parameters!$Y:$Y,$BF$4,Parameters!$X:$X,DI19))</f>
        <v/>
      </c>
      <c r="OR19" s="55" t="str">
        <f>IF(DJ19="","",COUNTIFS(Parameters!$Y:$Y,$BF$4,Parameters!$X:$X,DJ19))</f>
        <v/>
      </c>
      <c r="OS19" s="55" t="str">
        <f>IF(DK19="","",COUNTIFS(Parameters!$Y:$Y,$BF$4,Parameters!$X:$X,DK19))</f>
        <v/>
      </c>
      <c r="OT19" s="55">
        <f>IF(DL19="","",COUNTIFS(Parameters!$Y:$Y,$BF$4,Parameters!$X:$X,DL19))</f>
        <v>0</v>
      </c>
      <c r="OU19" s="55">
        <f>IF(DM19="","",COUNTIFS(Parameters!$Y:$Y,$BF$4,Parameters!$X:$X,DM19))</f>
        <v>0</v>
      </c>
      <c r="OV19" s="55">
        <f>IF(DN19="","",COUNTIFS(Parameters!$Y:$Y,$BF$4,Parameters!$X:$X,DN19))</f>
        <v>0</v>
      </c>
      <c r="OW19" s="55">
        <f>IF(DO19="","",COUNTIFS(Parameters!$Y:$Y,$BF$4,Parameters!$X:$X,DO19))</f>
        <v>0</v>
      </c>
      <c r="OX19" s="55">
        <f>IF(DP19="","",COUNTIFS(Parameters!$Y:$Y,$BF$4,Parameters!$X:$X,DP19))</f>
        <v>1</v>
      </c>
      <c r="OY19" s="55">
        <f>IF(DQ19="","",COUNTIFS(Parameters!$Y:$Y,$BF$4,Parameters!$X:$X,DQ19))</f>
        <v>1</v>
      </c>
      <c r="OZ19" s="55">
        <f>IF(DR19="","",COUNTIFS(Parameters!$Y:$Y,$BF$4,Parameters!$X:$X,DR19))</f>
        <v>1</v>
      </c>
      <c r="PA19" s="55">
        <f>IF(DS19="","",COUNTIFS(Parameters!$Y:$Y,$BF$4,Parameters!$X:$X,DS19))</f>
        <v>1</v>
      </c>
      <c r="PB19" s="55">
        <f>IF(DT19="","",COUNTIFS(Parameters!$Y:$Y,$BF$4,Parameters!$X:$X,DT19))</f>
        <v>1</v>
      </c>
      <c r="PC19" s="56">
        <f>IF(DU19="","",COUNTIFS(Parameters!$Y:$Y,$BF$4,Parameters!$X:$X,DU19))</f>
        <v>1</v>
      </c>
      <c r="PF19" s="54" t="str">
        <f>IF(DX19="","",COUNTIFS(Parameters!$Y:$Y,$BF$4,Parameters!$X:$X,DX19))</f>
        <v/>
      </c>
      <c r="PG19" s="55" t="str">
        <f>IF(DY19="","",COUNTIFS(Parameters!$Y:$Y,$BF$4,Parameters!$X:$X,DY19))</f>
        <v/>
      </c>
      <c r="PH19" s="55" t="str">
        <f>IF(DZ19="","",COUNTIFS(Parameters!$Y:$Y,$BF$4,Parameters!$X:$X,DZ19))</f>
        <v/>
      </c>
      <c r="PI19" s="55" t="str">
        <f>IF(EA19="","",COUNTIFS(Parameters!$Y:$Y,$BF$4,Parameters!$X:$X,EA19))</f>
        <v/>
      </c>
      <c r="PJ19" s="55" t="str">
        <f>IF(EB19="","",COUNTIFS(Parameters!$Y:$Y,$BF$4,Parameters!$X:$X,EB19))</f>
        <v/>
      </c>
      <c r="PK19" s="55" t="str">
        <f>IF(EC19="","",COUNTIFS(Parameters!$Y:$Y,$BF$4,Parameters!$X:$X,EC19))</f>
        <v/>
      </c>
      <c r="PL19" s="55" t="str">
        <f>IF(ED19="","",COUNTIFS(Parameters!$Y:$Y,$BF$4,Parameters!$X:$X,ED19))</f>
        <v/>
      </c>
      <c r="PM19" s="55" t="str">
        <f>IF(EE19="","",COUNTIFS(Parameters!$Y:$Y,$BF$4,Parameters!$X:$X,EE19))</f>
        <v/>
      </c>
      <c r="PN19" s="55">
        <f>IF(EF19="","",COUNTIFS(Parameters!$Y:$Y,$BF$4,Parameters!$X:$X,EF19))</f>
        <v>1</v>
      </c>
      <c r="PO19" s="55">
        <f>IF(EG19="","",COUNTIFS(Parameters!$Y:$Y,$BF$4,Parameters!$X:$X,EG19))</f>
        <v>1</v>
      </c>
      <c r="PP19" s="55">
        <f>IF(EH19="","",COUNTIFS(Parameters!$Y:$Y,$BF$4,Parameters!$X:$X,EH19))</f>
        <v>0</v>
      </c>
      <c r="PQ19" s="55">
        <f>IF(EI19="","",COUNTIFS(Parameters!$Y:$Y,$BF$4,Parameters!$X:$X,EI19))</f>
        <v>0</v>
      </c>
      <c r="PR19" s="55">
        <f>IF(EJ19="","",COUNTIFS(Parameters!$Y:$Y,$BF$4,Parameters!$X:$X,EJ19))</f>
        <v>0</v>
      </c>
      <c r="PS19" s="56">
        <f>IF(EK19="","",COUNTIFS(Parameters!$Y:$Y,$BF$4,Parameters!$X:$X,EK19))</f>
        <v>0</v>
      </c>
      <c r="PV19" s="54">
        <f>IF(EN19="","",COUNTIFS(Parameters!$Y:$Y,$BF$4,Parameters!$X:$X,EN19))</f>
        <v>0</v>
      </c>
      <c r="PW19" s="55">
        <f>IF(EO19="","",COUNTIFS(Parameters!$Y:$Y,$BF$4,Parameters!$X:$X,EO19))</f>
        <v>0</v>
      </c>
      <c r="PX19" s="55">
        <f>IF(EP19="","",COUNTIFS(Parameters!$Y:$Y,$BF$4,Parameters!$X:$X,EP19))</f>
        <v>0</v>
      </c>
      <c r="PY19" s="55">
        <f>IF(EQ19="","",COUNTIFS(Parameters!$Y:$Y,$BF$4,Parameters!$X:$X,EQ19))</f>
        <v>0</v>
      </c>
      <c r="PZ19" s="55">
        <f>IF(ER19="","",COUNTIFS(Parameters!$Y:$Y,$BF$4,Parameters!$X:$X,ER19))</f>
        <v>0</v>
      </c>
      <c r="QA19" s="55">
        <f>IF(ES19="","",COUNTIFS(Parameters!$Y:$Y,$BF$4,Parameters!$X:$X,ES19))</f>
        <v>0</v>
      </c>
      <c r="QB19" s="55">
        <f>IF(ET19="","",COUNTIFS(Parameters!$Y:$Y,$BF$4,Parameters!$X:$X,ET19))</f>
        <v>0</v>
      </c>
      <c r="QC19" s="55">
        <f>IF(EU19="","",COUNTIFS(Parameters!$Y:$Y,$BF$4,Parameters!$X:$X,EU19))</f>
        <v>0</v>
      </c>
      <c r="QD19" s="55">
        <f>IF(EV19="","",COUNTIFS(Parameters!$Y:$Y,$BF$4,Parameters!$X:$X,EV19))</f>
        <v>0</v>
      </c>
      <c r="QE19" s="55">
        <f>IF(EW19="","",COUNTIFS(Parameters!$Y:$Y,$BF$4,Parameters!$X:$X,EW19))</f>
        <v>0</v>
      </c>
      <c r="QF19" s="55">
        <f>IF(EX19="","",COUNTIFS(Parameters!$Y:$Y,$BF$4,Parameters!$X:$X,EX19))</f>
        <v>0</v>
      </c>
      <c r="QG19" s="55">
        <f>IF(EY19="","",COUNTIFS(Parameters!$Y:$Y,$BF$4,Parameters!$X:$X,EY19))</f>
        <v>0</v>
      </c>
      <c r="QH19" s="55">
        <f>IF(EZ19="","",COUNTIFS(Parameters!$Y:$Y,$BF$4,Parameters!$X:$X,EZ19))</f>
        <v>0</v>
      </c>
      <c r="QI19" s="56">
        <f>IF(FA19="","",COUNTIFS(Parameters!$Y:$Y,$BF$4,Parameters!$X:$X,FA19))</f>
        <v>0</v>
      </c>
      <c r="QN19" s="54" t="str">
        <f>IF(DH19="","",COUNTIFS($D$25:$D$267,Parameters!$K$2,$E$25:$E$267,Parameters!$M$6,Calendrier!$C$25:$C$267,DH19)+ COUNTIFS($D$25:$D$267,Parameters!$K$3,$E$25:$E$267,Parameters!$M$6,Calendrier!$C$25:$C$267,DH19))</f>
        <v/>
      </c>
      <c r="QO19" s="55" t="str">
        <f>IF(DI19="","",COUNTIFS($D$25:$D$267,Parameters!$K$2,$E$25:$E$267,Parameters!$M$6,Calendrier!$C$25:$C$267,DI19)+ COUNTIFS($D$25:$D$267,Parameters!$K$4,$E$25:$E$267,Parameters!$M$6,Calendrier!$C$25:$C$267,DI19))</f>
        <v/>
      </c>
      <c r="QP19" s="55" t="str">
        <f>IF(DJ19="","",COUNTIFS($D$25:$D$267,Parameters!$K$2,$E$25:$E$267,Parameters!$M$6,Calendrier!$C$25:$C$267,DJ19)+ COUNTIFS($D$25:$D$267,Parameters!$K$3,$E$25:$E$267,Parameters!$M$6,Calendrier!$C$25:$C$267,DJ19))</f>
        <v/>
      </c>
      <c r="QQ19" s="55" t="str">
        <f>IF(DK19="","",COUNTIFS($D$25:$D$267,Parameters!$K$2,$E$25:$E$267,Parameters!$M$6,Calendrier!$C$25:$C$267,DK19)+ COUNTIFS($D$25:$D$267,Parameters!$K$4,$E$25:$E$267,Parameters!$M$6,Calendrier!$C$25:$C$267,DK19))</f>
        <v/>
      </c>
      <c r="QR19" s="55">
        <f>IF(DL19="","",COUNTIFS($D$25:$D$267,Parameters!$K$2,$E$25:$E$267,Parameters!$M$6,Calendrier!$C$25:$C$267,DL19)+ COUNTIFS($D$25:$D$267,Parameters!$K$3,$E$25:$E$267,Parameters!$M$6,Calendrier!$C$25:$C$267,DL19))</f>
        <v>0</v>
      </c>
      <c r="QS19" s="55">
        <f>IF(DM19="","",COUNTIFS($D$25:$D$267,Parameters!$K$2,$E$25:$E$267,Parameters!$M$6,Calendrier!$C$25:$C$267,DM19)+ COUNTIFS($D$25:$D$267,Parameters!$K$4,$E$25:$E$267,Parameters!$M$6,Calendrier!$C$25:$C$267,DM19))</f>
        <v>0</v>
      </c>
      <c r="QT19" s="55">
        <f>IF(DN19="","",COUNTIFS($D$25:$D$267,Parameters!$K$2,$E$25:$E$267,Parameters!$M$6,Calendrier!$C$25:$C$267,DN19)+ COUNTIFS($D$25:$D$267,Parameters!$K$3,$E$25:$E$267,Parameters!$M$6,Calendrier!$C$25:$C$267,DN19))</f>
        <v>0</v>
      </c>
      <c r="QU19" s="55">
        <f>IF(DO19="","",COUNTIFS($D$25:$D$267,Parameters!$K$2,$E$25:$E$267,Parameters!$M$6,Calendrier!$C$25:$C$267,DO19)+ COUNTIFS($D$25:$D$267,Parameters!$K$4,$E$25:$E$267,Parameters!$M$6,Calendrier!$C$25:$C$267,DO19))</f>
        <v>0</v>
      </c>
      <c r="QV19" s="55">
        <f>IF(DP19="","",COUNTIFS($D$25:$D$267,Parameters!$K$2,$E$25:$E$267,Parameters!$M$6,Calendrier!$C$25:$C$267,DP19)+ COUNTIFS($D$25:$D$267,Parameters!$K$3,$E$25:$E$267,Parameters!$M$6,Calendrier!$C$25:$C$267,DP19))</f>
        <v>0</v>
      </c>
      <c r="QW19" s="55">
        <f>IF(DQ19="","",COUNTIFS($D$25:$D$267,Parameters!$K$2,$E$25:$E$267,Parameters!$M$6,Calendrier!$C$25:$C$267,DQ19)+ COUNTIFS($D$25:$D$267,Parameters!$K$4,$E$25:$E$267,Parameters!$M$6,Calendrier!$C$25:$C$267,DQ19))</f>
        <v>0</v>
      </c>
      <c r="QX19" s="55">
        <f>IF(DR19="","",COUNTIFS($D$25:$D$267,Parameters!$K$2,$E$25:$E$267,Parameters!$M$6,Calendrier!$C$25:$C$267,DR19)+ COUNTIFS($D$25:$D$267,Parameters!$K$3,$E$25:$E$267,Parameters!$M$6,Calendrier!$C$25:$C$267,DR19))</f>
        <v>0</v>
      </c>
      <c r="QY19" s="55">
        <f>IF(DS19="","",COUNTIFS($D$25:$D$267,Parameters!$K$2,$E$25:$E$267,Parameters!$M$6,Calendrier!$C$25:$C$267,DS19)+ COUNTIFS($D$25:$D$267,Parameters!$K$4,$E$25:$E$267,Parameters!$M$6,Calendrier!$C$25:$C$267,DS19))</f>
        <v>0</v>
      </c>
      <c r="QZ19" s="55">
        <f>IF(DT19="","",COUNTIFS($D$25:$D$267,Parameters!$K$2,$E$25:$E$267,Parameters!$M$6,Calendrier!$C$25:$C$267,DT19)+ COUNTIFS($D$25:$D$267,Parameters!$K$3,$E$25:$E$267,Parameters!$M$6,Calendrier!$C$25:$C$267,DT19))</f>
        <v>0</v>
      </c>
      <c r="RA19" s="56">
        <f>IF(DU19="","",COUNTIFS($D$25:$D$267,Parameters!$K$2,$E$25:$E$267,Parameters!$M$6,Calendrier!$C$25:$C$267,DU19)+ COUNTIFS($D$25:$D$267,Parameters!$K$4,$E$25:$E$267,Parameters!$M$6,Calendrier!$C$25:$C$267,DU19))</f>
        <v>0</v>
      </c>
      <c r="RD19" s="54" t="str">
        <f>IF(DX19="","",COUNTIFS($D$25:$D$267,Parameters!$K$2,$E$25:$E$267,Parameters!$M$6,Calendrier!$C$25:$C$267,DX19)+ COUNTIFS($D$25:$D$267,Parameters!$K$3,$E$25:$E$267,Parameters!$M$6,Calendrier!$C$25:$C$267,DX19))</f>
        <v/>
      </c>
      <c r="RE19" s="55" t="str">
        <f>IF(DY19="","",COUNTIFS($D$25:$D$267,Parameters!$K$2,$E$25:$E$267,Parameters!$M$6,Calendrier!$C$25:$C$267,DY19)+ COUNTIFS($D$25:$D$267,Parameters!$K$4,$E$25:$E$267,Parameters!$M$6,Calendrier!$C$25:$C$267,DY19))</f>
        <v/>
      </c>
      <c r="RF19" s="55" t="str">
        <f>IF(DZ19="","",COUNTIFS($D$25:$D$267,Parameters!$K$2,$E$25:$E$267,Parameters!$M$6,Calendrier!$C$25:$C$267,DZ19)+ COUNTIFS($D$25:$D$267,Parameters!$K$3,$E$25:$E$267,Parameters!$M$6,Calendrier!$C$25:$C$267,DZ19))</f>
        <v/>
      </c>
      <c r="RG19" s="55" t="str">
        <f>IF(EA19="","",COUNTIFS($D$25:$D$267,Parameters!$K$2,$E$25:$E$267,Parameters!$M$6,Calendrier!$C$25:$C$267,EA19)+ COUNTIFS($D$25:$D$267,Parameters!$K$4,$E$25:$E$267,Parameters!$M$6,Calendrier!$C$25:$C$267,EA19))</f>
        <v/>
      </c>
      <c r="RH19" s="55" t="str">
        <f>IF(EB19="","",COUNTIFS($D$25:$D$267,Parameters!$K$2,$E$25:$E$267,Parameters!$M$6,Calendrier!$C$25:$C$267,EB19)+ COUNTIFS($D$25:$D$267,Parameters!$K$3,$E$25:$E$267,Parameters!$M$6,Calendrier!$C$25:$C$267,EB19))</f>
        <v/>
      </c>
      <c r="RI19" s="55" t="str">
        <f>IF(EC19="","",COUNTIFS($D$25:$D$267,Parameters!$K$2,$E$25:$E$267,Parameters!$M$6,Calendrier!$C$25:$C$267,EC19)+ COUNTIFS($D$25:$D$267,Parameters!$K$4,$E$25:$E$267,Parameters!$M$6,Calendrier!$C$25:$C$267,EC19))</f>
        <v/>
      </c>
      <c r="RJ19" s="55" t="str">
        <f>IF(ED19="","",COUNTIFS($D$25:$D$267,Parameters!$K$2,$E$25:$E$267,Parameters!$M$6,Calendrier!$C$25:$C$267,ED19)+ COUNTIFS($D$25:$D$267,Parameters!$K$3,$E$25:$E$267,Parameters!$M$6,Calendrier!$C$25:$C$267,ED19))</f>
        <v/>
      </c>
      <c r="RK19" s="55" t="str">
        <f>IF(EE19="","",COUNTIFS($D$25:$D$267,Parameters!$K$2,$E$25:$E$267,Parameters!$M$6,Calendrier!$C$25:$C$267,EE19)+ COUNTIFS($D$25:$D$267,Parameters!$K$4,$E$25:$E$267,Parameters!$M$6,Calendrier!$C$25:$C$267,EE19))</f>
        <v/>
      </c>
      <c r="RL19" s="55">
        <f>IF(EF19="","",COUNTIFS($D$25:$D$267,Parameters!$K$2,$E$25:$E$267,Parameters!$M$6,Calendrier!$C$25:$C$267,EF19)+ COUNTIFS($D$25:$D$267,Parameters!$K$3,$E$25:$E$267,Parameters!$M$6,Calendrier!$C$25:$C$267,EF19))</f>
        <v>0</v>
      </c>
      <c r="RM19" s="55">
        <f>IF(EG19="","",COUNTIFS($D$25:$D$267,Parameters!$K$2,$E$25:$E$267,Parameters!$M$6,Calendrier!$C$25:$C$267,EG19)+ COUNTIFS($D$25:$D$267,Parameters!$K$4,$E$25:$E$267,Parameters!$M$6,Calendrier!$C$25:$C$267,EG19))</f>
        <v>0</v>
      </c>
      <c r="RN19" s="55">
        <f>IF(EH19="","",COUNTIFS($D$25:$D$267,Parameters!$K$2,$E$25:$E$267,Parameters!$M$6,Calendrier!$C$25:$C$267,EH19)+ COUNTIFS($D$25:$D$267,Parameters!$K$3,$E$25:$E$267,Parameters!$M$6,Calendrier!$C$25:$C$267,EH19))</f>
        <v>0</v>
      </c>
      <c r="RO19" s="55">
        <f>IF(EI19="","",COUNTIFS($D$25:$D$267,Parameters!$K$2,$E$25:$E$267,Parameters!$M$6,Calendrier!$C$25:$C$267,EI19)+ COUNTIFS($D$25:$D$267,Parameters!$K$4,$E$25:$E$267,Parameters!$M$6,Calendrier!$C$25:$C$267,EI19))</f>
        <v>0</v>
      </c>
      <c r="RP19" s="55">
        <f>IF(EJ19="","",COUNTIFS($D$25:$D$267,Parameters!$K$2,$E$25:$E$267,Parameters!$M$6,Calendrier!$C$25:$C$267,EJ19)+ COUNTIFS($D$25:$D$267,Parameters!$K$3,$E$25:$E$267,Parameters!$M$6,Calendrier!$C$25:$C$267,EJ19))</f>
        <v>0</v>
      </c>
      <c r="RQ19" s="56">
        <f>IF(EK19="","",COUNTIFS($D$25:$D$267,Parameters!$K$2,$E$25:$E$267,Parameters!$M$6,Calendrier!$C$25:$C$267,EK19)+ COUNTIFS($D$25:$D$267,Parameters!$K$4,$E$25:$E$267,Parameters!$M$6,Calendrier!$C$25:$C$267,EK19))</f>
        <v>0</v>
      </c>
      <c r="RT19" s="54">
        <f>IF(EN19="","",COUNTIFS($D$25:$D$267,Parameters!$K$2,$E$25:$E$267,Parameters!$M$6,Calendrier!$C$25:$C$267,EN19)+ COUNTIFS($D$25:$D$267,Parameters!$K$3,$E$25:$E$267,Parameters!$M$6,Calendrier!$C$25:$C$267,EN19))</f>
        <v>0</v>
      </c>
      <c r="RU19" s="55">
        <f>IF(EO19="","",COUNTIFS($D$25:$D$267,Parameters!$K$2,$E$25:$E$267,Parameters!$M$6,Calendrier!$C$25:$C$267,EO19)+ COUNTIFS($D$25:$D$267,Parameters!$K$4,$E$25:$E$267,Parameters!$M$6,Calendrier!$C$25:$C$267,EO19))</f>
        <v>0</v>
      </c>
      <c r="RV19" s="55">
        <f>IF(EP19="","",COUNTIFS($D$25:$D$267,Parameters!$K$2,$E$25:$E$267,Parameters!$M$6,Calendrier!$C$25:$C$267,EP19)+ COUNTIFS($D$25:$D$267,Parameters!$K$3,$E$25:$E$267,Parameters!$M$6,Calendrier!$C$25:$C$267,EP19))</f>
        <v>0</v>
      </c>
      <c r="RW19" s="55">
        <f>IF(EQ19="","",COUNTIFS($D$25:$D$267,Parameters!$K$2,$E$25:$E$267,Parameters!$M$6,Calendrier!$C$25:$C$267,EQ19)+ COUNTIFS($D$25:$D$267,Parameters!$K$4,$E$25:$E$267,Parameters!$M$6,Calendrier!$C$25:$C$267,EQ19))</f>
        <v>0</v>
      </c>
      <c r="RX19" s="55">
        <f>IF(ER19="","",COUNTIFS($D$25:$D$267,Parameters!$K$2,$E$25:$E$267,Parameters!$M$6,Calendrier!$C$25:$C$267,ER19)+ COUNTIFS($D$25:$D$267,Parameters!$K$3,$E$25:$E$267,Parameters!$M$6,Calendrier!$C$25:$C$267,ER19))</f>
        <v>0</v>
      </c>
      <c r="RY19" s="55">
        <f>IF(ES19="","",COUNTIFS($D$25:$D$267,Parameters!$K$2,$E$25:$E$267,Parameters!$M$6,Calendrier!$C$25:$C$267,ES19)+ COUNTIFS($D$25:$D$267,Parameters!$K$4,$E$25:$E$267,Parameters!$M$6,Calendrier!$C$25:$C$267,ES19))</f>
        <v>0</v>
      </c>
      <c r="RZ19" s="55">
        <f>IF(ET19="","",COUNTIFS($D$25:$D$267,Parameters!$K$2,$E$25:$E$267,Parameters!$M$6,Calendrier!$C$25:$C$267,ET19)+ COUNTIFS($D$25:$D$267,Parameters!$K$3,$E$25:$E$267,Parameters!$M$6,Calendrier!$C$25:$C$267,ET19))</f>
        <v>0</v>
      </c>
      <c r="SA19" s="55">
        <f>IF(EU19="","",COUNTIFS($D$25:$D$267,Parameters!$K$2,$E$25:$E$267,Parameters!$M$6,Calendrier!$C$25:$C$267,EU19)+ COUNTIFS($D$25:$D$267,Parameters!$K$4,$E$25:$E$267,Parameters!$M$6,Calendrier!$C$25:$C$267,EU19))</f>
        <v>0</v>
      </c>
      <c r="SB19" s="55">
        <f>IF(EV19="","",COUNTIFS($D$25:$D$267,Parameters!$K$2,$E$25:$E$267,Parameters!$M$6,Calendrier!$C$25:$C$267,EV19)+ COUNTIFS($D$25:$D$267,Parameters!$K$3,$E$25:$E$267,Parameters!$M$6,Calendrier!$C$25:$C$267,EV19))</f>
        <v>0</v>
      </c>
      <c r="SC19" s="55">
        <f>IF(EW19="","",COUNTIFS($D$25:$D$267,Parameters!$K$2,$E$25:$E$267,Parameters!$M$6,Calendrier!$C$25:$C$267,EW19)+ COUNTIFS($D$25:$D$267,Parameters!$K$4,$E$25:$E$267,Parameters!$M$6,Calendrier!$C$25:$C$267,EW19))</f>
        <v>0</v>
      </c>
      <c r="SD19" s="55">
        <f>IF(EX19="","",COUNTIFS($D$25:$D$267,Parameters!$K$2,$E$25:$E$267,Parameters!$M$6,Calendrier!$C$25:$C$267,EX19)+ COUNTIFS($D$25:$D$267,Parameters!$K$3,$E$25:$E$267,Parameters!$M$6,Calendrier!$C$25:$C$267,EX19))</f>
        <v>0</v>
      </c>
      <c r="SE19" s="55">
        <f>IF(EY19="","",COUNTIFS($D$25:$D$267,Parameters!$K$2,$E$25:$E$267,Parameters!$M$6,Calendrier!$C$25:$C$267,EY19)+ COUNTIFS($D$25:$D$267,Parameters!$K$4,$E$25:$E$267,Parameters!$M$6,Calendrier!$C$25:$C$267,EY19))</f>
        <v>0</v>
      </c>
      <c r="SF19" s="55">
        <f>IF(EZ19="","",COUNTIFS($D$25:$D$267,Parameters!$K$2,$E$25:$E$267,Parameters!$M$6,Calendrier!$C$25:$C$267,EZ19)+ COUNTIFS($D$25:$D$267,Parameters!$K$3,$E$25:$E$267,Parameters!$M$6,Calendrier!$C$25:$C$267,EZ19))</f>
        <v>0</v>
      </c>
      <c r="SG19" s="56">
        <f>IF(FA19="","",COUNTIFS($D$25:$D$267,Parameters!$K$2,$E$25:$E$267,Parameters!$M$6,Calendrier!$C$25:$C$267,FA19)+ COUNTIFS($D$25:$D$267,Parameters!$K$4,$E$25:$E$267,Parameters!$M$6,Calendrier!$C$25:$C$267,FA19))</f>
        <v>0</v>
      </c>
      <c r="SL19" s="54" t="str">
        <f>IF(DH19="","",COUNTIFS($D$25:$D$267,Parameters!$K$2,$E$25:$E$267,Parameters!$M$7,Calendrier!$C$25:$C$267,DH19)+ COUNTIFS($D$25:$D$267,Parameters!$K$3,$E$25:$E$267,Parameters!$M$7,Calendrier!$C$25:$C$267,DH19))</f>
        <v/>
      </c>
      <c r="SM19" s="55" t="str">
        <f>IF(DI19="","",COUNTIFS($D$25:$D$267,Parameters!$K$2,$E$25:$E$267,Parameters!$M$7,Calendrier!$C$25:$C$267,DI19)+ COUNTIFS($D$25:$D$267,Parameters!$K$4,$E$25:$E$267,Parameters!$M$7,Calendrier!$C$25:$C$267,DI19))</f>
        <v/>
      </c>
      <c r="SN19" s="55" t="str">
        <f>IF(DJ19="","",COUNTIFS($D$25:$D$267,Parameters!$K$2,$E$25:$E$267,Parameters!$M$7,Calendrier!$C$25:$C$267,DJ19)+ COUNTIFS($D$25:$D$267,Parameters!$K$3,$E$25:$E$267,Parameters!$M$7,Calendrier!$C$25:$C$267,DJ19))</f>
        <v/>
      </c>
      <c r="SO19" s="55" t="str">
        <f>IF(DK19="","",COUNTIFS($D$25:$D$267,Parameters!$K$2,$E$25:$E$267,Parameters!$M$7,Calendrier!$C$25:$C$267,DK19)+ COUNTIFS($D$25:$D$267,Parameters!$K$4,$E$25:$E$267,Parameters!$M$7,Calendrier!$C$25:$C$267,DK19))</f>
        <v/>
      </c>
      <c r="SP19" s="55">
        <f>IF(DL19="","",COUNTIFS($D$25:$D$267,Parameters!$K$2,$E$25:$E$267,Parameters!$M$7,Calendrier!$C$25:$C$267,DL19)+ COUNTIFS($D$25:$D$267,Parameters!$K$3,$E$25:$E$267,Parameters!$M$7,Calendrier!$C$25:$C$267,DL19))</f>
        <v>0</v>
      </c>
      <c r="SQ19" s="55">
        <f>IF(DM19="","",COUNTIFS($D$25:$D$267,Parameters!$K$2,$E$25:$E$267,Parameters!$M$7,Calendrier!$C$25:$C$267,DM19)+ COUNTIFS($D$25:$D$267,Parameters!$K$4,$E$25:$E$267,Parameters!$M$7,Calendrier!$C$25:$C$267,DM19))</f>
        <v>0</v>
      </c>
      <c r="SR19" s="55">
        <f>IF(DN19="","",COUNTIFS($D$25:$D$267,Parameters!$K$2,$E$25:$E$267,Parameters!$M$7,Calendrier!$C$25:$C$267,DN19)+ COUNTIFS($D$25:$D$267,Parameters!$K$3,$E$25:$E$267,Parameters!$M$7,Calendrier!$C$25:$C$267,DN19))</f>
        <v>0</v>
      </c>
      <c r="SS19" s="55">
        <f>IF(DO19="","",COUNTIFS($D$25:$D$267,Parameters!$K$2,$E$25:$E$267,Parameters!$M$7,Calendrier!$C$25:$C$267,DO19)+ COUNTIFS($D$25:$D$267,Parameters!$K$4,$E$25:$E$267,Parameters!$M$7,Calendrier!$C$25:$C$267,DO19))</f>
        <v>0</v>
      </c>
      <c r="ST19" s="55">
        <f>IF(DP19="","",COUNTIFS($D$25:$D$267,Parameters!$K$2,$E$25:$E$267,Parameters!$M$7,Calendrier!$C$25:$C$267,DP19)+ COUNTIFS($D$25:$D$267,Parameters!$K$3,$E$25:$E$267,Parameters!$M$7,Calendrier!$C$25:$C$267,DP19))</f>
        <v>0</v>
      </c>
      <c r="SU19" s="55">
        <f>IF(DQ19="","",COUNTIFS($D$25:$D$267,Parameters!$K$2,$E$25:$E$267,Parameters!$M$7,Calendrier!$C$25:$C$267,DQ19)+ COUNTIFS($D$25:$D$267,Parameters!$K$4,$E$25:$E$267,Parameters!$M$7,Calendrier!$C$25:$C$267,DQ19))</f>
        <v>0</v>
      </c>
      <c r="SV19" s="55">
        <f>IF(DR19="","",COUNTIFS($D$25:$D$267,Parameters!$K$2,$E$25:$E$267,Parameters!$M$7,Calendrier!$C$25:$C$267,DR19)+ COUNTIFS($D$25:$D$267,Parameters!$K$3,$E$25:$E$267,Parameters!$M$7,Calendrier!$C$25:$C$267,DR19))</f>
        <v>0</v>
      </c>
      <c r="SW19" s="55">
        <f>IF(DS19="","",COUNTIFS($D$25:$D$267,Parameters!$K$2,$E$25:$E$267,Parameters!$M$7,Calendrier!$C$25:$C$267,DS19)+ COUNTIFS($D$25:$D$267,Parameters!$K$4,$E$25:$E$267,Parameters!$M$7,Calendrier!$C$25:$C$267,DS19))</f>
        <v>0</v>
      </c>
      <c r="SX19" s="55">
        <f>IF(DT19="","",COUNTIFS($D$25:$D$267,Parameters!$K$2,$E$25:$E$267,Parameters!$M$7,Calendrier!$C$25:$C$267,DT19)+ COUNTIFS($D$25:$D$267,Parameters!$K$3,$E$25:$E$267,Parameters!$M$7,Calendrier!$C$25:$C$267,DT19))</f>
        <v>0</v>
      </c>
      <c r="SY19" s="56">
        <f>IF(DU19="","",COUNTIFS($D$25:$D$267,Parameters!$K$2,$E$25:$E$267,Parameters!$M$7,Calendrier!$C$25:$C$267,DU19)+ COUNTIFS($D$25:$D$267,Parameters!$K$4,$E$25:$E$267,Parameters!$M$7,Calendrier!$C$25:$C$267,DU19))</f>
        <v>0</v>
      </c>
      <c r="TB19" s="54" t="str">
        <f>IF(DX19="","",COUNTIFS($D$25:$D$267,Parameters!$K$2,$E$25:$E$267,Parameters!$M$7,Calendrier!$C$25:$C$267,DX19)+ COUNTIFS($D$25:$D$267,Parameters!$K$3,$E$25:$E$267,Parameters!$M$7,Calendrier!$C$25:$C$267,DX19))</f>
        <v/>
      </c>
      <c r="TC19" s="55" t="str">
        <f>IF(DY19="","",COUNTIFS($D$25:$D$267,Parameters!$K$2,$E$25:$E$267,Parameters!$M$7,Calendrier!$C$25:$C$267,DY19)+ COUNTIFS($D$25:$D$267,Parameters!$K$4,$E$25:$E$267,Parameters!$M$7,Calendrier!$C$25:$C$267,DY19))</f>
        <v/>
      </c>
      <c r="TD19" s="55" t="str">
        <f>IF(DZ19="","",COUNTIFS($D$25:$D$267,Parameters!$K$2,$E$25:$E$267,Parameters!$M$7,Calendrier!$C$25:$C$267,DZ19)+ COUNTIFS($D$25:$D$267,Parameters!$K$3,$E$25:$E$267,Parameters!$M$7,Calendrier!$C$25:$C$267,DZ19))</f>
        <v/>
      </c>
      <c r="TE19" s="55" t="str">
        <f>IF(EA19="","",COUNTIFS($D$25:$D$267,Parameters!$K$2,$E$25:$E$267,Parameters!$M$7,Calendrier!$C$25:$C$267,EA19)+ COUNTIFS($D$25:$D$267,Parameters!$K$4,$E$25:$E$267,Parameters!$M$7,Calendrier!$C$25:$C$267,EA19))</f>
        <v/>
      </c>
      <c r="TF19" s="55" t="str">
        <f>IF(EB19="","",COUNTIFS($D$25:$D$267,Parameters!$K$2,$E$25:$E$267,Parameters!$M$7,Calendrier!$C$25:$C$267,EB19)+ COUNTIFS($D$25:$D$267,Parameters!$K$3,$E$25:$E$267,Parameters!$M$7,Calendrier!$C$25:$C$267,EB19))</f>
        <v/>
      </c>
      <c r="TG19" s="55" t="str">
        <f>IF(EC19="","",COUNTIFS($D$25:$D$267,Parameters!$K$2,$E$25:$E$267,Parameters!$M$7,Calendrier!$C$25:$C$267,EC19)+ COUNTIFS($D$25:$D$267,Parameters!$K$4,$E$25:$E$267,Parameters!$M$7,Calendrier!$C$25:$C$267,EC19))</f>
        <v/>
      </c>
      <c r="TH19" s="55" t="str">
        <f>IF(ED19="","",COUNTIFS($D$25:$D$267,Parameters!$K$2,$E$25:$E$267,Parameters!$M$7,Calendrier!$C$25:$C$267,ED19)+ COUNTIFS($D$25:$D$267,Parameters!$K$3,$E$25:$E$267,Parameters!$M$7,Calendrier!$C$25:$C$267,ED19))</f>
        <v/>
      </c>
      <c r="TI19" s="55" t="str">
        <f>IF(EE19="","",COUNTIFS($D$25:$D$267,Parameters!$K$2,$E$25:$E$267,Parameters!$M$7,Calendrier!$C$25:$C$267,EE19)+ COUNTIFS($D$25:$D$267,Parameters!$K$4,$E$25:$E$267,Parameters!$M$7,Calendrier!$C$25:$C$267,EE19))</f>
        <v/>
      </c>
      <c r="TJ19" s="55">
        <f>IF(EF19="","",COUNTIFS($D$25:$D$267,Parameters!$K$2,$E$25:$E$267,Parameters!$M$7,Calendrier!$C$25:$C$267,EF19)+ COUNTIFS($D$25:$D$267,Parameters!$K$3,$E$25:$E$267,Parameters!$M$7,Calendrier!$C$25:$C$267,EF19))</f>
        <v>0</v>
      </c>
      <c r="TK19" s="55">
        <f>IF(EG19="","",COUNTIFS($D$25:$D$267,Parameters!$K$2,$E$25:$E$267,Parameters!$M$7,Calendrier!$C$25:$C$267,EG19)+ COUNTIFS($D$25:$D$267,Parameters!$K$4,$E$25:$E$267,Parameters!$M$7,Calendrier!$C$25:$C$267,EG19))</f>
        <v>0</v>
      </c>
      <c r="TL19" s="55">
        <f>IF(EH19="","",COUNTIFS($D$25:$D$267,Parameters!$K$2,$E$25:$E$267,Parameters!$M$7,Calendrier!$C$25:$C$267,EH19)+ COUNTIFS($D$25:$D$267,Parameters!$K$3,$E$25:$E$267,Parameters!$M$7,Calendrier!$C$25:$C$267,EH19))</f>
        <v>0</v>
      </c>
      <c r="TM19" s="55">
        <f>IF(EI19="","",COUNTIFS($D$25:$D$267,Parameters!$K$2,$E$25:$E$267,Parameters!$M$7,Calendrier!$C$25:$C$267,EI19)+ COUNTIFS($D$25:$D$267,Parameters!$K$4,$E$25:$E$267,Parameters!$M$7,Calendrier!$C$25:$C$267,EI19))</f>
        <v>0</v>
      </c>
      <c r="TN19" s="55">
        <f>IF(EJ19="","",COUNTIFS($D$25:$D$267,Parameters!$K$2,$E$25:$E$267,Parameters!$M$7,Calendrier!$C$25:$C$267,EJ19)+ COUNTIFS($D$25:$D$267,Parameters!$K$3,$E$25:$E$267,Parameters!$M$7,Calendrier!$C$25:$C$267,EJ19))</f>
        <v>0</v>
      </c>
      <c r="TO19" s="56">
        <f>IF(EK19="","",COUNTIFS($D$25:$D$267,Parameters!$K$2,$E$25:$E$267,Parameters!$M$7,Calendrier!$C$25:$C$267,EK19)+ COUNTIFS($D$25:$D$267,Parameters!$K$4,$E$25:$E$267,Parameters!$M$7,Calendrier!$C$25:$C$267,EK19))</f>
        <v>0</v>
      </c>
      <c r="TR19" s="54">
        <f>IF(EN19="","",COUNTIFS($D$25:$D$267,Parameters!$K$2,$E$25:$E$267,Parameters!$M$7,Calendrier!$C$25:$C$267,EN19)+ COUNTIFS($D$25:$D$267,Parameters!$K$3,$E$25:$E$267,Parameters!$M$7,Calendrier!$C$25:$C$267,EN19))</f>
        <v>0</v>
      </c>
      <c r="TS19" s="55">
        <f>IF(EO19="","",COUNTIFS($D$25:$D$267,Parameters!$K$2,$E$25:$E$267,Parameters!$M$7,Calendrier!$C$25:$C$267,EO19)+ COUNTIFS($D$25:$D$267,Parameters!$K$4,$E$25:$E$267,Parameters!$M$7,Calendrier!$C$25:$C$267,EO19))</f>
        <v>0</v>
      </c>
      <c r="TT19" s="55">
        <f>IF(EP19="","",COUNTIFS($D$25:$D$267,Parameters!$K$2,$E$25:$E$267,Parameters!$M$7,Calendrier!$C$25:$C$267,EP19)+ COUNTIFS($D$25:$D$267,Parameters!$K$3,$E$25:$E$267,Parameters!$M$7,Calendrier!$C$25:$C$267,EP19))</f>
        <v>0</v>
      </c>
      <c r="TU19" s="55">
        <f>IF(EQ19="","",COUNTIFS($D$25:$D$267,Parameters!$K$2,$E$25:$E$267,Parameters!$M$7,Calendrier!$C$25:$C$267,EQ19)+ COUNTIFS($D$25:$D$267,Parameters!$K$4,$E$25:$E$267,Parameters!$M$7,Calendrier!$C$25:$C$267,EQ19))</f>
        <v>0</v>
      </c>
      <c r="TV19" s="55">
        <f>IF(ER19="","",COUNTIFS($D$25:$D$267,Parameters!$K$2,$E$25:$E$267,Parameters!$M$7,Calendrier!$C$25:$C$267,ER19)+ COUNTIFS($D$25:$D$267,Parameters!$K$3,$E$25:$E$267,Parameters!$M$7,Calendrier!$C$25:$C$267,ER19))</f>
        <v>0</v>
      </c>
      <c r="TW19" s="55">
        <f>IF(ES19="","",COUNTIFS($D$25:$D$267,Parameters!$K$2,$E$25:$E$267,Parameters!$M$7,Calendrier!$C$25:$C$267,ES19)+ COUNTIFS($D$25:$D$267,Parameters!$K$4,$E$25:$E$267,Parameters!$M$7,Calendrier!$C$25:$C$267,ES19))</f>
        <v>0</v>
      </c>
      <c r="TX19" s="55">
        <f>IF(ET19="","",COUNTIFS($D$25:$D$267,Parameters!$K$2,$E$25:$E$267,Parameters!$M$7,Calendrier!$C$25:$C$267,ET19)+ COUNTIFS($D$25:$D$267,Parameters!$K$3,$E$25:$E$267,Parameters!$M$7,Calendrier!$C$25:$C$267,ET19))</f>
        <v>0</v>
      </c>
      <c r="TY19" s="55">
        <f>IF(EU19="","",COUNTIFS($D$25:$D$267,Parameters!$K$2,$E$25:$E$267,Parameters!$M$7,Calendrier!$C$25:$C$267,EU19)+ COUNTIFS($D$25:$D$267,Parameters!$K$4,$E$25:$E$267,Parameters!$M$7,Calendrier!$C$25:$C$267,EU19))</f>
        <v>0</v>
      </c>
      <c r="TZ19" s="55">
        <f>IF(EV19="","",COUNTIFS($D$25:$D$267,Parameters!$K$2,$E$25:$E$267,Parameters!$M$7,Calendrier!$C$25:$C$267,EV19)+ COUNTIFS($D$25:$D$267,Parameters!$K$3,$E$25:$E$267,Parameters!$M$7,Calendrier!$C$25:$C$267,EV19))</f>
        <v>0</v>
      </c>
      <c r="UA19" s="55">
        <f>IF(EW19="","",COUNTIFS($D$25:$D$267,Parameters!$K$2,$E$25:$E$267,Parameters!$M$7,Calendrier!$C$25:$C$267,EW19)+ COUNTIFS($D$25:$D$267,Parameters!$K$4,$E$25:$E$267,Parameters!$M$7,Calendrier!$C$25:$C$267,EW19))</f>
        <v>0</v>
      </c>
      <c r="UB19" s="55">
        <f>IF(EX19="","",COUNTIFS($D$25:$D$267,Parameters!$K$2,$E$25:$E$267,Parameters!$M$7,Calendrier!$C$25:$C$267,EX19)+ COUNTIFS($D$25:$D$267,Parameters!$K$3,$E$25:$E$267,Parameters!$M$7,Calendrier!$C$25:$C$267,EX19))</f>
        <v>0</v>
      </c>
      <c r="UC19" s="55">
        <f>IF(EY19="","",COUNTIFS($D$25:$D$267,Parameters!$K$2,$E$25:$E$267,Parameters!$M$7,Calendrier!$C$25:$C$267,EY19)+ COUNTIFS($D$25:$D$267,Parameters!$K$4,$E$25:$E$267,Parameters!$M$7,Calendrier!$C$25:$C$267,EY19))</f>
        <v>0</v>
      </c>
      <c r="UD19" s="55">
        <f>IF(EZ19="","",COUNTIFS($D$25:$D$267,Parameters!$K$2,$E$25:$E$267,Parameters!$M$7,Calendrier!$C$25:$C$267,EZ19)+ COUNTIFS($D$25:$D$267,Parameters!$K$3,$E$25:$E$267,Parameters!$M$7,Calendrier!$C$25:$C$267,EZ19))</f>
        <v>0</v>
      </c>
      <c r="UE19" s="56">
        <f>IF(FA19="","",COUNTIFS($D$25:$D$267,Parameters!$K$2,$E$25:$E$267,Parameters!$M$7,Calendrier!$C$25:$C$267,FA19)+ COUNTIFS($D$25:$D$267,Parameters!$K$4,$E$25:$E$267,Parameters!$M$7,Calendrier!$C$25:$C$267,FA19))</f>
        <v>0</v>
      </c>
    </row>
    <row r="20" spans="2:551" ht="15" thickBot="1" x14ac:dyDescent="0.35">
      <c r="B20" s="13"/>
      <c r="C20" s="14"/>
      <c r="D20" s="15"/>
      <c r="E20" s="15"/>
      <c r="F20" s="15"/>
      <c r="G20" s="16"/>
      <c r="K20" s="31"/>
      <c r="L20" s="22">
        <f>X19+1</f>
        <v>6</v>
      </c>
      <c r="M20" s="23"/>
      <c r="N20" s="22">
        <f>L20+1</f>
        <v>7</v>
      </c>
      <c r="O20" s="23"/>
      <c r="P20" s="22">
        <f>N20+1</f>
        <v>8</v>
      </c>
      <c r="Q20" s="23"/>
      <c r="R20" s="22">
        <f>P20+1</f>
        <v>9</v>
      </c>
      <c r="S20" s="23"/>
      <c r="T20" s="22">
        <f>R20+1</f>
        <v>10</v>
      </c>
      <c r="U20" s="23"/>
      <c r="V20" s="22">
        <f>T20+1</f>
        <v>11</v>
      </c>
      <c r="W20" s="23"/>
      <c r="X20" s="22">
        <f>V20+1</f>
        <v>12</v>
      </c>
      <c r="Y20" s="23"/>
      <c r="Z20" s="31"/>
      <c r="AA20" s="31"/>
      <c r="AB20" s="22">
        <f t="shared" ref="AB20:AB22" si="197">AN19+1</f>
        <v>4</v>
      </c>
      <c r="AC20" s="23"/>
      <c r="AD20" s="22">
        <f>AB20+1</f>
        <v>5</v>
      </c>
      <c r="AE20" s="23"/>
      <c r="AF20" s="22">
        <f>AD20+1</f>
        <v>6</v>
      </c>
      <c r="AG20" s="23"/>
      <c r="AH20" s="22">
        <f>AF20+1</f>
        <v>7</v>
      </c>
      <c r="AI20" s="23"/>
      <c r="AJ20" s="22">
        <f>AH20+1</f>
        <v>8</v>
      </c>
      <c r="AK20" s="23"/>
      <c r="AL20" s="22">
        <f>AJ20+1</f>
        <v>9</v>
      </c>
      <c r="AM20" s="23"/>
      <c r="AN20" s="22">
        <f>AL20+1</f>
        <v>10</v>
      </c>
      <c r="AO20" s="23"/>
      <c r="AP20" s="31"/>
      <c r="AQ20" s="31"/>
      <c r="AR20" s="22">
        <f>BD19+1</f>
        <v>8</v>
      </c>
      <c r="AS20" s="23"/>
      <c r="AT20" s="22">
        <f>AR20+1</f>
        <v>9</v>
      </c>
      <c r="AU20" s="23"/>
      <c r="AV20" s="22">
        <f>AT20+1</f>
        <v>10</v>
      </c>
      <c r="AW20" s="23"/>
      <c r="AX20" s="22">
        <f>AV20+1</f>
        <v>11</v>
      </c>
      <c r="AY20" s="23"/>
      <c r="AZ20" s="22">
        <f>AX20+1</f>
        <v>12</v>
      </c>
      <c r="BA20" s="23"/>
      <c r="BB20" s="22">
        <f>AZ20+1</f>
        <v>13</v>
      </c>
      <c r="BC20" s="23"/>
      <c r="BD20" s="22">
        <f>BB20+1</f>
        <v>14</v>
      </c>
      <c r="BE20" s="23"/>
      <c r="BF20" s="31"/>
      <c r="BG20" s="31"/>
      <c r="BJ20" s="42"/>
      <c r="BK20" s="6">
        <v>4</v>
      </c>
      <c r="BL20" s="6">
        <v>4</v>
      </c>
      <c r="BM20" s="6">
        <v>4</v>
      </c>
      <c r="BN20" s="6">
        <v>4</v>
      </c>
      <c r="BO20" s="6">
        <v>4</v>
      </c>
      <c r="BP20" s="6">
        <v>4</v>
      </c>
      <c r="BQ20" s="6">
        <v>4</v>
      </c>
      <c r="BR20" s="6">
        <v>4</v>
      </c>
      <c r="BS20" s="6">
        <v>4</v>
      </c>
      <c r="BT20" s="6">
        <v>4</v>
      </c>
      <c r="BU20" s="6">
        <v>4</v>
      </c>
      <c r="BV20" s="6">
        <v>4</v>
      </c>
      <c r="BW20" s="6">
        <v>4</v>
      </c>
      <c r="CA20" s="6">
        <v>5</v>
      </c>
      <c r="CB20" s="6">
        <v>5</v>
      </c>
      <c r="CC20" s="6">
        <v>5</v>
      </c>
      <c r="CD20" s="6">
        <v>5</v>
      </c>
      <c r="CE20" s="6">
        <v>5</v>
      </c>
      <c r="CF20" s="6">
        <v>5</v>
      </c>
      <c r="CG20" s="6">
        <v>5</v>
      </c>
      <c r="CH20" s="6">
        <v>5</v>
      </c>
      <c r="CI20" s="6">
        <v>5</v>
      </c>
      <c r="CJ20" s="6">
        <v>5</v>
      </c>
      <c r="CK20" s="6">
        <v>5</v>
      </c>
      <c r="CL20" s="6">
        <v>5</v>
      </c>
      <c r="CM20" s="6">
        <v>5</v>
      </c>
      <c r="CQ20" s="6">
        <v>6</v>
      </c>
      <c r="CR20" s="6">
        <v>6</v>
      </c>
      <c r="CS20" s="6">
        <v>6</v>
      </c>
      <c r="CT20" s="6">
        <v>6</v>
      </c>
      <c r="CU20" s="6">
        <v>6</v>
      </c>
      <c r="CV20" s="6">
        <v>6</v>
      </c>
      <c r="CW20" s="6">
        <v>6</v>
      </c>
      <c r="CX20" s="6">
        <v>6</v>
      </c>
      <c r="CY20" s="6">
        <v>6</v>
      </c>
      <c r="CZ20" s="6">
        <v>6</v>
      </c>
      <c r="DA20" s="6">
        <v>6</v>
      </c>
      <c r="DB20" s="6">
        <v>6</v>
      </c>
      <c r="DC20" s="6">
        <v>6</v>
      </c>
      <c r="DG20" s="42"/>
      <c r="DH20" s="43">
        <f t="shared" ref="DH20:DH24" si="198">IF(L20="","",DATE($K$2,BK20,L20))</f>
        <v>46118</v>
      </c>
      <c r="DI20" s="44">
        <f t="shared" ref="DI20" si="199">DH20</f>
        <v>46118</v>
      </c>
      <c r="DJ20" s="44">
        <f t="shared" si="161"/>
        <v>46119</v>
      </c>
      <c r="DK20" s="44">
        <f t="shared" ref="DK20" si="200">DJ20</f>
        <v>46119</v>
      </c>
      <c r="DL20" s="44">
        <f t="shared" si="163"/>
        <v>46120</v>
      </c>
      <c r="DM20" s="44">
        <f t="shared" ref="DM20" si="201">DL20</f>
        <v>46120</v>
      </c>
      <c r="DN20" s="44">
        <f t="shared" si="165"/>
        <v>46121</v>
      </c>
      <c r="DO20" s="44">
        <f t="shared" ref="DO20" si="202">DN20</f>
        <v>46121</v>
      </c>
      <c r="DP20" s="44">
        <f t="shared" si="167"/>
        <v>46122</v>
      </c>
      <c r="DQ20" s="44">
        <f t="shared" ref="DQ20" si="203">DP20</f>
        <v>46122</v>
      </c>
      <c r="DR20" s="44">
        <f t="shared" si="169"/>
        <v>46123</v>
      </c>
      <c r="DS20" s="44">
        <f t="shared" ref="DS20" si="204">DR20</f>
        <v>46123</v>
      </c>
      <c r="DT20" s="44">
        <f t="shared" si="171"/>
        <v>46124</v>
      </c>
      <c r="DU20" s="45">
        <f t="shared" si="172"/>
        <v>46124</v>
      </c>
      <c r="DX20" s="43">
        <f t="shared" ref="DX20:DX24" si="205">IF(AB20="","",DATE($K$2,CA20,AB20))</f>
        <v>46146</v>
      </c>
      <c r="DY20" s="44">
        <f t="shared" ref="DY20" si="206">DX20</f>
        <v>46146</v>
      </c>
      <c r="DZ20" s="44">
        <f t="shared" si="173"/>
        <v>46147</v>
      </c>
      <c r="EA20" s="44">
        <f t="shared" ref="EA20" si="207">DZ20</f>
        <v>46147</v>
      </c>
      <c r="EB20" s="44">
        <f t="shared" si="175"/>
        <v>46148</v>
      </c>
      <c r="EC20" s="44">
        <f t="shared" ref="EC20" si="208">EB20</f>
        <v>46148</v>
      </c>
      <c r="ED20" s="44">
        <f t="shared" si="177"/>
        <v>46149</v>
      </c>
      <c r="EE20" s="44">
        <f t="shared" ref="EE20" si="209">ED20</f>
        <v>46149</v>
      </c>
      <c r="EF20" s="44">
        <f t="shared" si="179"/>
        <v>46150</v>
      </c>
      <c r="EG20" s="44">
        <f t="shared" ref="EG20" si="210">EF20</f>
        <v>46150</v>
      </c>
      <c r="EH20" s="44">
        <f t="shared" si="181"/>
        <v>46151</v>
      </c>
      <c r="EI20" s="44">
        <f t="shared" ref="EI20" si="211">EH20</f>
        <v>46151</v>
      </c>
      <c r="EJ20" s="44">
        <f t="shared" si="183"/>
        <v>46152</v>
      </c>
      <c r="EK20" s="45">
        <f t="shared" si="184"/>
        <v>46152</v>
      </c>
      <c r="EN20" s="43">
        <f t="shared" ref="EN20:EN24" si="212">IF(AR20="","",DATE($K$2,CQ20,AR20))</f>
        <v>46181</v>
      </c>
      <c r="EO20" s="44">
        <f t="shared" ref="EO20" si="213">EN20</f>
        <v>46181</v>
      </c>
      <c r="EP20" s="44">
        <f t="shared" si="185"/>
        <v>46182</v>
      </c>
      <c r="EQ20" s="44">
        <f t="shared" ref="EQ20" si="214">EP20</f>
        <v>46182</v>
      </c>
      <c r="ER20" s="44">
        <f t="shared" si="187"/>
        <v>46183</v>
      </c>
      <c r="ES20" s="44">
        <f t="shared" ref="ES20" si="215">ER20</f>
        <v>46183</v>
      </c>
      <c r="ET20" s="44">
        <f t="shared" si="189"/>
        <v>46184</v>
      </c>
      <c r="EU20" s="44">
        <f t="shared" ref="EU20" si="216">ET20</f>
        <v>46184</v>
      </c>
      <c r="EV20" s="44">
        <f t="shared" si="191"/>
        <v>46185</v>
      </c>
      <c r="EW20" s="44">
        <f t="shared" ref="EW20" si="217">EV20</f>
        <v>46185</v>
      </c>
      <c r="EX20" s="44">
        <f t="shared" si="193"/>
        <v>46186</v>
      </c>
      <c r="EY20" s="44">
        <f t="shared" ref="EY20" si="218">EX20</f>
        <v>46186</v>
      </c>
      <c r="EZ20" s="44">
        <f t="shared" si="195"/>
        <v>46187</v>
      </c>
      <c r="FA20" s="45">
        <f t="shared" si="196"/>
        <v>46187</v>
      </c>
      <c r="FE20" s="49">
        <f>COUNTIFS(Parameters!$S:$S,$D$4,Parameters!$Q:$Q,DH20)</f>
        <v>1</v>
      </c>
      <c r="FF20" s="50">
        <f>COUNTIFS(Parameters!$S:$S,$D$4,Parameters!$Q:$Q,DI20)</f>
        <v>1</v>
      </c>
      <c r="FG20" s="50">
        <f>COUNTIFS(Parameters!$S:$S,$D$4,Parameters!$Q:$Q,DJ20)</f>
        <v>0</v>
      </c>
      <c r="FH20" s="50">
        <f>COUNTIFS(Parameters!$S:$S,$D$4,Parameters!$Q:$Q,DK20)</f>
        <v>0</v>
      </c>
      <c r="FI20" s="50">
        <f>COUNTIFS(Parameters!$S:$S,$D$4,Parameters!$Q:$Q,DL20)</f>
        <v>0</v>
      </c>
      <c r="FJ20" s="50">
        <f>COUNTIFS(Parameters!$S:$S,$D$4,Parameters!$Q:$Q,DM20)</f>
        <v>0</v>
      </c>
      <c r="FK20" s="50">
        <f>COUNTIFS(Parameters!$S:$S,$D$4,Parameters!$Q:$Q,DN20)</f>
        <v>0</v>
      </c>
      <c r="FL20" s="50">
        <f>COUNTIFS(Parameters!$S:$S,$D$4,Parameters!$Q:$Q,DO20)</f>
        <v>0</v>
      </c>
      <c r="FM20" s="50">
        <f>COUNTIFS(Parameters!$S:$S,$D$4,Parameters!$Q:$Q,DP20)</f>
        <v>0</v>
      </c>
      <c r="FN20" s="50">
        <f>COUNTIFS(Parameters!$S:$S,$D$4,Parameters!$Q:$Q,DQ20)</f>
        <v>0</v>
      </c>
      <c r="FO20" s="50">
        <f>COUNTIFS(Parameters!$S:$S,$D$4,Parameters!$Q:$Q,DR20)</f>
        <v>0</v>
      </c>
      <c r="FP20" s="50">
        <f>COUNTIFS(Parameters!$S:$S,$D$4,Parameters!$Q:$Q,DS20)</f>
        <v>0</v>
      </c>
      <c r="FQ20" s="50">
        <f>COUNTIFS(Parameters!$S:$S,$D$4,Parameters!$Q:$Q,DT20)</f>
        <v>0</v>
      </c>
      <c r="FR20" s="57">
        <f>COUNTIFS(Parameters!$S:$S,$D$4,Parameters!$Q:$Q,DU20)</f>
        <v>0</v>
      </c>
      <c r="FU20" s="49">
        <f>COUNTIFS(Parameters!$S:$S,$D$4,Parameters!$Q:$Q,DX20)</f>
        <v>0</v>
      </c>
      <c r="FV20" s="50">
        <f>COUNTIFS(Parameters!$S:$S,$D$4,Parameters!$Q:$Q,DY20)</f>
        <v>0</v>
      </c>
      <c r="FW20" s="50">
        <f>COUNTIFS(Parameters!$S:$S,$D$4,Parameters!$Q:$Q,DZ20)</f>
        <v>0</v>
      </c>
      <c r="FX20" s="50">
        <f>COUNTIFS(Parameters!$S:$S,$D$4,Parameters!$Q:$Q,EA20)</f>
        <v>0</v>
      </c>
      <c r="FY20" s="50">
        <f>COUNTIFS(Parameters!$S:$S,$D$4,Parameters!$Q:$Q,EB20)</f>
        <v>0</v>
      </c>
      <c r="FZ20" s="50">
        <f>COUNTIFS(Parameters!$S:$S,$D$4,Parameters!$Q:$Q,EC20)</f>
        <v>0</v>
      </c>
      <c r="GA20" s="50">
        <f>COUNTIFS(Parameters!$S:$S,$D$4,Parameters!$Q:$Q,ED20)</f>
        <v>0</v>
      </c>
      <c r="GB20" s="50">
        <f>COUNTIFS(Parameters!$S:$S,$D$4,Parameters!$Q:$Q,EE20)</f>
        <v>0</v>
      </c>
      <c r="GC20" s="50">
        <f>COUNTIFS(Parameters!$S:$S,$D$4,Parameters!$Q:$Q,EF20)</f>
        <v>0</v>
      </c>
      <c r="GD20" s="50">
        <f>COUNTIFS(Parameters!$S:$S,$D$4,Parameters!$Q:$Q,EG20)</f>
        <v>0</v>
      </c>
      <c r="GE20" s="50">
        <f>COUNTIFS(Parameters!$S:$S,$D$4,Parameters!$Q:$Q,EH20)</f>
        <v>0</v>
      </c>
      <c r="GF20" s="50">
        <f>COUNTIFS(Parameters!$S:$S,$D$4,Parameters!$Q:$Q,EI20)</f>
        <v>0</v>
      </c>
      <c r="GG20" s="50">
        <f>COUNTIFS(Parameters!$S:$S,$D$4,Parameters!$Q:$Q,EJ20)</f>
        <v>0</v>
      </c>
      <c r="GH20" s="57">
        <f>COUNTIFS(Parameters!$S:$S,$D$4,Parameters!$Q:$Q,EK20)</f>
        <v>0</v>
      </c>
      <c r="GK20" s="49">
        <f>COUNTIFS(Parameters!$S:$S,$D$4,Parameters!$Q:$Q,EN20)</f>
        <v>0</v>
      </c>
      <c r="GL20" s="50">
        <f>COUNTIFS(Parameters!$S:$S,$D$4,Parameters!$Q:$Q,EO20)</f>
        <v>0</v>
      </c>
      <c r="GM20" s="50">
        <f>COUNTIFS(Parameters!$S:$S,$D$4,Parameters!$Q:$Q,EP20)</f>
        <v>0</v>
      </c>
      <c r="GN20" s="50">
        <f>COUNTIFS(Parameters!$S:$S,$D$4,Parameters!$Q:$Q,EQ20)</f>
        <v>0</v>
      </c>
      <c r="GO20" s="50">
        <f>COUNTIFS(Parameters!$S:$S,$D$4,Parameters!$Q:$Q,ER20)</f>
        <v>0</v>
      </c>
      <c r="GP20" s="50">
        <f>COUNTIFS(Parameters!$S:$S,$D$4,Parameters!$Q:$Q,ES20)</f>
        <v>0</v>
      </c>
      <c r="GQ20" s="50">
        <f>COUNTIFS(Parameters!$S:$S,$D$4,Parameters!$Q:$Q,ET20)</f>
        <v>0</v>
      </c>
      <c r="GR20" s="50">
        <f>COUNTIFS(Parameters!$S:$S,$D$4,Parameters!$Q:$Q,EU20)</f>
        <v>0</v>
      </c>
      <c r="GS20" s="50">
        <f>COUNTIFS(Parameters!$S:$S,$D$4,Parameters!$Q:$Q,EV20)</f>
        <v>0</v>
      </c>
      <c r="GT20" s="50">
        <f>COUNTIFS(Parameters!$S:$S,$D$4,Parameters!$Q:$Q,EW20)</f>
        <v>0</v>
      </c>
      <c r="GU20" s="50">
        <f>COUNTIFS(Parameters!$S:$S,$D$4,Parameters!$Q:$Q,EX20)</f>
        <v>0</v>
      </c>
      <c r="GV20" s="50">
        <f>COUNTIFS(Parameters!$S:$S,$D$4,Parameters!$Q:$Q,EY20)</f>
        <v>0</v>
      </c>
      <c r="GW20" s="50">
        <f>COUNTIFS(Parameters!$S:$S,$D$4,Parameters!$Q:$Q,EZ20)</f>
        <v>0</v>
      </c>
      <c r="GX20" s="57">
        <f>COUNTIFS(Parameters!$S:$S,$D$4,Parameters!$Q:$Q,FA20)</f>
        <v>0</v>
      </c>
      <c r="HB20" s="49">
        <f>IF(DH20="","",COUNTIFS($D$25:$D$267,Parameters!$K$2,$E$25:$E$267,Parameters!$M$2,Calendrier!$C$25:$C$267,DH20)+ COUNTIFS($D$25:$D$267,Parameters!$K$3,$E$25:$E$267,Parameters!$M$2,Calendrier!$C$25:$C$267,DH20))</f>
        <v>0</v>
      </c>
      <c r="HC20" s="50">
        <f>IF(DI20="","",COUNTIFS($D$25:$D$267,Parameters!$K$2,$E$25:$E$267,Parameters!$M$2,Calendrier!$C$25:$C$267,DI20)+ COUNTIFS($D$25:$D$267,Parameters!$K$4,$E$25:$E$267,Parameters!$M$2,Calendrier!$C$25:$C$267,DI20))</f>
        <v>0</v>
      </c>
      <c r="HD20" s="50">
        <f>IF(DJ20="","",COUNTIFS($D$25:$D$267,Parameters!$K$2,$E$25:$E$267,Parameters!$M$2,Calendrier!$C$25:$C$267,DJ20)+ COUNTIFS($D$25:$D$267,Parameters!$K$3,$E$25:$E$267,Parameters!$M$2,Calendrier!$C$25:$C$267,DJ20))</f>
        <v>0</v>
      </c>
      <c r="HE20" s="50">
        <f>IF(DK20="","",COUNTIFS($D$25:$D$267,Parameters!$K$2,$E$25:$E$267,Parameters!$M$2,Calendrier!$C$25:$C$267,DK20)+ COUNTIFS($D$25:$D$267,Parameters!$K$4,$E$25:$E$267,Parameters!$M$2,Calendrier!$C$25:$C$267,DK20))</f>
        <v>0</v>
      </c>
      <c r="HF20" s="50">
        <f>IF(DL20="","",COUNTIFS($D$25:$D$267,Parameters!$K$2,$E$25:$E$267,Parameters!$M$2,Calendrier!$C$25:$C$267,DL20)+ COUNTIFS($D$25:$D$267,Parameters!$K$3,$E$25:$E$267,Parameters!$M$2,Calendrier!$C$25:$C$267,DL20))</f>
        <v>0</v>
      </c>
      <c r="HG20" s="50">
        <f>IF(DM20="","",COUNTIFS($D$25:$D$267,Parameters!$K$2,$E$25:$E$267,Parameters!$M$2,Calendrier!$C$25:$C$267,DM20)+ COUNTIFS($D$25:$D$267,Parameters!$K$4,$E$25:$E$267,Parameters!$M$2,Calendrier!$C$25:$C$267,DM20))</f>
        <v>0</v>
      </c>
      <c r="HH20" s="50">
        <f>IF(DN20="","",COUNTIFS($D$25:$D$267,Parameters!$K$2,$E$25:$E$267,Parameters!$M$2,Calendrier!$C$25:$C$267,DN20)+ COUNTIFS($D$25:$D$267,Parameters!$K$3,$E$25:$E$267,Parameters!$M$2,Calendrier!$C$25:$C$267,DN20))</f>
        <v>0</v>
      </c>
      <c r="HI20" s="50">
        <f>IF(DO20="","",COUNTIFS($D$25:$D$267,Parameters!$K$2,$E$25:$E$267,Parameters!$M$2,Calendrier!$C$25:$C$267,DO20)+ COUNTIFS($D$25:$D$267,Parameters!$K$4,$E$25:$E$267,Parameters!$M$2,Calendrier!$C$25:$C$267,DO20))</f>
        <v>0</v>
      </c>
      <c r="HJ20" s="50">
        <f>IF(DP20="","",COUNTIFS($D$25:$D$267,Parameters!$K$2,$E$25:$E$267,Parameters!$M$2,Calendrier!$C$25:$C$267,DP20)+ COUNTIFS($D$25:$D$267,Parameters!$K$3,$E$25:$E$267,Parameters!$M$2,Calendrier!$C$25:$C$267,DP20))</f>
        <v>0</v>
      </c>
      <c r="HK20" s="50">
        <f>IF(DQ20="","",COUNTIFS($D$25:$D$267,Parameters!$K$2,$E$25:$E$267,Parameters!$M$2,Calendrier!$C$25:$C$267,DQ20)+ COUNTIFS($D$25:$D$267,Parameters!$K$4,$E$25:$E$267,Parameters!$M$2,Calendrier!$C$25:$C$267,DQ20))</f>
        <v>0</v>
      </c>
      <c r="HL20" s="50">
        <f>IF(DR20="","",COUNTIFS($D$25:$D$267,Parameters!$K$2,$E$25:$E$267,Parameters!$M$2,Calendrier!$C$25:$C$267,DR20)+ COUNTIFS($D$25:$D$267,Parameters!$K$3,$E$25:$E$267,Parameters!$M$2,Calendrier!$C$25:$C$267,DR20))</f>
        <v>0</v>
      </c>
      <c r="HM20" s="50">
        <f>IF(DS20="","",COUNTIFS($D$25:$D$267,Parameters!$K$2,$E$25:$E$267,Parameters!$M$2,Calendrier!$C$25:$C$267,DS20)+ COUNTIFS($D$25:$D$267,Parameters!$K$4,$E$25:$E$267,Parameters!$M$2,Calendrier!$C$25:$C$267,DS20))</f>
        <v>0</v>
      </c>
      <c r="HN20" s="50">
        <f>IF(DT20="","",COUNTIFS($D$25:$D$267,Parameters!$K$2,$E$25:$E$267,Parameters!$M$2,Calendrier!$C$25:$C$267,DT20)+ COUNTIFS($D$25:$D$267,Parameters!$K$3,$E$25:$E$267,Parameters!$M$2,Calendrier!$C$25:$C$267,DT20))</f>
        <v>0</v>
      </c>
      <c r="HO20" s="57">
        <f>IF(DU20="","",COUNTIFS($D$25:$D$267,Parameters!$K$2,$E$25:$E$267,Parameters!$M$2,Calendrier!$C$25:$C$267,DU20)+ COUNTIFS($D$25:$D$267,Parameters!$K$4,$E$25:$E$267,Parameters!$M$2,Calendrier!$C$25:$C$267,DU20))</f>
        <v>0</v>
      </c>
      <c r="HR20" s="49">
        <f>IF(DX20="","",COUNTIFS($D$25:$D$267,Parameters!$K$2,$E$25:$E$267,Parameters!$M$2,Calendrier!$C$25:$C$267,DX20)+ COUNTIFS($D$25:$D$267,Parameters!$K$3,$E$25:$E$267,Parameters!$M$2,Calendrier!$C$25:$C$267,DX20))</f>
        <v>0</v>
      </c>
      <c r="HS20" s="50">
        <f>IF(DY20="","",COUNTIFS($D$25:$D$267,Parameters!$K$2,$E$25:$E$267,Parameters!$M$2,Calendrier!$C$25:$C$267,DY20)+ COUNTIFS($D$25:$D$267,Parameters!$K$4,$E$25:$E$267,Parameters!$M$2,Calendrier!$C$25:$C$267,DY20))</f>
        <v>0</v>
      </c>
      <c r="HT20" s="50">
        <f>IF(DZ20="","",COUNTIFS($D$25:$D$267,Parameters!$K$2,$E$25:$E$267,Parameters!$M$2,Calendrier!$C$25:$C$267,DZ20)+ COUNTIFS($D$25:$D$267,Parameters!$K$3,$E$25:$E$267,Parameters!$M$2,Calendrier!$C$25:$C$267,DZ20))</f>
        <v>0</v>
      </c>
      <c r="HU20" s="50">
        <f>IF(EA20="","",COUNTIFS($D$25:$D$267,Parameters!$K$2,$E$25:$E$267,Parameters!$M$2,Calendrier!$C$25:$C$267,EA20)+ COUNTIFS($D$25:$D$267,Parameters!$K$4,$E$25:$E$267,Parameters!$M$2,Calendrier!$C$25:$C$267,EA20))</f>
        <v>0</v>
      </c>
      <c r="HV20" s="50">
        <f>IF(EB20="","",COUNTIFS($D$25:$D$267,Parameters!$K$2,$E$25:$E$267,Parameters!$M$2,Calendrier!$C$25:$C$267,EB20)+ COUNTIFS($D$25:$D$267,Parameters!$K$3,$E$25:$E$267,Parameters!$M$2,Calendrier!$C$25:$C$267,EB20))</f>
        <v>0</v>
      </c>
      <c r="HW20" s="50">
        <f>IF(EC20="","",COUNTIFS($D$25:$D$267,Parameters!$K$2,$E$25:$E$267,Parameters!$M$2,Calendrier!$C$25:$C$267,EC20)+ COUNTIFS($D$25:$D$267,Parameters!$K$4,$E$25:$E$267,Parameters!$M$2,Calendrier!$C$25:$C$267,EC20))</f>
        <v>0</v>
      </c>
      <c r="HX20" s="50">
        <f>IF(ED20="","",COUNTIFS($D$25:$D$267,Parameters!$K$2,$E$25:$E$267,Parameters!$M$2,Calendrier!$C$25:$C$267,ED20)+ COUNTIFS($D$25:$D$267,Parameters!$K$3,$E$25:$E$267,Parameters!$M$2,Calendrier!$C$25:$C$267,ED20))</f>
        <v>0</v>
      </c>
      <c r="HY20" s="50">
        <f>IF(EE20="","",COUNTIFS($D$25:$D$267,Parameters!$K$2,$E$25:$E$267,Parameters!$M$2,Calendrier!$C$25:$C$267,EE20)+ COUNTIFS($D$25:$D$267,Parameters!$K$4,$E$25:$E$267,Parameters!$M$2,Calendrier!$C$25:$C$267,EE20))</f>
        <v>0</v>
      </c>
      <c r="HZ20" s="50">
        <f>IF(EF20="","",COUNTIFS($D$25:$D$267,Parameters!$K$2,$E$25:$E$267,Parameters!$M$2,Calendrier!$C$25:$C$267,EF20)+ COUNTIFS($D$25:$D$267,Parameters!$K$3,$E$25:$E$267,Parameters!$M$2,Calendrier!$C$25:$C$267,EF20))</f>
        <v>0</v>
      </c>
      <c r="IA20" s="50">
        <f>IF(EG20="","",COUNTIFS($D$25:$D$267,Parameters!$K$2,$E$25:$E$267,Parameters!$M$2,Calendrier!$C$25:$C$267,EG20)+ COUNTIFS($D$25:$D$267,Parameters!$K$4,$E$25:$E$267,Parameters!$M$2,Calendrier!$C$25:$C$267,EG20))</f>
        <v>0</v>
      </c>
      <c r="IB20" s="50">
        <f>IF(EH20="","",COUNTIFS($D$25:$D$267,Parameters!$K$2,$E$25:$E$267,Parameters!$M$2,Calendrier!$C$25:$C$267,EH20)+ COUNTIFS($D$25:$D$267,Parameters!$K$3,$E$25:$E$267,Parameters!$M$2,Calendrier!$C$25:$C$267,EH20))</f>
        <v>0</v>
      </c>
      <c r="IC20" s="50">
        <f>IF(EI20="","",COUNTIFS($D$25:$D$267,Parameters!$K$2,$E$25:$E$267,Parameters!$M$2,Calendrier!$C$25:$C$267,EI20)+ COUNTIFS($D$25:$D$267,Parameters!$K$4,$E$25:$E$267,Parameters!$M$2,Calendrier!$C$25:$C$267,EI20))</f>
        <v>0</v>
      </c>
      <c r="ID20" s="50">
        <f>IF(EJ20="","",COUNTIFS($D$25:$D$267,Parameters!$K$2,$E$25:$E$267,Parameters!$M$2,Calendrier!$C$25:$C$267,EJ20)+ COUNTIFS($D$25:$D$267,Parameters!$K$3,$E$25:$E$267,Parameters!$M$2,Calendrier!$C$25:$C$267,EJ20))</f>
        <v>0</v>
      </c>
      <c r="IE20" s="57">
        <f>IF(EK20="","",COUNTIFS($D$25:$D$267,Parameters!$K$2,$E$25:$E$267,Parameters!$M$2,Calendrier!$C$25:$C$267,EK20)+ COUNTIFS($D$25:$D$267,Parameters!$K$4,$E$25:$E$267,Parameters!$M$2,Calendrier!$C$25:$C$267,EK20))</f>
        <v>0</v>
      </c>
      <c r="IH20" s="49">
        <f>IF(EN20="","",COUNTIFS($D$25:$D$267,Parameters!$K$2,$E$25:$E$267,Parameters!$M$2,Calendrier!$C$25:$C$267,EN20)+ COUNTIFS($D$25:$D$267,Parameters!$K$3,$E$25:$E$267,Parameters!$M$2,Calendrier!$C$25:$C$267,EN20))</f>
        <v>1</v>
      </c>
      <c r="II20" s="50">
        <f>IF(EO20="","",COUNTIFS($D$25:$D$267,Parameters!$K$2,$E$25:$E$267,Parameters!$M$2,Calendrier!$C$25:$C$267,EO20)+ COUNTIFS($D$25:$D$267,Parameters!$K$4,$E$25:$E$267,Parameters!$M$2,Calendrier!$C$25:$C$267,EO20))</f>
        <v>1</v>
      </c>
      <c r="IJ20" s="50">
        <f>IF(EP20="","",COUNTIFS($D$25:$D$267,Parameters!$K$2,$E$25:$E$267,Parameters!$M$2,Calendrier!$C$25:$C$267,EP20)+ COUNTIFS($D$25:$D$267,Parameters!$K$3,$E$25:$E$267,Parameters!$M$2,Calendrier!$C$25:$C$267,EP20))</f>
        <v>1</v>
      </c>
      <c r="IK20" s="50">
        <f>IF(EQ20="","",COUNTIFS($D$25:$D$267,Parameters!$K$2,$E$25:$E$267,Parameters!$M$2,Calendrier!$C$25:$C$267,EQ20)+ COUNTIFS($D$25:$D$267,Parameters!$K$4,$E$25:$E$267,Parameters!$M$2,Calendrier!$C$25:$C$267,EQ20))</f>
        <v>1</v>
      </c>
      <c r="IL20" s="50">
        <f>IF(ER20="","",COUNTIFS($D$25:$D$267,Parameters!$K$2,$E$25:$E$267,Parameters!$M$2,Calendrier!$C$25:$C$267,ER20)+ COUNTIFS($D$25:$D$267,Parameters!$K$3,$E$25:$E$267,Parameters!$M$2,Calendrier!$C$25:$C$267,ER20))</f>
        <v>0</v>
      </c>
      <c r="IM20" s="50">
        <f>IF(ES20="","",COUNTIFS($D$25:$D$267,Parameters!$K$2,$E$25:$E$267,Parameters!$M$2,Calendrier!$C$25:$C$267,ES20)+ COUNTIFS($D$25:$D$267,Parameters!$K$4,$E$25:$E$267,Parameters!$M$2,Calendrier!$C$25:$C$267,ES20))</f>
        <v>0</v>
      </c>
      <c r="IN20" s="50">
        <f>IF(ET20="","",COUNTIFS($D$25:$D$267,Parameters!$K$2,$E$25:$E$267,Parameters!$M$2,Calendrier!$C$25:$C$267,ET20)+ COUNTIFS($D$25:$D$267,Parameters!$K$3,$E$25:$E$267,Parameters!$M$2,Calendrier!$C$25:$C$267,ET20))</f>
        <v>0</v>
      </c>
      <c r="IO20" s="50">
        <f>IF(EU20="","",COUNTIFS($D$25:$D$267,Parameters!$K$2,$E$25:$E$267,Parameters!$M$2,Calendrier!$C$25:$C$267,EU20)+ COUNTIFS($D$25:$D$267,Parameters!$K$4,$E$25:$E$267,Parameters!$M$2,Calendrier!$C$25:$C$267,EU20))</f>
        <v>0</v>
      </c>
      <c r="IP20" s="50">
        <f>IF(EV20="","",COUNTIFS($D$25:$D$267,Parameters!$K$2,$E$25:$E$267,Parameters!$M$2,Calendrier!$C$25:$C$267,EV20)+ COUNTIFS($D$25:$D$267,Parameters!$K$3,$E$25:$E$267,Parameters!$M$2,Calendrier!$C$25:$C$267,EV20))</f>
        <v>0</v>
      </c>
      <c r="IQ20" s="50">
        <f>IF(EW20="","",COUNTIFS($D$25:$D$267,Parameters!$K$2,$E$25:$E$267,Parameters!$M$2,Calendrier!$C$25:$C$267,EW20)+ COUNTIFS($D$25:$D$267,Parameters!$K$4,$E$25:$E$267,Parameters!$M$2,Calendrier!$C$25:$C$267,EW20))</f>
        <v>0</v>
      </c>
      <c r="IR20" s="50">
        <f>IF(EX20="","",COUNTIFS($D$25:$D$267,Parameters!$K$2,$E$25:$E$267,Parameters!$M$2,Calendrier!$C$25:$C$267,EX20)+ COUNTIFS($D$25:$D$267,Parameters!$K$3,$E$25:$E$267,Parameters!$M$2,Calendrier!$C$25:$C$267,EX20))</f>
        <v>0</v>
      </c>
      <c r="IS20" s="50">
        <f>IF(EY20="","",COUNTIFS($D$25:$D$267,Parameters!$K$2,$E$25:$E$267,Parameters!$M$2,Calendrier!$C$25:$C$267,EY20)+ COUNTIFS($D$25:$D$267,Parameters!$K$4,$E$25:$E$267,Parameters!$M$2,Calendrier!$C$25:$C$267,EY20))</f>
        <v>0</v>
      </c>
      <c r="IT20" s="50">
        <f>IF(EZ20="","",COUNTIFS($D$25:$D$267,Parameters!$K$2,$E$25:$E$267,Parameters!$M$2,Calendrier!$C$25:$C$267,EZ20)+ COUNTIFS($D$25:$D$267,Parameters!$K$3,$E$25:$E$267,Parameters!$M$2,Calendrier!$C$25:$C$267,EZ20))</f>
        <v>0</v>
      </c>
      <c r="IU20" s="57">
        <f>IF(FA20="","",COUNTIFS($D$25:$D$267,Parameters!$K$2,$E$25:$E$267,Parameters!$M$2,Calendrier!$C$25:$C$267,FA20)+ COUNTIFS($D$25:$D$267,Parameters!$K$4,$E$25:$E$267,Parameters!$M$2,Calendrier!$C$25:$C$267,FA20))</f>
        <v>0</v>
      </c>
      <c r="IY20" s="49">
        <f>IF(DH20="","",COUNTIFS($D$25:$D$267,Parameters!$K$2,$E$25:$E$267,Parameters!$M$3,Calendrier!$C$25:$C$267,DH20)+ COUNTIFS($D$25:$D$267,Parameters!$K$3,$E$25:$E$267,Parameters!$M$3,Calendrier!$C$25:$C$267,DH20))</f>
        <v>0</v>
      </c>
      <c r="IZ20" s="50">
        <f>IF(DI20="","",COUNTIFS($D$25:$D$267,Parameters!$K$2,$E$25:$E$267,Parameters!$M$3,Calendrier!$C$25:$C$267,DI20)+ COUNTIFS($D$25:$D$267,Parameters!$K$4,$E$25:$E$267,Parameters!$M$3,Calendrier!$C$25:$C$267,DI20))</f>
        <v>0</v>
      </c>
      <c r="JA20" s="50">
        <f>IF(DJ20="","",COUNTIFS($D$25:$D$267,Parameters!$K$2,$E$25:$E$267,Parameters!$M$3,Calendrier!$C$25:$C$267,DJ20)+ COUNTIFS($D$25:$D$267,Parameters!$K$3,$E$25:$E$267,Parameters!$M$3,Calendrier!$C$25:$C$267,DJ20))</f>
        <v>0</v>
      </c>
      <c r="JB20" s="50">
        <f>IF(DK20="","",COUNTIFS($D$25:$D$267,Parameters!$K$2,$E$25:$E$267,Parameters!$M$3,Calendrier!$C$25:$C$267,DK20)+ COUNTIFS($D$25:$D$267,Parameters!$K$4,$E$25:$E$267,Parameters!$M$3,Calendrier!$C$25:$C$267,DK20))</f>
        <v>0</v>
      </c>
      <c r="JC20" s="50">
        <f>IF(DL20="","",COUNTIFS($D$25:$D$267,Parameters!$K$2,$E$25:$E$267,Parameters!$M$3,Calendrier!$C$25:$C$267,DL20)+ COUNTIFS($D$25:$D$267,Parameters!$K$3,$E$25:$E$267,Parameters!$M$3,Calendrier!$C$25:$C$267,DL20))</f>
        <v>0</v>
      </c>
      <c r="JD20" s="50">
        <f>IF(DM20="","",COUNTIFS($D$25:$D$267,Parameters!$K$2,$E$25:$E$267,Parameters!$M$3,Calendrier!$C$25:$C$267,DM20)+ COUNTIFS($D$25:$D$267,Parameters!$K$4,$E$25:$E$267,Parameters!$M$3,Calendrier!$C$25:$C$267,DM20))</f>
        <v>0</v>
      </c>
      <c r="JE20" s="50">
        <f>IF(DN20="","",COUNTIFS($D$25:$D$267,Parameters!$K$2,$E$25:$E$267,Parameters!$M$3,Calendrier!$C$25:$C$267,DN20)+ COUNTIFS($D$25:$D$267,Parameters!$K$3,$E$25:$E$267,Parameters!$M$3,Calendrier!$C$25:$C$267,DN20))</f>
        <v>0</v>
      </c>
      <c r="JF20" s="50">
        <f>IF(DO20="","",COUNTIFS($D$25:$D$267,Parameters!$K$2,$E$25:$E$267,Parameters!$M$3,Calendrier!$C$25:$C$267,DO20)+ COUNTIFS($D$25:$D$267,Parameters!$K$4,$E$25:$E$267,Parameters!$M$3,Calendrier!$C$25:$C$267,DO20))</f>
        <v>0</v>
      </c>
      <c r="JG20" s="50">
        <f>IF(DP20="","",COUNTIFS($D$25:$D$267,Parameters!$K$2,$E$25:$E$267,Parameters!$M$3,Calendrier!$C$25:$C$267,DP20)+ COUNTIFS($D$25:$D$267,Parameters!$K$3,$E$25:$E$267,Parameters!$M$3,Calendrier!$C$25:$C$267,DP20))</f>
        <v>0</v>
      </c>
      <c r="JH20" s="50">
        <f>IF(DQ20="","",COUNTIFS($D$25:$D$267,Parameters!$K$2,$E$25:$E$267,Parameters!$M$3,Calendrier!$C$25:$C$267,DQ20)+ COUNTIFS($D$25:$D$267,Parameters!$K$4,$E$25:$E$267,Parameters!$M$3,Calendrier!$C$25:$C$267,DQ20))</f>
        <v>0</v>
      </c>
      <c r="JI20" s="50">
        <f>IF(DR20="","",COUNTIFS($D$25:$D$267,Parameters!$K$2,$E$25:$E$267,Parameters!$M$3,Calendrier!$C$25:$C$267,DR20)+ COUNTIFS($D$25:$D$267,Parameters!$K$3,$E$25:$E$267,Parameters!$M$3,Calendrier!$C$25:$C$267,DR20))</f>
        <v>0</v>
      </c>
      <c r="JJ20" s="50">
        <f>IF(DS20="","",COUNTIFS($D$25:$D$267,Parameters!$K$2,$E$25:$E$267,Parameters!$M$3,Calendrier!$C$25:$C$267,DS20)+ COUNTIFS($D$25:$D$267,Parameters!$K$4,$E$25:$E$267,Parameters!$M$3,Calendrier!$C$25:$C$267,DS20))</f>
        <v>0</v>
      </c>
      <c r="JK20" s="50">
        <f>IF(DT20="","",COUNTIFS($D$25:$D$267,Parameters!$K$2,$E$25:$E$267,Parameters!$M$3,Calendrier!$C$25:$C$267,DT20)+ COUNTIFS($D$25:$D$267,Parameters!$K$3,$E$25:$E$267,Parameters!$M$3,Calendrier!$C$25:$C$267,DT20))</f>
        <v>0</v>
      </c>
      <c r="JL20" s="57">
        <f>IF(DU20="","",COUNTIFS($D$25:$D$267,Parameters!$K$2,$E$25:$E$267,Parameters!$M$3,Calendrier!$C$25:$C$267,DU20)+ COUNTIFS($D$25:$D$267,Parameters!$K$4,$E$25:$E$267,Parameters!$M$3,Calendrier!$C$25:$C$267,DU20))</f>
        <v>0</v>
      </c>
      <c r="JO20" s="49">
        <f>IF(DX20="","",COUNTIFS($D$25:$D$267,Parameters!$K$2,$E$25:$E$267,Parameters!$M$3,Calendrier!$C$25:$C$267,DX20)+ COUNTIFS($D$25:$D$267,Parameters!$K$3,$E$25:$E$267,Parameters!$M$3,Calendrier!$C$25:$C$267,DX20))</f>
        <v>0</v>
      </c>
      <c r="JP20" s="50">
        <f>IF(DY20="","",COUNTIFS($D$25:$D$267,Parameters!$K$2,$E$25:$E$267,Parameters!$M$3,Calendrier!$C$25:$C$267,DY20)+ COUNTIFS($D$25:$D$267,Parameters!$K$4,$E$25:$E$267,Parameters!$M$3,Calendrier!$C$25:$C$267,DY20))</f>
        <v>0</v>
      </c>
      <c r="JQ20" s="50">
        <f>IF(DZ20="","",COUNTIFS($D$25:$D$267,Parameters!$K$2,$E$25:$E$267,Parameters!$M$3,Calendrier!$C$25:$C$267,DZ20)+ COUNTIFS($D$25:$D$267,Parameters!$K$3,$E$25:$E$267,Parameters!$M$3,Calendrier!$C$25:$C$267,DZ20))</f>
        <v>0</v>
      </c>
      <c r="JR20" s="50">
        <f>IF(EA20="","",COUNTIFS($D$25:$D$267,Parameters!$K$2,$E$25:$E$267,Parameters!$M$3,Calendrier!$C$25:$C$267,EA20)+ COUNTIFS($D$25:$D$267,Parameters!$K$4,$E$25:$E$267,Parameters!$M$3,Calendrier!$C$25:$C$267,EA20))</f>
        <v>0</v>
      </c>
      <c r="JS20" s="50">
        <f>IF(EB20="","",COUNTIFS($D$25:$D$267,Parameters!$K$2,$E$25:$E$267,Parameters!$M$3,Calendrier!$C$25:$C$267,EB20)+ COUNTIFS($D$25:$D$267,Parameters!$K$3,$E$25:$E$267,Parameters!$M$3,Calendrier!$C$25:$C$267,EB20))</f>
        <v>0</v>
      </c>
      <c r="JT20" s="50">
        <f>IF(EC20="","",COUNTIFS($D$25:$D$267,Parameters!$K$2,$E$25:$E$267,Parameters!$M$3,Calendrier!$C$25:$C$267,EC20)+ COUNTIFS($D$25:$D$267,Parameters!$K$4,$E$25:$E$267,Parameters!$M$3,Calendrier!$C$25:$C$267,EC20))</f>
        <v>0</v>
      </c>
      <c r="JU20" s="50">
        <f>IF(ED20="","",COUNTIFS($D$25:$D$267,Parameters!$K$2,$E$25:$E$267,Parameters!$M$3,Calendrier!$C$25:$C$267,ED20)+ COUNTIFS($D$25:$D$267,Parameters!$K$3,$E$25:$E$267,Parameters!$M$3,Calendrier!$C$25:$C$267,ED20))</f>
        <v>0</v>
      </c>
      <c r="JV20" s="50">
        <f>IF(EE20="","",COUNTIFS($D$25:$D$267,Parameters!$K$2,$E$25:$E$267,Parameters!$M$3,Calendrier!$C$25:$C$267,EE20)+ COUNTIFS($D$25:$D$267,Parameters!$K$4,$E$25:$E$267,Parameters!$M$3,Calendrier!$C$25:$C$267,EE20))</f>
        <v>0</v>
      </c>
      <c r="JW20" s="50">
        <f>IF(EF20="","",COUNTIFS($D$25:$D$267,Parameters!$K$2,$E$25:$E$267,Parameters!$M$3,Calendrier!$C$25:$C$267,EF20)+ COUNTIFS($D$25:$D$267,Parameters!$K$3,$E$25:$E$267,Parameters!$M$3,Calendrier!$C$25:$C$267,EF20))</f>
        <v>0</v>
      </c>
      <c r="JX20" s="50">
        <f>IF(EG20="","",COUNTIFS($D$25:$D$267,Parameters!$K$2,$E$25:$E$267,Parameters!$M$3,Calendrier!$C$25:$C$267,EG20)+ COUNTIFS($D$25:$D$267,Parameters!$K$4,$E$25:$E$267,Parameters!$M$3,Calendrier!$C$25:$C$267,EG20))</f>
        <v>0</v>
      </c>
      <c r="JY20" s="50">
        <f>IF(EH20="","",COUNTIFS($D$25:$D$267,Parameters!$K$2,$E$25:$E$267,Parameters!$M$3,Calendrier!$C$25:$C$267,EH20)+ COUNTIFS($D$25:$D$267,Parameters!$K$3,$E$25:$E$267,Parameters!$M$3,Calendrier!$C$25:$C$267,EH20))</f>
        <v>0</v>
      </c>
      <c r="JZ20" s="50">
        <f>IF(EI20="","",COUNTIFS($D$25:$D$267,Parameters!$K$2,$E$25:$E$267,Parameters!$M$3,Calendrier!$C$25:$C$267,EI20)+ COUNTIFS($D$25:$D$267,Parameters!$K$4,$E$25:$E$267,Parameters!$M$3,Calendrier!$C$25:$C$267,EI20))</f>
        <v>0</v>
      </c>
      <c r="KA20" s="50">
        <f>IF(EJ20="","",COUNTIFS($D$25:$D$267,Parameters!$K$2,$E$25:$E$267,Parameters!$M$3,Calendrier!$C$25:$C$267,EJ20)+ COUNTIFS($D$25:$D$267,Parameters!$K$3,$E$25:$E$267,Parameters!$M$3,Calendrier!$C$25:$C$267,EJ20))</f>
        <v>0</v>
      </c>
      <c r="KB20" s="57">
        <f>IF(EK20="","",COUNTIFS($D$25:$D$267,Parameters!$K$2,$E$25:$E$267,Parameters!$M$3,Calendrier!$C$25:$C$267,EK20)+ COUNTIFS($D$25:$D$267,Parameters!$K$4,$E$25:$E$267,Parameters!$M$3,Calendrier!$C$25:$C$267,EK20))</f>
        <v>0</v>
      </c>
      <c r="KE20" s="49">
        <f>IF(EN20="","",COUNTIFS($D$25:$D$267,Parameters!$K$2,$E$25:$E$267,Parameters!$M$3,Calendrier!$C$25:$C$267,EN20)+ COUNTIFS($D$25:$D$267,Parameters!$K$3,$E$25:$E$267,Parameters!$M$3,Calendrier!$C$25:$C$267,EN20))</f>
        <v>0</v>
      </c>
      <c r="KF20" s="50">
        <f>IF(EO20="","",COUNTIFS($D$25:$D$267,Parameters!$K$2,$E$25:$E$267,Parameters!$M$3,Calendrier!$C$25:$C$267,EO20)+ COUNTIFS($D$25:$D$267,Parameters!$K$4,$E$25:$E$267,Parameters!$M$3,Calendrier!$C$25:$C$267,EO20))</f>
        <v>0</v>
      </c>
      <c r="KG20" s="50">
        <f>IF(EP20="","",COUNTIFS($D$25:$D$267,Parameters!$K$2,$E$25:$E$267,Parameters!$M$3,Calendrier!$C$25:$C$267,EP20)+ COUNTIFS($D$25:$D$267,Parameters!$K$3,$E$25:$E$267,Parameters!$M$3,Calendrier!$C$25:$C$267,EP20))</f>
        <v>0</v>
      </c>
      <c r="KH20" s="50">
        <f>IF(EQ20="","",COUNTIFS($D$25:$D$267,Parameters!$K$2,$E$25:$E$267,Parameters!$M$3,Calendrier!$C$25:$C$267,EQ20)+ COUNTIFS($D$25:$D$267,Parameters!$K$4,$E$25:$E$267,Parameters!$M$3,Calendrier!$C$25:$C$267,EQ20))</f>
        <v>0</v>
      </c>
      <c r="KI20" s="50">
        <f>IF(ER20="","",COUNTIFS($D$25:$D$267,Parameters!$K$2,$E$25:$E$267,Parameters!$M$3,Calendrier!$C$25:$C$267,ER20)+ COUNTIFS($D$25:$D$267,Parameters!$K$3,$E$25:$E$267,Parameters!$M$3,Calendrier!$C$25:$C$267,ER20))</f>
        <v>0</v>
      </c>
      <c r="KJ20" s="50">
        <f>IF(ES20="","",COUNTIFS($D$25:$D$267,Parameters!$K$2,$E$25:$E$267,Parameters!$M$3,Calendrier!$C$25:$C$267,ES20)+ COUNTIFS($D$25:$D$267,Parameters!$K$4,$E$25:$E$267,Parameters!$M$3,Calendrier!$C$25:$C$267,ES20))</f>
        <v>0</v>
      </c>
      <c r="KK20" s="50">
        <f>IF(ET20="","",COUNTIFS($D$25:$D$267,Parameters!$K$2,$E$25:$E$267,Parameters!$M$3,Calendrier!$C$25:$C$267,ET20)+ COUNTIFS($D$25:$D$267,Parameters!$K$3,$E$25:$E$267,Parameters!$M$3,Calendrier!$C$25:$C$267,ET20))</f>
        <v>0</v>
      </c>
      <c r="KL20" s="50">
        <f>IF(EU20="","",COUNTIFS($D$25:$D$267,Parameters!$K$2,$E$25:$E$267,Parameters!$M$3,Calendrier!$C$25:$C$267,EU20)+ COUNTIFS($D$25:$D$267,Parameters!$K$4,$E$25:$E$267,Parameters!$M$3,Calendrier!$C$25:$C$267,EU20))</f>
        <v>0</v>
      </c>
      <c r="KM20" s="50">
        <f>IF(EV20="","",COUNTIFS($D$25:$D$267,Parameters!$K$2,$E$25:$E$267,Parameters!$M$3,Calendrier!$C$25:$C$267,EV20)+ COUNTIFS($D$25:$D$267,Parameters!$K$3,$E$25:$E$267,Parameters!$M$3,Calendrier!$C$25:$C$267,EV20))</f>
        <v>0</v>
      </c>
      <c r="KN20" s="50">
        <f>IF(EW20="","",COUNTIFS($D$25:$D$267,Parameters!$K$2,$E$25:$E$267,Parameters!$M$3,Calendrier!$C$25:$C$267,EW20)+ COUNTIFS($D$25:$D$267,Parameters!$K$4,$E$25:$E$267,Parameters!$M$3,Calendrier!$C$25:$C$267,EW20))</f>
        <v>0</v>
      </c>
      <c r="KO20" s="50">
        <f>IF(EX20="","",COUNTIFS($D$25:$D$267,Parameters!$K$2,$E$25:$E$267,Parameters!$M$3,Calendrier!$C$25:$C$267,EX20)+ COUNTIFS($D$25:$D$267,Parameters!$K$3,$E$25:$E$267,Parameters!$M$3,Calendrier!$C$25:$C$267,EX20))</f>
        <v>0</v>
      </c>
      <c r="KP20" s="50">
        <f>IF(EY20="","",COUNTIFS($D$25:$D$267,Parameters!$K$2,$E$25:$E$267,Parameters!$M$3,Calendrier!$C$25:$C$267,EY20)+ COUNTIFS($D$25:$D$267,Parameters!$K$4,$E$25:$E$267,Parameters!$M$3,Calendrier!$C$25:$C$267,EY20))</f>
        <v>0</v>
      </c>
      <c r="KQ20" s="50">
        <f>IF(EZ20="","",COUNTIFS($D$25:$D$267,Parameters!$K$2,$E$25:$E$267,Parameters!$M$3,Calendrier!$C$25:$C$267,EZ20)+ COUNTIFS($D$25:$D$267,Parameters!$K$3,$E$25:$E$267,Parameters!$M$3,Calendrier!$C$25:$C$267,EZ20))</f>
        <v>0</v>
      </c>
      <c r="KR20" s="57">
        <f>IF(FA20="","",COUNTIFS($D$25:$D$267,Parameters!$K$2,$E$25:$E$267,Parameters!$M$3,Calendrier!$C$25:$C$267,FA20)+ COUNTIFS($D$25:$D$267,Parameters!$K$4,$E$25:$E$267,Parameters!$M$3,Calendrier!$C$25:$C$267,FA20))</f>
        <v>0</v>
      </c>
      <c r="KV20" s="49">
        <f>IF(DH20="","",COUNTIFS($D$25:$D$267,Parameters!$K$2,$E$25:$E$267,Parameters!$M$4,Calendrier!$C$25:$C$267,DH20)+ COUNTIFS($D$25:$D$267,Parameters!$K$3,$E$25:$E$267,Parameters!$M$4,Calendrier!$C$25:$C$267,DH20))</f>
        <v>0</v>
      </c>
      <c r="KW20" s="50">
        <f>IF(DI20="","",COUNTIFS($D$25:$D$267,Parameters!$K$2,$E$25:$E$267,Parameters!$M$4,Calendrier!$C$25:$C$267,DI20)+ COUNTIFS($D$25:$D$267,Parameters!$K$4,$E$25:$E$267,Parameters!$M$4,Calendrier!$C$25:$C$267,DI20))</f>
        <v>0</v>
      </c>
      <c r="KX20" s="50">
        <f>IF(DJ20="","",COUNTIFS($D$25:$D$267,Parameters!$K$2,$E$25:$E$267,Parameters!$M$4,Calendrier!$C$25:$C$267,DJ20)+ COUNTIFS($D$25:$D$267,Parameters!$K$3,$E$25:$E$267,Parameters!$M$4,Calendrier!$C$25:$C$267,DJ20))</f>
        <v>0</v>
      </c>
      <c r="KY20" s="50">
        <f>IF(DK20="","",COUNTIFS($D$25:$D$267,Parameters!$K$2,$E$25:$E$267,Parameters!$M$4,Calendrier!$C$25:$C$267,DK20)+ COUNTIFS($D$25:$D$267,Parameters!$K$4,$E$25:$E$267,Parameters!$M$4,Calendrier!$C$25:$C$267,DK20))</f>
        <v>0</v>
      </c>
      <c r="KZ20" s="50">
        <f>IF(DL20="","",COUNTIFS($D$25:$D$267,Parameters!$K$2,$E$25:$E$267,Parameters!$M$4,Calendrier!$C$25:$C$267,DL20)+ COUNTIFS($D$25:$D$267,Parameters!$K$3,$E$25:$E$267,Parameters!$M$4,Calendrier!$C$25:$C$267,DL20))</f>
        <v>0</v>
      </c>
      <c r="LA20" s="50">
        <f>IF(DM20="","",COUNTIFS($D$25:$D$267,Parameters!$K$2,$E$25:$E$267,Parameters!$M$4,Calendrier!$C$25:$C$267,DM20)+ COUNTIFS($D$25:$D$267,Parameters!$K$4,$E$25:$E$267,Parameters!$M$4,Calendrier!$C$25:$C$267,DM20))</f>
        <v>0</v>
      </c>
      <c r="LB20" s="50">
        <f>IF(DN20="","",COUNTIFS($D$25:$D$267,Parameters!$K$2,$E$25:$E$267,Parameters!$M$4,Calendrier!$C$25:$C$267,DN20)+ COUNTIFS($D$25:$D$267,Parameters!$K$3,$E$25:$E$267,Parameters!$M$4,Calendrier!$C$25:$C$267,DN20))</f>
        <v>0</v>
      </c>
      <c r="LC20" s="50">
        <f>IF(DO20="","",COUNTIFS($D$25:$D$267,Parameters!$K$2,$E$25:$E$267,Parameters!$M$4,Calendrier!$C$25:$C$267,DO20)+ COUNTIFS($D$25:$D$267,Parameters!$K$4,$E$25:$E$267,Parameters!$M$4,Calendrier!$C$25:$C$267,DO20))</f>
        <v>0</v>
      </c>
      <c r="LD20" s="50">
        <f>IF(DP20="","",COUNTIFS($D$25:$D$267,Parameters!$K$2,$E$25:$E$267,Parameters!$M$4,Calendrier!$C$25:$C$267,DP20)+ COUNTIFS($D$25:$D$267,Parameters!$K$3,$E$25:$E$267,Parameters!$M$4,Calendrier!$C$25:$C$267,DP20))</f>
        <v>0</v>
      </c>
      <c r="LE20" s="50">
        <f>IF(DQ20="","",COUNTIFS($D$25:$D$267,Parameters!$K$2,$E$25:$E$267,Parameters!$M$4,Calendrier!$C$25:$C$267,DQ20)+ COUNTIFS($D$25:$D$267,Parameters!$K$4,$E$25:$E$267,Parameters!$M$4,Calendrier!$C$25:$C$267,DQ20))</f>
        <v>0</v>
      </c>
      <c r="LF20" s="50">
        <f>IF(DR20="","",COUNTIFS($D$25:$D$267,Parameters!$K$2,$E$25:$E$267,Parameters!$M$4,Calendrier!$C$25:$C$267,DR20)+ COUNTIFS($D$25:$D$267,Parameters!$K$3,$E$25:$E$267,Parameters!$M$4,Calendrier!$C$25:$C$267,DR20))</f>
        <v>0</v>
      </c>
      <c r="LG20" s="50">
        <f>IF(DS20="","",COUNTIFS($D$25:$D$267,Parameters!$K$2,$E$25:$E$267,Parameters!$M$4,Calendrier!$C$25:$C$267,DS20)+ COUNTIFS($D$25:$D$267,Parameters!$K$4,$E$25:$E$267,Parameters!$M$4,Calendrier!$C$25:$C$267,DS20))</f>
        <v>0</v>
      </c>
      <c r="LH20" s="50">
        <f>IF(DT20="","",COUNTIFS($D$25:$D$267,Parameters!$K$2,$E$25:$E$267,Parameters!$M$4,Calendrier!$C$25:$C$267,DT20)+ COUNTIFS($D$25:$D$267,Parameters!$K$3,$E$25:$E$267,Parameters!$M$4,Calendrier!$C$25:$C$267,DT20))</f>
        <v>0</v>
      </c>
      <c r="LI20" s="57">
        <f>IF(DU20="","",COUNTIFS($D$25:$D$267,Parameters!$K$2,$E$25:$E$267,Parameters!$M$4,Calendrier!$C$25:$C$267,DU20)+ COUNTIFS($D$25:$D$267,Parameters!$K$4,$E$25:$E$267,Parameters!$M$4,Calendrier!$C$25:$C$267,DU20))</f>
        <v>0</v>
      </c>
      <c r="LL20" s="49">
        <f>IF(DX20="","",COUNTIFS($D$25:$D$267,Parameters!$K$2,$E$25:$E$267,Parameters!$M$4,Calendrier!$C$25:$C$267,DX20)+ COUNTIFS($D$25:$D$267,Parameters!$K$3,$E$25:$E$267,Parameters!$M$4,Calendrier!$C$25:$C$267,DX20))</f>
        <v>0</v>
      </c>
      <c r="LM20" s="50">
        <f>IF(DY20="","",COUNTIFS($D$25:$D$267,Parameters!$K$2,$E$25:$E$267,Parameters!$M$4,Calendrier!$C$25:$C$267,DY20)+ COUNTIFS($D$25:$D$267,Parameters!$K$4,$E$25:$E$267,Parameters!$M$4,Calendrier!$C$25:$C$267,DY20))</f>
        <v>0</v>
      </c>
      <c r="LN20" s="50">
        <f>IF(DZ20="","",COUNTIFS($D$25:$D$267,Parameters!$K$2,$E$25:$E$267,Parameters!$M$4,Calendrier!$C$25:$C$267,DZ20)+ COUNTIFS($D$25:$D$267,Parameters!$K$3,$E$25:$E$267,Parameters!$M$4,Calendrier!$C$25:$C$267,DZ20))</f>
        <v>0</v>
      </c>
      <c r="LO20" s="50">
        <f>IF(EA20="","",COUNTIFS($D$25:$D$267,Parameters!$K$2,$E$25:$E$267,Parameters!$M$4,Calendrier!$C$25:$C$267,EA20)+ COUNTIFS($D$25:$D$267,Parameters!$K$4,$E$25:$E$267,Parameters!$M$4,Calendrier!$C$25:$C$267,EA20))</f>
        <v>0</v>
      </c>
      <c r="LP20" s="50">
        <f>IF(EB20="","",COUNTIFS($D$25:$D$267,Parameters!$K$2,$E$25:$E$267,Parameters!$M$4,Calendrier!$C$25:$C$267,EB20)+ COUNTIFS($D$25:$D$267,Parameters!$K$3,$E$25:$E$267,Parameters!$M$4,Calendrier!$C$25:$C$267,EB20))</f>
        <v>0</v>
      </c>
      <c r="LQ20" s="50">
        <f>IF(EC20="","",COUNTIFS($D$25:$D$267,Parameters!$K$2,$E$25:$E$267,Parameters!$M$4,Calendrier!$C$25:$C$267,EC20)+ COUNTIFS($D$25:$D$267,Parameters!$K$4,$E$25:$E$267,Parameters!$M$4,Calendrier!$C$25:$C$267,EC20))</f>
        <v>0</v>
      </c>
      <c r="LR20" s="50">
        <f>IF(ED20="","",COUNTIFS($D$25:$D$267,Parameters!$K$2,$E$25:$E$267,Parameters!$M$4,Calendrier!$C$25:$C$267,ED20)+ COUNTIFS($D$25:$D$267,Parameters!$K$3,$E$25:$E$267,Parameters!$M$4,Calendrier!$C$25:$C$267,ED20))</f>
        <v>0</v>
      </c>
      <c r="LS20" s="50">
        <f>IF(EE20="","",COUNTIFS($D$25:$D$267,Parameters!$K$2,$E$25:$E$267,Parameters!$M$4,Calendrier!$C$25:$C$267,EE20)+ COUNTIFS($D$25:$D$267,Parameters!$K$4,$E$25:$E$267,Parameters!$M$4,Calendrier!$C$25:$C$267,EE20))</f>
        <v>0</v>
      </c>
      <c r="LT20" s="50">
        <f>IF(EF20="","",COUNTIFS($D$25:$D$267,Parameters!$K$2,$E$25:$E$267,Parameters!$M$4,Calendrier!$C$25:$C$267,EF20)+ COUNTIFS($D$25:$D$267,Parameters!$K$3,$E$25:$E$267,Parameters!$M$4,Calendrier!$C$25:$C$267,EF20))</f>
        <v>0</v>
      </c>
      <c r="LU20" s="50">
        <f>IF(EG20="","",COUNTIFS($D$25:$D$267,Parameters!$K$2,$E$25:$E$267,Parameters!$M$4,Calendrier!$C$25:$C$267,EG20)+ COUNTIFS($D$25:$D$267,Parameters!$K$4,$E$25:$E$267,Parameters!$M$4,Calendrier!$C$25:$C$267,EG20))</f>
        <v>0</v>
      </c>
      <c r="LV20" s="50">
        <f>IF(EH20="","",COUNTIFS($D$25:$D$267,Parameters!$K$2,$E$25:$E$267,Parameters!$M$4,Calendrier!$C$25:$C$267,EH20)+ COUNTIFS($D$25:$D$267,Parameters!$K$3,$E$25:$E$267,Parameters!$M$4,Calendrier!$C$25:$C$267,EH20))</f>
        <v>0</v>
      </c>
      <c r="LW20" s="50">
        <f>IF(EI20="","",COUNTIFS($D$25:$D$267,Parameters!$K$2,$E$25:$E$267,Parameters!$M$4,Calendrier!$C$25:$C$267,EI20)+ COUNTIFS($D$25:$D$267,Parameters!$K$4,$E$25:$E$267,Parameters!$M$4,Calendrier!$C$25:$C$267,EI20))</f>
        <v>0</v>
      </c>
      <c r="LX20" s="50">
        <f>IF(EJ20="","",COUNTIFS($D$25:$D$267,Parameters!$K$2,$E$25:$E$267,Parameters!$M$4,Calendrier!$C$25:$C$267,EJ20)+ COUNTIFS($D$25:$D$267,Parameters!$K$3,$E$25:$E$267,Parameters!$M$4,Calendrier!$C$25:$C$267,EJ20))</f>
        <v>0</v>
      </c>
      <c r="LY20" s="57">
        <f>IF(EK20="","",COUNTIFS($D$25:$D$267,Parameters!$K$2,$E$25:$E$267,Parameters!$M$4,Calendrier!$C$25:$C$267,EK20)+ COUNTIFS($D$25:$D$267,Parameters!$K$4,$E$25:$E$267,Parameters!$M$4,Calendrier!$C$25:$C$267,EK20))</f>
        <v>0</v>
      </c>
      <c r="MB20" s="49">
        <f>IF(EN20="","",COUNTIFS($D$25:$D$267,Parameters!$K$2,$E$25:$E$267,Parameters!$M$4,Calendrier!$C$25:$C$267,EN20)+ COUNTIFS($D$25:$D$267,Parameters!$K$3,$E$25:$E$267,Parameters!$M$4,Calendrier!$C$25:$C$267,EN20))</f>
        <v>0</v>
      </c>
      <c r="MC20" s="50">
        <f>IF(EO20="","",COUNTIFS($D$25:$D$267,Parameters!$K$2,$E$25:$E$267,Parameters!$M$4,Calendrier!$C$25:$C$267,EO20)+ COUNTIFS($D$25:$D$267,Parameters!$K$4,$E$25:$E$267,Parameters!$M$4,Calendrier!$C$25:$C$267,EO20))</f>
        <v>0</v>
      </c>
      <c r="MD20" s="50">
        <f>IF(EP20="","",COUNTIFS($D$25:$D$267,Parameters!$K$2,$E$25:$E$267,Parameters!$M$4,Calendrier!$C$25:$C$267,EP20)+ COUNTIFS($D$25:$D$267,Parameters!$K$3,$E$25:$E$267,Parameters!$M$4,Calendrier!$C$25:$C$267,EP20))</f>
        <v>0</v>
      </c>
      <c r="ME20" s="50">
        <f>IF(EQ20="","",COUNTIFS($D$25:$D$267,Parameters!$K$2,$E$25:$E$267,Parameters!$M$4,Calendrier!$C$25:$C$267,EQ20)+ COUNTIFS($D$25:$D$267,Parameters!$K$4,$E$25:$E$267,Parameters!$M$4,Calendrier!$C$25:$C$267,EQ20))</f>
        <v>0</v>
      </c>
      <c r="MF20" s="50">
        <f>IF(ER20="","",COUNTIFS($D$25:$D$267,Parameters!$K$2,$E$25:$E$267,Parameters!$M$4,Calendrier!$C$25:$C$267,ER20)+ COUNTIFS($D$25:$D$267,Parameters!$K$3,$E$25:$E$267,Parameters!$M$4,Calendrier!$C$25:$C$267,ER20))</f>
        <v>0</v>
      </c>
      <c r="MG20" s="50">
        <f>IF(ES20="","",COUNTIFS($D$25:$D$267,Parameters!$K$2,$E$25:$E$267,Parameters!$M$4,Calendrier!$C$25:$C$267,ES20)+ COUNTIFS($D$25:$D$267,Parameters!$K$4,$E$25:$E$267,Parameters!$M$4,Calendrier!$C$25:$C$267,ES20))</f>
        <v>0</v>
      </c>
      <c r="MH20" s="50">
        <f>IF(ET20="","",COUNTIFS($D$25:$D$267,Parameters!$K$2,$E$25:$E$267,Parameters!$M$4,Calendrier!$C$25:$C$267,ET20)+ COUNTIFS($D$25:$D$267,Parameters!$K$3,$E$25:$E$267,Parameters!$M$4,Calendrier!$C$25:$C$267,ET20))</f>
        <v>0</v>
      </c>
      <c r="MI20" s="50">
        <f>IF(EU20="","",COUNTIFS($D$25:$D$267,Parameters!$K$2,$E$25:$E$267,Parameters!$M$4,Calendrier!$C$25:$C$267,EU20)+ COUNTIFS($D$25:$D$267,Parameters!$K$4,$E$25:$E$267,Parameters!$M$4,Calendrier!$C$25:$C$267,EU20))</f>
        <v>0</v>
      </c>
      <c r="MJ20" s="50">
        <f>IF(EV20="","",COUNTIFS($D$25:$D$267,Parameters!$K$2,$E$25:$E$267,Parameters!$M$4,Calendrier!$C$25:$C$267,EV20)+ COUNTIFS($D$25:$D$267,Parameters!$K$3,$E$25:$E$267,Parameters!$M$4,Calendrier!$C$25:$C$267,EV20))</f>
        <v>0</v>
      </c>
      <c r="MK20" s="50">
        <f>IF(EW20="","",COUNTIFS($D$25:$D$267,Parameters!$K$2,$E$25:$E$267,Parameters!$M$4,Calendrier!$C$25:$C$267,EW20)+ COUNTIFS($D$25:$D$267,Parameters!$K$4,$E$25:$E$267,Parameters!$M$4,Calendrier!$C$25:$C$267,EW20))</f>
        <v>0</v>
      </c>
      <c r="ML20" s="50">
        <f>IF(EX20="","",COUNTIFS($D$25:$D$267,Parameters!$K$2,$E$25:$E$267,Parameters!$M$4,Calendrier!$C$25:$C$267,EX20)+ COUNTIFS($D$25:$D$267,Parameters!$K$3,$E$25:$E$267,Parameters!$M$4,Calendrier!$C$25:$C$267,EX20))</f>
        <v>0</v>
      </c>
      <c r="MM20" s="50">
        <f>IF(EY20="","",COUNTIFS($D$25:$D$267,Parameters!$K$2,$E$25:$E$267,Parameters!$M$4,Calendrier!$C$25:$C$267,EY20)+ COUNTIFS($D$25:$D$267,Parameters!$K$4,$E$25:$E$267,Parameters!$M$4,Calendrier!$C$25:$C$267,EY20))</f>
        <v>0</v>
      </c>
      <c r="MN20" s="50">
        <f>IF(EZ20="","",COUNTIFS($D$25:$D$267,Parameters!$K$2,$E$25:$E$267,Parameters!$M$4,Calendrier!$C$25:$C$267,EZ20)+ COUNTIFS($D$25:$D$267,Parameters!$K$3,$E$25:$E$267,Parameters!$M$4,Calendrier!$C$25:$C$267,EZ20))</f>
        <v>0</v>
      </c>
      <c r="MO20" s="57">
        <f>IF(FA20="","",COUNTIFS($D$25:$D$267,Parameters!$K$2,$E$25:$E$267,Parameters!$M$4,Calendrier!$C$25:$C$267,FA20)+ COUNTIFS($D$25:$D$267,Parameters!$K$4,$E$25:$E$267,Parameters!$M$4,Calendrier!$C$25:$C$267,FA20))</f>
        <v>0</v>
      </c>
      <c r="MS20" s="49">
        <f>IF(DH20="","",COUNTIFS($D$25:$D$267,Parameters!$K$2,$E$25:$E$267,Parameters!$M$5,Calendrier!$C$25:$C$267,DH20)+ COUNTIFS($D$25:$D$267,Parameters!$K$3,$E$25:$E$267,Parameters!$M$5,Calendrier!$C$25:$C$267,DH20))</f>
        <v>0</v>
      </c>
      <c r="MT20" s="50">
        <f>IF(DI20="","",COUNTIFS($D$25:$D$267,Parameters!$K$2,$E$25:$E$267,Parameters!$M$5,Calendrier!$C$25:$C$267,DI20)+ COUNTIFS($D$25:$D$267,Parameters!$K$4,$E$25:$E$267,Parameters!$M$5,Calendrier!$C$25:$C$267,DI20))</f>
        <v>0</v>
      </c>
      <c r="MU20" s="50">
        <f>IF(DJ20="","",COUNTIFS($D$25:$D$267,Parameters!$K$2,$E$25:$E$267,Parameters!$M$5,Calendrier!$C$25:$C$267,DJ20)+ COUNTIFS($D$25:$D$267,Parameters!$K$3,$E$25:$E$267,Parameters!$M$5,Calendrier!$C$25:$C$267,DJ20))</f>
        <v>0</v>
      </c>
      <c r="MV20" s="50">
        <f>IF(DK20="","",COUNTIFS($D$25:$D$267,Parameters!$K$2,$E$25:$E$267,Parameters!$M$5,Calendrier!$C$25:$C$267,DK20)+ COUNTIFS($D$25:$D$267,Parameters!$K$4,$E$25:$E$267,Parameters!$M$5,Calendrier!$C$25:$C$267,DK20))</f>
        <v>0</v>
      </c>
      <c r="MW20" s="50">
        <f>IF(DL20="","",COUNTIFS($D$25:$D$267,Parameters!$K$2,$E$25:$E$267,Parameters!$M$5,Calendrier!$C$25:$C$267,DL20)+ COUNTIFS($D$25:$D$267,Parameters!$K$3,$E$25:$E$267,Parameters!$M$5,Calendrier!$C$25:$C$267,DL20))</f>
        <v>0</v>
      </c>
      <c r="MX20" s="50">
        <f>IF(DM20="","",COUNTIFS($D$25:$D$267,Parameters!$K$2,$E$25:$E$267,Parameters!$M$5,Calendrier!$C$25:$C$267,DM20)+ COUNTIFS($D$25:$D$267,Parameters!$K$4,$E$25:$E$267,Parameters!$M$5,Calendrier!$C$25:$C$267,DM20))</f>
        <v>0</v>
      </c>
      <c r="MY20" s="50">
        <f>IF(DN20="","",COUNTIFS($D$25:$D$267,Parameters!$K$2,$E$25:$E$267,Parameters!$M$5,Calendrier!$C$25:$C$267,DN20)+ COUNTIFS($D$25:$D$267,Parameters!$K$3,$E$25:$E$267,Parameters!$M$5,Calendrier!$C$25:$C$267,DN20))</f>
        <v>0</v>
      </c>
      <c r="MZ20" s="50">
        <f>IF(DO20="","",COUNTIFS($D$25:$D$267,Parameters!$K$2,$E$25:$E$267,Parameters!$M$5,Calendrier!$C$25:$C$267,DO20)+ COUNTIFS($D$25:$D$267,Parameters!$K$4,$E$25:$E$267,Parameters!$M$5,Calendrier!$C$25:$C$267,DO20))</f>
        <v>0</v>
      </c>
      <c r="NA20" s="50">
        <f>IF(DP20="","",COUNTIFS($D$25:$D$267,Parameters!$K$2,$E$25:$E$267,Parameters!$M$5,Calendrier!$C$25:$C$267,DP20)+ COUNTIFS($D$25:$D$267,Parameters!$K$3,$E$25:$E$267,Parameters!$M$5,Calendrier!$C$25:$C$267,DP20))</f>
        <v>0</v>
      </c>
      <c r="NB20" s="50">
        <f>IF(DQ20="","",COUNTIFS($D$25:$D$267,Parameters!$K$2,$E$25:$E$267,Parameters!$M$5,Calendrier!$C$25:$C$267,DQ20)+ COUNTIFS($D$25:$D$267,Parameters!$K$4,$E$25:$E$267,Parameters!$M$5,Calendrier!$C$25:$C$267,DQ20))</f>
        <v>0</v>
      </c>
      <c r="NC20" s="50">
        <f>IF(DR20="","",COUNTIFS($D$25:$D$267,Parameters!$K$2,$E$25:$E$267,Parameters!$M$5,Calendrier!$C$25:$C$267,DR20)+ COUNTIFS($D$25:$D$267,Parameters!$K$3,$E$25:$E$267,Parameters!$M$5,Calendrier!$C$25:$C$267,DR20))</f>
        <v>0</v>
      </c>
      <c r="ND20" s="50">
        <f>IF(DS20="","",COUNTIFS($D$25:$D$267,Parameters!$K$2,$E$25:$E$267,Parameters!$M$5,Calendrier!$C$25:$C$267,DS20)+ COUNTIFS($D$25:$D$267,Parameters!$K$4,$E$25:$E$267,Parameters!$M$5,Calendrier!$C$25:$C$267,DS20))</f>
        <v>0</v>
      </c>
      <c r="NE20" s="50">
        <f>IF(DT20="","",COUNTIFS($D$25:$D$267,Parameters!$K$2,$E$25:$E$267,Parameters!$M$5,Calendrier!$C$25:$C$267,DT20)+ COUNTIFS($D$25:$D$267,Parameters!$K$3,$E$25:$E$267,Parameters!$M$5,Calendrier!$C$25:$C$267,DT20))</f>
        <v>0</v>
      </c>
      <c r="NF20" s="57">
        <f>IF(DU20="","",COUNTIFS($D$25:$D$267,Parameters!$K$2,$E$25:$E$267,Parameters!$M$5,Calendrier!$C$25:$C$267,DU20)+ COUNTIFS($D$25:$D$267,Parameters!$K$4,$E$25:$E$267,Parameters!$M$5,Calendrier!$C$25:$C$267,DU20))</f>
        <v>0</v>
      </c>
      <c r="NI20" s="49">
        <f>IF(DX20="","",COUNTIFS($D$25:$D$267,Parameters!$K$2,$E$25:$E$267,Parameters!$M$5,Calendrier!$C$25:$C$267,DX20)+ COUNTIFS($D$25:$D$267,Parameters!$K$3,$E$25:$E$267,Parameters!$M$5,Calendrier!$C$25:$C$267,DX20))</f>
        <v>0</v>
      </c>
      <c r="NJ20" s="50">
        <f>IF(DY20="","",COUNTIFS($D$25:$D$267,Parameters!$K$2,$E$25:$E$267,Parameters!$M$5,Calendrier!$C$25:$C$267,DY20)+ COUNTIFS($D$25:$D$267,Parameters!$K$4,$E$25:$E$267,Parameters!$M$5,Calendrier!$C$25:$C$267,DY20))</f>
        <v>0</v>
      </c>
      <c r="NK20" s="50">
        <f>IF(DZ20="","",COUNTIFS($D$25:$D$267,Parameters!$K$2,$E$25:$E$267,Parameters!$M$5,Calendrier!$C$25:$C$267,DZ20)+ COUNTIFS($D$25:$D$267,Parameters!$K$3,$E$25:$E$267,Parameters!$M$5,Calendrier!$C$25:$C$267,DZ20))</f>
        <v>0</v>
      </c>
      <c r="NL20" s="50">
        <f>IF(EA20="","",COUNTIFS($D$25:$D$267,Parameters!$K$2,$E$25:$E$267,Parameters!$M$5,Calendrier!$C$25:$C$267,EA20)+ COUNTIFS($D$25:$D$267,Parameters!$K$4,$E$25:$E$267,Parameters!$M$5,Calendrier!$C$25:$C$267,EA20))</f>
        <v>0</v>
      </c>
      <c r="NM20" s="50">
        <f>IF(EB20="","",COUNTIFS($D$25:$D$267,Parameters!$K$2,$E$25:$E$267,Parameters!$M$5,Calendrier!$C$25:$C$267,EB20)+ COUNTIFS($D$25:$D$267,Parameters!$K$3,$E$25:$E$267,Parameters!$M$5,Calendrier!$C$25:$C$267,EB20))</f>
        <v>0</v>
      </c>
      <c r="NN20" s="50">
        <f>IF(EC20="","",COUNTIFS($D$25:$D$267,Parameters!$K$2,$E$25:$E$267,Parameters!$M$5,Calendrier!$C$25:$C$267,EC20)+ COUNTIFS($D$25:$D$267,Parameters!$K$4,$E$25:$E$267,Parameters!$M$5,Calendrier!$C$25:$C$267,EC20))</f>
        <v>0</v>
      </c>
      <c r="NO20" s="50">
        <f>IF(ED20="","",COUNTIFS($D$25:$D$267,Parameters!$K$2,$E$25:$E$267,Parameters!$M$5,Calendrier!$C$25:$C$267,ED20)+ COUNTIFS($D$25:$D$267,Parameters!$K$3,$E$25:$E$267,Parameters!$M$5,Calendrier!$C$25:$C$267,ED20))</f>
        <v>0</v>
      </c>
      <c r="NP20" s="50">
        <f>IF(EE20="","",COUNTIFS($D$25:$D$267,Parameters!$K$2,$E$25:$E$267,Parameters!$M$5,Calendrier!$C$25:$C$267,EE20)+ COUNTIFS($D$25:$D$267,Parameters!$K$4,$E$25:$E$267,Parameters!$M$5,Calendrier!$C$25:$C$267,EE20))</f>
        <v>0</v>
      </c>
      <c r="NQ20" s="50">
        <f>IF(EF20="","",COUNTIFS($D$25:$D$267,Parameters!$K$2,$E$25:$E$267,Parameters!$M$5,Calendrier!$C$25:$C$267,EF20)+ COUNTIFS($D$25:$D$267,Parameters!$K$3,$E$25:$E$267,Parameters!$M$5,Calendrier!$C$25:$C$267,EF20))</f>
        <v>0</v>
      </c>
      <c r="NR20" s="50">
        <f>IF(EG20="","",COUNTIFS($D$25:$D$267,Parameters!$K$2,$E$25:$E$267,Parameters!$M$5,Calendrier!$C$25:$C$267,EG20)+ COUNTIFS($D$25:$D$267,Parameters!$K$4,$E$25:$E$267,Parameters!$M$5,Calendrier!$C$25:$C$267,EG20))</f>
        <v>0</v>
      </c>
      <c r="NS20" s="50">
        <f>IF(EH20="","",COUNTIFS($D$25:$D$267,Parameters!$K$2,$E$25:$E$267,Parameters!$M$5,Calendrier!$C$25:$C$267,EH20)+ COUNTIFS($D$25:$D$267,Parameters!$K$3,$E$25:$E$267,Parameters!$M$5,Calendrier!$C$25:$C$267,EH20))</f>
        <v>0</v>
      </c>
      <c r="NT20" s="50">
        <f>IF(EI20="","",COUNTIFS($D$25:$D$267,Parameters!$K$2,$E$25:$E$267,Parameters!$M$5,Calendrier!$C$25:$C$267,EI20)+ COUNTIFS($D$25:$D$267,Parameters!$K$4,$E$25:$E$267,Parameters!$M$5,Calendrier!$C$25:$C$267,EI20))</f>
        <v>0</v>
      </c>
      <c r="NU20" s="50">
        <f>IF(EJ20="","",COUNTIFS($D$25:$D$267,Parameters!$K$2,$E$25:$E$267,Parameters!$M$5,Calendrier!$C$25:$C$267,EJ20)+ COUNTIFS($D$25:$D$267,Parameters!$K$3,$E$25:$E$267,Parameters!$M$5,Calendrier!$C$25:$C$267,EJ20))</f>
        <v>0</v>
      </c>
      <c r="NV20" s="57">
        <f>IF(EK20="","",COUNTIFS($D$25:$D$267,Parameters!$K$2,$E$25:$E$267,Parameters!$M$5,Calendrier!$C$25:$C$267,EK20)+ COUNTIFS($D$25:$D$267,Parameters!$K$4,$E$25:$E$267,Parameters!$M$5,Calendrier!$C$25:$C$267,EK20))</f>
        <v>0</v>
      </c>
      <c r="NY20" s="49">
        <f>IF(EN20="","",COUNTIFS($D$25:$D$267,Parameters!$K$2,$E$25:$E$267,Parameters!$M$5,Calendrier!$C$25:$C$267,EN20)+ COUNTIFS($D$25:$D$267,Parameters!$K$3,$E$25:$E$267,Parameters!$M$5,Calendrier!$C$25:$C$267,EN20))</f>
        <v>0</v>
      </c>
      <c r="NZ20" s="50">
        <f>IF(EO20="","",COUNTIFS($D$25:$D$267,Parameters!$K$2,$E$25:$E$267,Parameters!$M$5,Calendrier!$C$25:$C$267,EO20)+ COUNTIFS($D$25:$D$267,Parameters!$K$4,$E$25:$E$267,Parameters!$M$5,Calendrier!$C$25:$C$267,EO20))</f>
        <v>0</v>
      </c>
      <c r="OA20" s="50">
        <f>IF(EP20="","",COUNTIFS($D$25:$D$267,Parameters!$K$2,$E$25:$E$267,Parameters!$M$5,Calendrier!$C$25:$C$267,EP20)+ COUNTIFS($D$25:$D$267,Parameters!$K$3,$E$25:$E$267,Parameters!$M$5,Calendrier!$C$25:$C$267,EP20))</f>
        <v>0</v>
      </c>
      <c r="OB20" s="50">
        <f>IF(EQ20="","",COUNTIFS($D$25:$D$267,Parameters!$K$2,$E$25:$E$267,Parameters!$M$5,Calendrier!$C$25:$C$267,EQ20)+ COUNTIFS($D$25:$D$267,Parameters!$K$4,$E$25:$E$267,Parameters!$M$5,Calendrier!$C$25:$C$267,EQ20))</f>
        <v>0</v>
      </c>
      <c r="OC20" s="50">
        <f>IF(ER20="","",COUNTIFS($D$25:$D$267,Parameters!$K$2,$E$25:$E$267,Parameters!$M$5,Calendrier!$C$25:$C$267,ER20)+ COUNTIFS($D$25:$D$267,Parameters!$K$3,$E$25:$E$267,Parameters!$M$5,Calendrier!$C$25:$C$267,ER20))</f>
        <v>0</v>
      </c>
      <c r="OD20" s="50">
        <f>IF(ES20="","",COUNTIFS($D$25:$D$267,Parameters!$K$2,$E$25:$E$267,Parameters!$M$5,Calendrier!$C$25:$C$267,ES20)+ COUNTIFS($D$25:$D$267,Parameters!$K$4,$E$25:$E$267,Parameters!$M$5,Calendrier!$C$25:$C$267,ES20))</f>
        <v>0</v>
      </c>
      <c r="OE20" s="50">
        <f>IF(ET20="","",COUNTIFS($D$25:$D$267,Parameters!$K$2,$E$25:$E$267,Parameters!$M$5,Calendrier!$C$25:$C$267,ET20)+ COUNTIFS($D$25:$D$267,Parameters!$K$3,$E$25:$E$267,Parameters!$M$5,Calendrier!$C$25:$C$267,ET20))</f>
        <v>0</v>
      </c>
      <c r="OF20" s="50">
        <f>IF(EU20="","",COUNTIFS($D$25:$D$267,Parameters!$K$2,$E$25:$E$267,Parameters!$M$5,Calendrier!$C$25:$C$267,EU20)+ COUNTIFS($D$25:$D$267,Parameters!$K$4,$E$25:$E$267,Parameters!$M$5,Calendrier!$C$25:$C$267,EU20))</f>
        <v>0</v>
      </c>
      <c r="OG20" s="50">
        <f>IF(EV20="","",COUNTIFS($D$25:$D$267,Parameters!$K$2,$E$25:$E$267,Parameters!$M$5,Calendrier!$C$25:$C$267,EV20)+ COUNTIFS($D$25:$D$267,Parameters!$K$3,$E$25:$E$267,Parameters!$M$5,Calendrier!$C$25:$C$267,EV20))</f>
        <v>0</v>
      </c>
      <c r="OH20" s="50">
        <f>IF(EW20="","",COUNTIFS($D$25:$D$267,Parameters!$K$2,$E$25:$E$267,Parameters!$M$5,Calendrier!$C$25:$C$267,EW20)+ COUNTIFS($D$25:$D$267,Parameters!$K$4,$E$25:$E$267,Parameters!$M$5,Calendrier!$C$25:$C$267,EW20))</f>
        <v>0</v>
      </c>
      <c r="OI20" s="50">
        <f>IF(EX20="","",COUNTIFS($D$25:$D$267,Parameters!$K$2,$E$25:$E$267,Parameters!$M$5,Calendrier!$C$25:$C$267,EX20)+ COUNTIFS($D$25:$D$267,Parameters!$K$3,$E$25:$E$267,Parameters!$M$5,Calendrier!$C$25:$C$267,EX20))</f>
        <v>0</v>
      </c>
      <c r="OJ20" s="50">
        <f>IF(EY20="","",COUNTIFS($D$25:$D$267,Parameters!$K$2,$E$25:$E$267,Parameters!$M$5,Calendrier!$C$25:$C$267,EY20)+ COUNTIFS($D$25:$D$267,Parameters!$K$4,$E$25:$E$267,Parameters!$M$5,Calendrier!$C$25:$C$267,EY20))</f>
        <v>0</v>
      </c>
      <c r="OK20" s="50">
        <f>IF(EZ20="","",COUNTIFS($D$25:$D$267,Parameters!$K$2,$E$25:$E$267,Parameters!$M$5,Calendrier!$C$25:$C$267,EZ20)+ COUNTIFS($D$25:$D$267,Parameters!$K$3,$E$25:$E$267,Parameters!$M$5,Calendrier!$C$25:$C$267,EZ20))</f>
        <v>0</v>
      </c>
      <c r="OL20" s="57">
        <f>IF(FA20="","",COUNTIFS($D$25:$D$267,Parameters!$K$2,$E$25:$E$267,Parameters!$M$5,Calendrier!$C$25:$C$267,FA20)+ COUNTIFS($D$25:$D$267,Parameters!$K$4,$E$25:$E$267,Parameters!$M$5,Calendrier!$C$25:$C$267,FA20))</f>
        <v>0</v>
      </c>
      <c r="OP20" s="49">
        <f>IF(DH20="","",COUNTIFS(Parameters!$Y:$Y,$BF$4,Parameters!$X:$X,DH20))</f>
        <v>1</v>
      </c>
      <c r="OQ20" s="50">
        <f>IF(DI20="","",COUNTIFS(Parameters!$Y:$Y,$BF$4,Parameters!$X:$X,DI20))</f>
        <v>1</v>
      </c>
      <c r="OR20" s="50">
        <f>IF(DJ20="","",COUNTIFS(Parameters!$Y:$Y,$BF$4,Parameters!$X:$X,DJ20))</f>
        <v>1</v>
      </c>
      <c r="OS20" s="50">
        <f>IF(DK20="","",COUNTIFS(Parameters!$Y:$Y,$BF$4,Parameters!$X:$X,DK20))</f>
        <v>1</v>
      </c>
      <c r="OT20" s="50">
        <f>IF(DL20="","",COUNTIFS(Parameters!$Y:$Y,$BF$4,Parameters!$X:$X,DL20))</f>
        <v>1</v>
      </c>
      <c r="OU20" s="50">
        <f>IF(DM20="","",COUNTIFS(Parameters!$Y:$Y,$BF$4,Parameters!$X:$X,DM20))</f>
        <v>1</v>
      </c>
      <c r="OV20" s="50">
        <f>IF(DN20="","",COUNTIFS(Parameters!$Y:$Y,$BF$4,Parameters!$X:$X,DN20))</f>
        <v>1</v>
      </c>
      <c r="OW20" s="50">
        <f>IF(DO20="","",COUNTIFS(Parameters!$Y:$Y,$BF$4,Parameters!$X:$X,DO20))</f>
        <v>1</v>
      </c>
      <c r="OX20" s="50">
        <f>IF(DP20="","",COUNTIFS(Parameters!$Y:$Y,$BF$4,Parameters!$X:$X,DP20))</f>
        <v>1</v>
      </c>
      <c r="OY20" s="50">
        <f>IF(DQ20="","",COUNTIFS(Parameters!$Y:$Y,$BF$4,Parameters!$X:$X,DQ20))</f>
        <v>1</v>
      </c>
      <c r="OZ20" s="50">
        <f>IF(DR20="","",COUNTIFS(Parameters!$Y:$Y,$BF$4,Parameters!$X:$X,DR20))</f>
        <v>1</v>
      </c>
      <c r="PA20" s="50">
        <f>IF(DS20="","",COUNTIFS(Parameters!$Y:$Y,$BF$4,Parameters!$X:$X,DS20))</f>
        <v>1</v>
      </c>
      <c r="PB20" s="50">
        <f>IF(DT20="","",COUNTIFS(Parameters!$Y:$Y,$BF$4,Parameters!$X:$X,DT20))</f>
        <v>1</v>
      </c>
      <c r="PC20" s="57">
        <f>IF(DU20="","",COUNTIFS(Parameters!$Y:$Y,$BF$4,Parameters!$X:$X,DU20))</f>
        <v>1</v>
      </c>
      <c r="PF20" s="49">
        <f>IF(DX20="","",COUNTIFS(Parameters!$Y:$Y,$BF$4,Parameters!$X:$X,DX20))</f>
        <v>0</v>
      </c>
      <c r="PG20" s="50">
        <f>IF(DY20="","",COUNTIFS(Parameters!$Y:$Y,$BF$4,Parameters!$X:$X,DY20))</f>
        <v>0</v>
      </c>
      <c r="PH20" s="50">
        <f>IF(DZ20="","",COUNTIFS(Parameters!$Y:$Y,$BF$4,Parameters!$X:$X,DZ20))</f>
        <v>0</v>
      </c>
      <c r="PI20" s="50">
        <f>IF(EA20="","",COUNTIFS(Parameters!$Y:$Y,$BF$4,Parameters!$X:$X,EA20))</f>
        <v>0</v>
      </c>
      <c r="PJ20" s="50">
        <f>IF(EB20="","",COUNTIFS(Parameters!$Y:$Y,$BF$4,Parameters!$X:$X,EB20))</f>
        <v>0</v>
      </c>
      <c r="PK20" s="50">
        <f>IF(EC20="","",COUNTIFS(Parameters!$Y:$Y,$BF$4,Parameters!$X:$X,EC20))</f>
        <v>0</v>
      </c>
      <c r="PL20" s="50">
        <f>IF(ED20="","",COUNTIFS(Parameters!$Y:$Y,$BF$4,Parameters!$X:$X,ED20))</f>
        <v>0</v>
      </c>
      <c r="PM20" s="50">
        <f>IF(EE20="","",COUNTIFS(Parameters!$Y:$Y,$BF$4,Parameters!$X:$X,EE20))</f>
        <v>0</v>
      </c>
      <c r="PN20" s="50">
        <f>IF(EF20="","",COUNTIFS(Parameters!$Y:$Y,$BF$4,Parameters!$X:$X,EF20))</f>
        <v>0</v>
      </c>
      <c r="PO20" s="50">
        <f>IF(EG20="","",COUNTIFS(Parameters!$Y:$Y,$BF$4,Parameters!$X:$X,EG20))</f>
        <v>0</v>
      </c>
      <c r="PP20" s="50">
        <f>IF(EH20="","",COUNTIFS(Parameters!$Y:$Y,$BF$4,Parameters!$X:$X,EH20))</f>
        <v>0</v>
      </c>
      <c r="PQ20" s="50">
        <f>IF(EI20="","",COUNTIFS(Parameters!$Y:$Y,$BF$4,Parameters!$X:$X,EI20))</f>
        <v>0</v>
      </c>
      <c r="PR20" s="50">
        <f>IF(EJ20="","",COUNTIFS(Parameters!$Y:$Y,$BF$4,Parameters!$X:$X,EJ20))</f>
        <v>0</v>
      </c>
      <c r="PS20" s="57">
        <f>IF(EK20="","",COUNTIFS(Parameters!$Y:$Y,$BF$4,Parameters!$X:$X,EK20))</f>
        <v>0</v>
      </c>
      <c r="PV20" s="49">
        <f>IF(EN20="","",COUNTIFS(Parameters!$Y:$Y,$BF$4,Parameters!$X:$X,EN20))</f>
        <v>0</v>
      </c>
      <c r="PW20" s="50">
        <f>IF(EO20="","",COUNTIFS(Parameters!$Y:$Y,$BF$4,Parameters!$X:$X,EO20))</f>
        <v>0</v>
      </c>
      <c r="PX20" s="50">
        <f>IF(EP20="","",COUNTIFS(Parameters!$Y:$Y,$BF$4,Parameters!$X:$X,EP20))</f>
        <v>0</v>
      </c>
      <c r="PY20" s="50">
        <f>IF(EQ20="","",COUNTIFS(Parameters!$Y:$Y,$BF$4,Parameters!$X:$X,EQ20))</f>
        <v>0</v>
      </c>
      <c r="PZ20" s="50">
        <f>IF(ER20="","",COUNTIFS(Parameters!$Y:$Y,$BF$4,Parameters!$X:$X,ER20))</f>
        <v>0</v>
      </c>
      <c r="QA20" s="50">
        <f>IF(ES20="","",COUNTIFS(Parameters!$Y:$Y,$BF$4,Parameters!$X:$X,ES20))</f>
        <v>0</v>
      </c>
      <c r="QB20" s="50">
        <f>IF(ET20="","",COUNTIFS(Parameters!$Y:$Y,$BF$4,Parameters!$X:$X,ET20))</f>
        <v>0</v>
      </c>
      <c r="QC20" s="50">
        <f>IF(EU20="","",COUNTIFS(Parameters!$Y:$Y,$BF$4,Parameters!$X:$X,EU20))</f>
        <v>0</v>
      </c>
      <c r="QD20" s="50">
        <f>IF(EV20="","",COUNTIFS(Parameters!$Y:$Y,$BF$4,Parameters!$X:$X,EV20))</f>
        <v>0</v>
      </c>
      <c r="QE20" s="50">
        <f>IF(EW20="","",COUNTIFS(Parameters!$Y:$Y,$BF$4,Parameters!$X:$X,EW20))</f>
        <v>0</v>
      </c>
      <c r="QF20" s="50">
        <f>IF(EX20="","",COUNTIFS(Parameters!$Y:$Y,$BF$4,Parameters!$X:$X,EX20))</f>
        <v>0</v>
      </c>
      <c r="QG20" s="50">
        <f>IF(EY20="","",COUNTIFS(Parameters!$Y:$Y,$BF$4,Parameters!$X:$X,EY20))</f>
        <v>0</v>
      </c>
      <c r="QH20" s="50">
        <f>IF(EZ20="","",COUNTIFS(Parameters!$Y:$Y,$BF$4,Parameters!$X:$X,EZ20))</f>
        <v>0</v>
      </c>
      <c r="QI20" s="57">
        <f>IF(FA20="","",COUNTIFS(Parameters!$Y:$Y,$BF$4,Parameters!$X:$X,FA20))</f>
        <v>0</v>
      </c>
      <c r="QN20" s="49">
        <f>IF(DH20="","",COUNTIFS($D$25:$D$267,Parameters!$K$2,$E$25:$E$267,Parameters!$M$6,Calendrier!$C$25:$C$267,DH20)+ COUNTIFS($D$25:$D$267,Parameters!$K$3,$E$25:$E$267,Parameters!$M$6,Calendrier!$C$25:$C$267,DH20))</f>
        <v>0</v>
      </c>
      <c r="QO20" s="50">
        <f>IF(DI20="","",COUNTIFS($D$25:$D$267,Parameters!$K$2,$E$25:$E$267,Parameters!$M$6,Calendrier!$C$25:$C$267,DI20)+ COUNTIFS($D$25:$D$267,Parameters!$K$4,$E$25:$E$267,Parameters!$M$6,Calendrier!$C$25:$C$267,DI20))</f>
        <v>0</v>
      </c>
      <c r="QP20" s="50">
        <f>IF(DJ20="","",COUNTIFS($D$25:$D$267,Parameters!$K$2,$E$25:$E$267,Parameters!$M$6,Calendrier!$C$25:$C$267,DJ20)+ COUNTIFS($D$25:$D$267,Parameters!$K$3,$E$25:$E$267,Parameters!$M$6,Calendrier!$C$25:$C$267,DJ20))</f>
        <v>0</v>
      </c>
      <c r="QQ20" s="50">
        <f>IF(DK20="","",COUNTIFS($D$25:$D$267,Parameters!$K$2,$E$25:$E$267,Parameters!$M$6,Calendrier!$C$25:$C$267,DK20)+ COUNTIFS($D$25:$D$267,Parameters!$K$4,$E$25:$E$267,Parameters!$M$6,Calendrier!$C$25:$C$267,DK20))</f>
        <v>0</v>
      </c>
      <c r="QR20" s="50">
        <f>IF(DL20="","",COUNTIFS($D$25:$D$267,Parameters!$K$2,$E$25:$E$267,Parameters!$M$6,Calendrier!$C$25:$C$267,DL20)+ COUNTIFS($D$25:$D$267,Parameters!$K$3,$E$25:$E$267,Parameters!$M$6,Calendrier!$C$25:$C$267,DL20))</f>
        <v>0</v>
      </c>
      <c r="QS20" s="50">
        <f>IF(DM20="","",COUNTIFS($D$25:$D$267,Parameters!$K$2,$E$25:$E$267,Parameters!$M$6,Calendrier!$C$25:$C$267,DM20)+ COUNTIFS($D$25:$D$267,Parameters!$K$4,$E$25:$E$267,Parameters!$M$6,Calendrier!$C$25:$C$267,DM20))</f>
        <v>0</v>
      </c>
      <c r="QT20" s="50">
        <f>IF(DN20="","",COUNTIFS($D$25:$D$267,Parameters!$K$2,$E$25:$E$267,Parameters!$M$6,Calendrier!$C$25:$C$267,DN20)+ COUNTIFS($D$25:$D$267,Parameters!$K$3,$E$25:$E$267,Parameters!$M$6,Calendrier!$C$25:$C$267,DN20))</f>
        <v>0</v>
      </c>
      <c r="QU20" s="50">
        <f>IF(DO20="","",COUNTIFS($D$25:$D$267,Parameters!$K$2,$E$25:$E$267,Parameters!$M$6,Calendrier!$C$25:$C$267,DO20)+ COUNTIFS($D$25:$D$267,Parameters!$K$4,$E$25:$E$267,Parameters!$M$6,Calendrier!$C$25:$C$267,DO20))</f>
        <v>0</v>
      </c>
      <c r="QV20" s="50">
        <f>IF(DP20="","",COUNTIFS($D$25:$D$267,Parameters!$K$2,$E$25:$E$267,Parameters!$M$6,Calendrier!$C$25:$C$267,DP20)+ COUNTIFS($D$25:$D$267,Parameters!$K$3,$E$25:$E$267,Parameters!$M$6,Calendrier!$C$25:$C$267,DP20))</f>
        <v>0</v>
      </c>
      <c r="QW20" s="50">
        <f>IF(DQ20="","",COUNTIFS($D$25:$D$267,Parameters!$K$2,$E$25:$E$267,Parameters!$M$6,Calendrier!$C$25:$C$267,DQ20)+ COUNTIFS($D$25:$D$267,Parameters!$K$4,$E$25:$E$267,Parameters!$M$6,Calendrier!$C$25:$C$267,DQ20))</f>
        <v>0</v>
      </c>
      <c r="QX20" s="50">
        <f>IF(DR20="","",COUNTIFS($D$25:$D$267,Parameters!$K$2,$E$25:$E$267,Parameters!$M$6,Calendrier!$C$25:$C$267,DR20)+ COUNTIFS($D$25:$D$267,Parameters!$K$3,$E$25:$E$267,Parameters!$M$6,Calendrier!$C$25:$C$267,DR20))</f>
        <v>0</v>
      </c>
      <c r="QY20" s="50">
        <f>IF(DS20="","",COUNTIFS($D$25:$D$267,Parameters!$K$2,$E$25:$E$267,Parameters!$M$6,Calendrier!$C$25:$C$267,DS20)+ COUNTIFS($D$25:$D$267,Parameters!$K$4,$E$25:$E$267,Parameters!$M$6,Calendrier!$C$25:$C$267,DS20))</f>
        <v>0</v>
      </c>
      <c r="QZ20" s="50">
        <f>IF(DT20="","",COUNTIFS($D$25:$D$267,Parameters!$K$2,$E$25:$E$267,Parameters!$M$6,Calendrier!$C$25:$C$267,DT20)+ COUNTIFS($D$25:$D$267,Parameters!$K$3,$E$25:$E$267,Parameters!$M$6,Calendrier!$C$25:$C$267,DT20))</f>
        <v>0</v>
      </c>
      <c r="RA20" s="57">
        <f>IF(DU20="","",COUNTIFS($D$25:$D$267,Parameters!$K$2,$E$25:$E$267,Parameters!$M$6,Calendrier!$C$25:$C$267,DU20)+ COUNTIFS($D$25:$D$267,Parameters!$K$4,$E$25:$E$267,Parameters!$M$6,Calendrier!$C$25:$C$267,DU20))</f>
        <v>0</v>
      </c>
      <c r="RD20" s="49">
        <f>IF(DX20="","",COUNTIFS($D$25:$D$267,Parameters!$K$2,$E$25:$E$267,Parameters!$M$6,Calendrier!$C$25:$C$267,DX20)+ COUNTIFS($D$25:$D$267,Parameters!$K$3,$E$25:$E$267,Parameters!$M$6,Calendrier!$C$25:$C$267,DX20))</f>
        <v>0</v>
      </c>
      <c r="RE20" s="50">
        <f>IF(DY20="","",COUNTIFS($D$25:$D$267,Parameters!$K$2,$E$25:$E$267,Parameters!$M$6,Calendrier!$C$25:$C$267,DY20)+ COUNTIFS($D$25:$D$267,Parameters!$K$4,$E$25:$E$267,Parameters!$M$6,Calendrier!$C$25:$C$267,DY20))</f>
        <v>0</v>
      </c>
      <c r="RF20" s="50">
        <f>IF(DZ20="","",COUNTIFS($D$25:$D$267,Parameters!$K$2,$E$25:$E$267,Parameters!$M$6,Calendrier!$C$25:$C$267,DZ20)+ COUNTIFS($D$25:$D$267,Parameters!$K$3,$E$25:$E$267,Parameters!$M$6,Calendrier!$C$25:$C$267,DZ20))</f>
        <v>0</v>
      </c>
      <c r="RG20" s="50">
        <f>IF(EA20="","",COUNTIFS($D$25:$D$267,Parameters!$K$2,$E$25:$E$267,Parameters!$M$6,Calendrier!$C$25:$C$267,EA20)+ COUNTIFS($D$25:$D$267,Parameters!$K$4,$E$25:$E$267,Parameters!$M$6,Calendrier!$C$25:$C$267,EA20))</f>
        <v>0</v>
      </c>
      <c r="RH20" s="50">
        <f>IF(EB20="","",COUNTIFS($D$25:$D$267,Parameters!$K$2,$E$25:$E$267,Parameters!$M$6,Calendrier!$C$25:$C$267,EB20)+ COUNTIFS($D$25:$D$267,Parameters!$K$3,$E$25:$E$267,Parameters!$M$6,Calendrier!$C$25:$C$267,EB20))</f>
        <v>0</v>
      </c>
      <c r="RI20" s="50">
        <f>IF(EC20="","",COUNTIFS($D$25:$D$267,Parameters!$K$2,$E$25:$E$267,Parameters!$M$6,Calendrier!$C$25:$C$267,EC20)+ COUNTIFS($D$25:$D$267,Parameters!$K$4,$E$25:$E$267,Parameters!$M$6,Calendrier!$C$25:$C$267,EC20))</f>
        <v>0</v>
      </c>
      <c r="RJ20" s="50">
        <f>IF(ED20="","",COUNTIFS($D$25:$D$267,Parameters!$K$2,$E$25:$E$267,Parameters!$M$6,Calendrier!$C$25:$C$267,ED20)+ COUNTIFS($D$25:$D$267,Parameters!$K$3,$E$25:$E$267,Parameters!$M$6,Calendrier!$C$25:$C$267,ED20))</f>
        <v>0</v>
      </c>
      <c r="RK20" s="50">
        <f>IF(EE20="","",COUNTIFS($D$25:$D$267,Parameters!$K$2,$E$25:$E$267,Parameters!$M$6,Calendrier!$C$25:$C$267,EE20)+ COUNTIFS($D$25:$D$267,Parameters!$K$4,$E$25:$E$267,Parameters!$M$6,Calendrier!$C$25:$C$267,EE20))</f>
        <v>0</v>
      </c>
      <c r="RL20" s="50">
        <f>IF(EF20="","",COUNTIFS($D$25:$D$267,Parameters!$K$2,$E$25:$E$267,Parameters!$M$6,Calendrier!$C$25:$C$267,EF20)+ COUNTIFS($D$25:$D$267,Parameters!$K$3,$E$25:$E$267,Parameters!$M$6,Calendrier!$C$25:$C$267,EF20))</f>
        <v>0</v>
      </c>
      <c r="RM20" s="50">
        <f>IF(EG20="","",COUNTIFS($D$25:$D$267,Parameters!$K$2,$E$25:$E$267,Parameters!$M$6,Calendrier!$C$25:$C$267,EG20)+ COUNTIFS($D$25:$D$267,Parameters!$K$4,$E$25:$E$267,Parameters!$M$6,Calendrier!$C$25:$C$267,EG20))</f>
        <v>0</v>
      </c>
      <c r="RN20" s="50">
        <f>IF(EH20="","",COUNTIFS($D$25:$D$267,Parameters!$K$2,$E$25:$E$267,Parameters!$M$6,Calendrier!$C$25:$C$267,EH20)+ COUNTIFS($D$25:$D$267,Parameters!$K$3,$E$25:$E$267,Parameters!$M$6,Calendrier!$C$25:$C$267,EH20))</f>
        <v>0</v>
      </c>
      <c r="RO20" s="50">
        <f>IF(EI20="","",COUNTIFS($D$25:$D$267,Parameters!$K$2,$E$25:$E$267,Parameters!$M$6,Calendrier!$C$25:$C$267,EI20)+ COUNTIFS($D$25:$D$267,Parameters!$K$4,$E$25:$E$267,Parameters!$M$6,Calendrier!$C$25:$C$267,EI20))</f>
        <v>0</v>
      </c>
      <c r="RP20" s="50">
        <f>IF(EJ20="","",COUNTIFS($D$25:$D$267,Parameters!$K$2,$E$25:$E$267,Parameters!$M$6,Calendrier!$C$25:$C$267,EJ20)+ COUNTIFS($D$25:$D$267,Parameters!$K$3,$E$25:$E$267,Parameters!$M$6,Calendrier!$C$25:$C$267,EJ20))</f>
        <v>0</v>
      </c>
      <c r="RQ20" s="57">
        <f>IF(EK20="","",COUNTIFS($D$25:$D$267,Parameters!$K$2,$E$25:$E$267,Parameters!$M$6,Calendrier!$C$25:$C$267,EK20)+ COUNTIFS($D$25:$D$267,Parameters!$K$4,$E$25:$E$267,Parameters!$M$6,Calendrier!$C$25:$C$267,EK20))</f>
        <v>0</v>
      </c>
      <c r="RT20" s="49">
        <f>IF(EN20="","",COUNTIFS($D$25:$D$267,Parameters!$K$2,$E$25:$E$267,Parameters!$M$6,Calendrier!$C$25:$C$267,EN20)+ COUNTIFS($D$25:$D$267,Parameters!$K$3,$E$25:$E$267,Parameters!$M$6,Calendrier!$C$25:$C$267,EN20))</f>
        <v>0</v>
      </c>
      <c r="RU20" s="50">
        <f>IF(EO20="","",COUNTIFS($D$25:$D$267,Parameters!$K$2,$E$25:$E$267,Parameters!$M$6,Calendrier!$C$25:$C$267,EO20)+ COUNTIFS($D$25:$D$267,Parameters!$K$4,$E$25:$E$267,Parameters!$M$6,Calendrier!$C$25:$C$267,EO20))</f>
        <v>0</v>
      </c>
      <c r="RV20" s="50">
        <f>IF(EP20="","",COUNTIFS($D$25:$D$267,Parameters!$K$2,$E$25:$E$267,Parameters!$M$6,Calendrier!$C$25:$C$267,EP20)+ COUNTIFS($D$25:$D$267,Parameters!$K$3,$E$25:$E$267,Parameters!$M$6,Calendrier!$C$25:$C$267,EP20))</f>
        <v>0</v>
      </c>
      <c r="RW20" s="50">
        <f>IF(EQ20="","",COUNTIFS($D$25:$D$267,Parameters!$K$2,$E$25:$E$267,Parameters!$M$6,Calendrier!$C$25:$C$267,EQ20)+ COUNTIFS($D$25:$D$267,Parameters!$K$4,$E$25:$E$267,Parameters!$M$6,Calendrier!$C$25:$C$267,EQ20))</f>
        <v>0</v>
      </c>
      <c r="RX20" s="50">
        <f>IF(ER20="","",COUNTIFS($D$25:$D$267,Parameters!$K$2,$E$25:$E$267,Parameters!$M$6,Calendrier!$C$25:$C$267,ER20)+ COUNTIFS($D$25:$D$267,Parameters!$K$3,$E$25:$E$267,Parameters!$M$6,Calendrier!$C$25:$C$267,ER20))</f>
        <v>0</v>
      </c>
      <c r="RY20" s="50">
        <f>IF(ES20="","",COUNTIFS($D$25:$D$267,Parameters!$K$2,$E$25:$E$267,Parameters!$M$6,Calendrier!$C$25:$C$267,ES20)+ COUNTIFS($D$25:$D$267,Parameters!$K$4,$E$25:$E$267,Parameters!$M$6,Calendrier!$C$25:$C$267,ES20))</f>
        <v>0</v>
      </c>
      <c r="RZ20" s="50">
        <f>IF(ET20="","",COUNTIFS($D$25:$D$267,Parameters!$K$2,$E$25:$E$267,Parameters!$M$6,Calendrier!$C$25:$C$267,ET20)+ COUNTIFS($D$25:$D$267,Parameters!$K$3,$E$25:$E$267,Parameters!$M$6,Calendrier!$C$25:$C$267,ET20))</f>
        <v>0</v>
      </c>
      <c r="SA20" s="50">
        <f>IF(EU20="","",COUNTIFS($D$25:$D$267,Parameters!$K$2,$E$25:$E$267,Parameters!$M$6,Calendrier!$C$25:$C$267,EU20)+ COUNTIFS($D$25:$D$267,Parameters!$K$4,$E$25:$E$267,Parameters!$M$6,Calendrier!$C$25:$C$267,EU20))</f>
        <v>0</v>
      </c>
      <c r="SB20" s="50">
        <f>IF(EV20="","",COUNTIFS($D$25:$D$267,Parameters!$K$2,$E$25:$E$267,Parameters!$M$6,Calendrier!$C$25:$C$267,EV20)+ COUNTIFS($D$25:$D$267,Parameters!$K$3,$E$25:$E$267,Parameters!$M$6,Calendrier!$C$25:$C$267,EV20))</f>
        <v>0</v>
      </c>
      <c r="SC20" s="50">
        <f>IF(EW20="","",COUNTIFS($D$25:$D$267,Parameters!$K$2,$E$25:$E$267,Parameters!$M$6,Calendrier!$C$25:$C$267,EW20)+ COUNTIFS($D$25:$D$267,Parameters!$K$4,$E$25:$E$267,Parameters!$M$6,Calendrier!$C$25:$C$267,EW20))</f>
        <v>0</v>
      </c>
      <c r="SD20" s="50">
        <f>IF(EX20="","",COUNTIFS($D$25:$D$267,Parameters!$K$2,$E$25:$E$267,Parameters!$M$6,Calendrier!$C$25:$C$267,EX20)+ COUNTIFS($D$25:$D$267,Parameters!$K$3,$E$25:$E$267,Parameters!$M$6,Calendrier!$C$25:$C$267,EX20))</f>
        <v>0</v>
      </c>
      <c r="SE20" s="50">
        <f>IF(EY20="","",COUNTIFS($D$25:$D$267,Parameters!$K$2,$E$25:$E$267,Parameters!$M$6,Calendrier!$C$25:$C$267,EY20)+ COUNTIFS($D$25:$D$267,Parameters!$K$4,$E$25:$E$267,Parameters!$M$6,Calendrier!$C$25:$C$267,EY20))</f>
        <v>0</v>
      </c>
      <c r="SF20" s="50">
        <f>IF(EZ20="","",COUNTIFS($D$25:$D$267,Parameters!$K$2,$E$25:$E$267,Parameters!$M$6,Calendrier!$C$25:$C$267,EZ20)+ COUNTIFS($D$25:$D$267,Parameters!$K$3,$E$25:$E$267,Parameters!$M$6,Calendrier!$C$25:$C$267,EZ20))</f>
        <v>0</v>
      </c>
      <c r="SG20" s="57">
        <f>IF(FA20="","",COUNTIFS($D$25:$D$267,Parameters!$K$2,$E$25:$E$267,Parameters!$M$6,Calendrier!$C$25:$C$267,FA20)+ COUNTIFS($D$25:$D$267,Parameters!$K$4,$E$25:$E$267,Parameters!$M$6,Calendrier!$C$25:$C$267,FA20))</f>
        <v>0</v>
      </c>
      <c r="SL20" s="49">
        <f>IF(DH20="","",COUNTIFS($D$25:$D$267,Parameters!$K$2,$E$25:$E$267,Parameters!$M$7,Calendrier!$C$25:$C$267,DH20)+ COUNTIFS($D$25:$D$267,Parameters!$K$3,$E$25:$E$267,Parameters!$M$7,Calendrier!$C$25:$C$267,DH20))</f>
        <v>0</v>
      </c>
      <c r="SM20" s="50">
        <f>IF(DI20="","",COUNTIFS($D$25:$D$267,Parameters!$K$2,$E$25:$E$267,Parameters!$M$7,Calendrier!$C$25:$C$267,DI20)+ COUNTIFS($D$25:$D$267,Parameters!$K$4,$E$25:$E$267,Parameters!$M$7,Calendrier!$C$25:$C$267,DI20))</f>
        <v>0</v>
      </c>
      <c r="SN20" s="50">
        <f>IF(DJ20="","",COUNTIFS($D$25:$D$267,Parameters!$K$2,$E$25:$E$267,Parameters!$M$7,Calendrier!$C$25:$C$267,DJ20)+ COUNTIFS($D$25:$D$267,Parameters!$K$3,$E$25:$E$267,Parameters!$M$7,Calendrier!$C$25:$C$267,DJ20))</f>
        <v>0</v>
      </c>
      <c r="SO20" s="50">
        <f>IF(DK20="","",COUNTIFS($D$25:$D$267,Parameters!$K$2,$E$25:$E$267,Parameters!$M$7,Calendrier!$C$25:$C$267,DK20)+ COUNTIFS($D$25:$D$267,Parameters!$K$4,$E$25:$E$267,Parameters!$M$7,Calendrier!$C$25:$C$267,DK20))</f>
        <v>0</v>
      </c>
      <c r="SP20" s="50">
        <f>IF(DL20="","",COUNTIFS($D$25:$D$267,Parameters!$K$2,$E$25:$E$267,Parameters!$M$7,Calendrier!$C$25:$C$267,DL20)+ COUNTIFS($D$25:$D$267,Parameters!$K$3,$E$25:$E$267,Parameters!$M$7,Calendrier!$C$25:$C$267,DL20))</f>
        <v>0</v>
      </c>
      <c r="SQ20" s="50">
        <f>IF(DM20="","",COUNTIFS($D$25:$D$267,Parameters!$K$2,$E$25:$E$267,Parameters!$M$7,Calendrier!$C$25:$C$267,DM20)+ COUNTIFS($D$25:$D$267,Parameters!$K$4,$E$25:$E$267,Parameters!$M$7,Calendrier!$C$25:$C$267,DM20))</f>
        <v>0</v>
      </c>
      <c r="SR20" s="50">
        <f>IF(DN20="","",COUNTIFS($D$25:$D$267,Parameters!$K$2,$E$25:$E$267,Parameters!$M$7,Calendrier!$C$25:$C$267,DN20)+ COUNTIFS($D$25:$D$267,Parameters!$K$3,$E$25:$E$267,Parameters!$M$7,Calendrier!$C$25:$C$267,DN20))</f>
        <v>0</v>
      </c>
      <c r="SS20" s="50">
        <f>IF(DO20="","",COUNTIFS($D$25:$D$267,Parameters!$K$2,$E$25:$E$267,Parameters!$M$7,Calendrier!$C$25:$C$267,DO20)+ COUNTIFS($D$25:$D$267,Parameters!$K$4,$E$25:$E$267,Parameters!$M$7,Calendrier!$C$25:$C$267,DO20))</f>
        <v>0</v>
      </c>
      <c r="ST20" s="50">
        <f>IF(DP20="","",COUNTIFS($D$25:$D$267,Parameters!$K$2,$E$25:$E$267,Parameters!$M$7,Calendrier!$C$25:$C$267,DP20)+ COUNTIFS($D$25:$D$267,Parameters!$K$3,$E$25:$E$267,Parameters!$M$7,Calendrier!$C$25:$C$267,DP20))</f>
        <v>0</v>
      </c>
      <c r="SU20" s="50">
        <f>IF(DQ20="","",COUNTIFS($D$25:$D$267,Parameters!$K$2,$E$25:$E$267,Parameters!$M$7,Calendrier!$C$25:$C$267,DQ20)+ COUNTIFS($D$25:$D$267,Parameters!$K$4,$E$25:$E$267,Parameters!$M$7,Calendrier!$C$25:$C$267,DQ20))</f>
        <v>0</v>
      </c>
      <c r="SV20" s="50">
        <f>IF(DR20="","",COUNTIFS($D$25:$D$267,Parameters!$K$2,$E$25:$E$267,Parameters!$M$7,Calendrier!$C$25:$C$267,DR20)+ COUNTIFS($D$25:$D$267,Parameters!$K$3,$E$25:$E$267,Parameters!$M$7,Calendrier!$C$25:$C$267,DR20))</f>
        <v>0</v>
      </c>
      <c r="SW20" s="50">
        <f>IF(DS20="","",COUNTIFS($D$25:$D$267,Parameters!$K$2,$E$25:$E$267,Parameters!$M$7,Calendrier!$C$25:$C$267,DS20)+ COUNTIFS($D$25:$D$267,Parameters!$K$4,$E$25:$E$267,Parameters!$M$7,Calendrier!$C$25:$C$267,DS20))</f>
        <v>0</v>
      </c>
      <c r="SX20" s="50">
        <f>IF(DT20="","",COUNTIFS($D$25:$D$267,Parameters!$K$2,$E$25:$E$267,Parameters!$M$7,Calendrier!$C$25:$C$267,DT20)+ COUNTIFS($D$25:$D$267,Parameters!$K$3,$E$25:$E$267,Parameters!$M$7,Calendrier!$C$25:$C$267,DT20))</f>
        <v>0</v>
      </c>
      <c r="SY20" s="57">
        <f>IF(DU20="","",COUNTIFS($D$25:$D$267,Parameters!$K$2,$E$25:$E$267,Parameters!$M$7,Calendrier!$C$25:$C$267,DU20)+ COUNTIFS($D$25:$D$267,Parameters!$K$4,$E$25:$E$267,Parameters!$M$7,Calendrier!$C$25:$C$267,DU20))</f>
        <v>0</v>
      </c>
      <c r="TB20" s="49">
        <f>IF(DX20="","",COUNTIFS($D$25:$D$267,Parameters!$K$2,$E$25:$E$267,Parameters!$M$7,Calendrier!$C$25:$C$267,DX20)+ COUNTIFS($D$25:$D$267,Parameters!$K$3,$E$25:$E$267,Parameters!$M$7,Calendrier!$C$25:$C$267,DX20))</f>
        <v>0</v>
      </c>
      <c r="TC20" s="50">
        <f>IF(DY20="","",COUNTIFS($D$25:$D$267,Parameters!$K$2,$E$25:$E$267,Parameters!$M$7,Calendrier!$C$25:$C$267,DY20)+ COUNTIFS($D$25:$D$267,Parameters!$K$4,$E$25:$E$267,Parameters!$M$7,Calendrier!$C$25:$C$267,DY20))</f>
        <v>0</v>
      </c>
      <c r="TD20" s="50">
        <f>IF(DZ20="","",COUNTIFS($D$25:$D$267,Parameters!$K$2,$E$25:$E$267,Parameters!$M$7,Calendrier!$C$25:$C$267,DZ20)+ COUNTIFS($D$25:$D$267,Parameters!$K$3,$E$25:$E$267,Parameters!$M$7,Calendrier!$C$25:$C$267,DZ20))</f>
        <v>0</v>
      </c>
      <c r="TE20" s="50">
        <f>IF(EA20="","",COUNTIFS($D$25:$D$267,Parameters!$K$2,$E$25:$E$267,Parameters!$M$7,Calendrier!$C$25:$C$267,EA20)+ COUNTIFS($D$25:$D$267,Parameters!$K$4,$E$25:$E$267,Parameters!$M$7,Calendrier!$C$25:$C$267,EA20))</f>
        <v>0</v>
      </c>
      <c r="TF20" s="50">
        <f>IF(EB20="","",COUNTIFS($D$25:$D$267,Parameters!$K$2,$E$25:$E$267,Parameters!$M$7,Calendrier!$C$25:$C$267,EB20)+ COUNTIFS($D$25:$D$267,Parameters!$K$3,$E$25:$E$267,Parameters!$M$7,Calendrier!$C$25:$C$267,EB20))</f>
        <v>0</v>
      </c>
      <c r="TG20" s="50">
        <f>IF(EC20="","",COUNTIFS($D$25:$D$267,Parameters!$K$2,$E$25:$E$267,Parameters!$M$7,Calendrier!$C$25:$C$267,EC20)+ COUNTIFS($D$25:$D$267,Parameters!$K$4,$E$25:$E$267,Parameters!$M$7,Calendrier!$C$25:$C$267,EC20))</f>
        <v>0</v>
      </c>
      <c r="TH20" s="50">
        <f>IF(ED20="","",COUNTIFS($D$25:$D$267,Parameters!$K$2,$E$25:$E$267,Parameters!$M$7,Calendrier!$C$25:$C$267,ED20)+ COUNTIFS($D$25:$D$267,Parameters!$K$3,$E$25:$E$267,Parameters!$M$7,Calendrier!$C$25:$C$267,ED20))</f>
        <v>0</v>
      </c>
      <c r="TI20" s="50">
        <f>IF(EE20="","",COUNTIFS($D$25:$D$267,Parameters!$K$2,$E$25:$E$267,Parameters!$M$7,Calendrier!$C$25:$C$267,EE20)+ COUNTIFS($D$25:$D$267,Parameters!$K$4,$E$25:$E$267,Parameters!$M$7,Calendrier!$C$25:$C$267,EE20))</f>
        <v>0</v>
      </c>
      <c r="TJ20" s="50">
        <f>IF(EF20="","",COUNTIFS($D$25:$D$267,Parameters!$K$2,$E$25:$E$267,Parameters!$M$7,Calendrier!$C$25:$C$267,EF20)+ COUNTIFS($D$25:$D$267,Parameters!$K$3,$E$25:$E$267,Parameters!$M$7,Calendrier!$C$25:$C$267,EF20))</f>
        <v>0</v>
      </c>
      <c r="TK20" s="50">
        <f>IF(EG20="","",COUNTIFS($D$25:$D$267,Parameters!$K$2,$E$25:$E$267,Parameters!$M$7,Calendrier!$C$25:$C$267,EG20)+ COUNTIFS($D$25:$D$267,Parameters!$K$4,$E$25:$E$267,Parameters!$M$7,Calendrier!$C$25:$C$267,EG20))</f>
        <v>0</v>
      </c>
      <c r="TL20" s="50">
        <f>IF(EH20="","",COUNTIFS($D$25:$D$267,Parameters!$K$2,$E$25:$E$267,Parameters!$M$7,Calendrier!$C$25:$C$267,EH20)+ COUNTIFS($D$25:$D$267,Parameters!$K$3,$E$25:$E$267,Parameters!$M$7,Calendrier!$C$25:$C$267,EH20))</f>
        <v>0</v>
      </c>
      <c r="TM20" s="50">
        <f>IF(EI20="","",COUNTIFS($D$25:$D$267,Parameters!$K$2,$E$25:$E$267,Parameters!$M$7,Calendrier!$C$25:$C$267,EI20)+ COUNTIFS($D$25:$D$267,Parameters!$K$4,$E$25:$E$267,Parameters!$M$7,Calendrier!$C$25:$C$267,EI20))</f>
        <v>0</v>
      </c>
      <c r="TN20" s="50">
        <f>IF(EJ20="","",COUNTIFS($D$25:$D$267,Parameters!$K$2,$E$25:$E$267,Parameters!$M$7,Calendrier!$C$25:$C$267,EJ20)+ COUNTIFS($D$25:$D$267,Parameters!$K$3,$E$25:$E$267,Parameters!$M$7,Calendrier!$C$25:$C$267,EJ20))</f>
        <v>0</v>
      </c>
      <c r="TO20" s="57">
        <f>IF(EK20="","",COUNTIFS($D$25:$D$267,Parameters!$K$2,$E$25:$E$267,Parameters!$M$7,Calendrier!$C$25:$C$267,EK20)+ COUNTIFS($D$25:$D$267,Parameters!$K$4,$E$25:$E$267,Parameters!$M$7,Calendrier!$C$25:$C$267,EK20))</f>
        <v>0</v>
      </c>
      <c r="TR20" s="49">
        <f>IF(EN20="","",COUNTIFS($D$25:$D$267,Parameters!$K$2,$E$25:$E$267,Parameters!$M$7,Calendrier!$C$25:$C$267,EN20)+ COUNTIFS($D$25:$D$267,Parameters!$K$3,$E$25:$E$267,Parameters!$M$7,Calendrier!$C$25:$C$267,EN20))</f>
        <v>0</v>
      </c>
      <c r="TS20" s="50">
        <f>IF(EO20="","",COUNTIFS($D$25:$D$267,Parameters!$K$2,$E$25:$E$267,Parameters!$M$7,Calendrier!$C$25:$C$267,EO20)+ COUNTIFS($D$25:$D$267,Parameters!$K$4,$E$25:$E$267,Parameters!$M$7,Calendrier!$C$25:$C$267,EO20))</f>
        <v>0</v>
      </c>
      <c r="TT20" s="50">
        <f>IF(EP20="","",COUNTIFS($D$25:$D$267,Parameters!$K$2,$E$25:$E$267,Parameters!$M$7,Calendrier!$C$25:$C$267,EP20)+ COUNTIFS($D$25:$D$267,Parameters!$K$3,$E$25:$E$267,Parameters!$M$7,Calendrier!$C$25:$C$267,EP20))</f>
        <v>0</v>
      </c>
      <c r="TU20" s="50">
        <f>IF(EQ20="","",COUNTIFS($D$25:$D$267,Parameters!$K$2,$E$25:$E$267,Parameters!$M$7,Calendrier!$C$25:$C$267,EQ20)+ COUNTIFS($D$25:$D$267,Parameters!$K$4,$E$25:$E$267,Parameters!$M$7,Calendrier!$C$25:$C$267,EQ20))</f>
        <v>0</v>
      </c>
      <c r="TV20" s="50">
        <f>IF(ER20="","",COUNTIFS($D$25:$D$267,Parameters!$K$2,$E$25:$E$267,Parameters!$M$7,Calendrier!$C$25:$C$267,ER20)+ COUNTIFS($D$25:$D$267,Parameters!$K$3,$E$25:$E$267,Parameters!$M$7,Calendrier!$C$25:$C$267,ER20))</f>
        <v>0</v>
      </c>
      <c r="TW20" s="50">
        <f>IF(ES20="","",COUNTIFS($D$25:$D$267,Parameters!$K$2,$E$25:$E$267,Parameters!$M$7,Calendrier!$C$25:$C$267,ES20)+ COUNTIFS($D$25:$D$267,Parameters!$K$4,$E$25:$E$267,Parameters!$M$7,Calendrier!$C$25:$C$267,ES20))</f>
        <v>0</v>
      </c>
      <c r="TX20" s="50">
        <f>IF(ET20="","",COUNTIFS($D$25:$D$267,Parameters!$K$2,$E$25:$E$267,Parameters!$M$7,Calendrier!$C$25:$C$267,ET20)+ COUNTIFS($D$25:$D$267,Parameters!$K$3,$E$25:$E$267,Parameters!$M$7,Calendrier!$C$25:$C$267,ET20))</f>
        <v>0</v>
      </c>
      <c r="TY20" s="50">
        <f>IF(EU20="","",COUNTIFS($D$25:$D$267,Parameters!$K$2,$E$25:$E$267,Parameters!$M$7,Calendrier!$C$25:$C$267,EU20)+ COUNTIFS($D$25:$D$267,Parameters!$K$4,$E$25:$E$267,Parameters!$M$7,Calendrier!$C$25:$C$267,EU20))</f>
        <v>0</v>
      </c>
      <c r="TZ20" s="50">
        <f>IF(EV20="","",COUNTIFS($D$25:$D$267,Parameters!$K$2,$E$25:$E$267,Parameters!$M$7,Calendrier!$C$25:$C$267,EV20)+ COUNTIFS($D$25:$D$267,Parameters!$K$3,$E$25:$E$267,Parameters!$M$7,Calendrier!$C$25:$C$267,EV20))</f>
        <v>0</v>
      </c>
      <c r="UA20" s="50">
        <f>IF(EW20="","",COUNTIFS($D$25:$D$267,Parameters!$K$2,$E$25:$E$267,Parameters!$M$7,Calendrier!$C$25:$C$267,EW20)+ COUNTIFS($D$25:$D$267,Parameters!$K$4,$E$25:$E$267,Parameters!$M$7,Calendrier!$C$25:$C$267,EW20))</f>
        <v>0</v>
      </c>
      <c r="UB20" s="50">
        <f>IF(EX20="","",COUNTIFS($D$25:$D$267,Parameters!$K$2,$E$25:$E$267,Parameters!$M$7,Calendrier!$C$25:$C$267,EX20)+ COUNTIFS($D$25:$D$267,Parameters!$K$3,$E$25:$E$267,Parameters!$M$7,Calendrier!$C$25:$C$267,EX20))</f>
        <v>0</v>
      </c>
      <c r="UC20" s="50">
        <f>IF(EY20="","",COUNTIFS($D$25:$D$267,Parameters!$K$2,$E$25:$E$267,Parameters!$M$7,Calendrier!$C$25:$C$267,EY20)+ COUNTIFS($D$25:$D$267,Parameters!$K$4,$E$25:$E$267,Parameters!$M$7,Calendrier!$C$25:$C$267,EY20))</f>
        <v>0</v>
      </c>
      <c r="UD20" s="50">
        <f>IF(EZ20="","",COUNTIFS($D$25:$D$267,Parameters!$K$2,$E$25:$E$267,Parameters!$M$7,Calendrier!$C$25:$C$267,EZ20)+ COUNTIFS($D$25:$D$267,Parameters!$K$3,$E$25:$E$267,Parameters!$M$7,Calendrier!$C$25:$C$267,EZ20))</f>
        <v>0</v>
      </c>
      <c r="UE20" s="57">
        <f>IF(FA20="","",COUNTIFS($D$25:$D$267,Parameters!$K$2,$E$25:$E$267,Parameters!$M$7,Calendrier!$C$25:$C$267,FA20)+ COUNTIFS($D$25:$D$267,Parameters!$K$4,$E$25:$E$267,Parameters!$M$7,Calendrier!$C$25:$C$267,FA20))</f>
        <v>0</v>
      </c>
    </row>
    <row r="21" spans="2:551" x14ac:dyDescent="0.3">
      <c r="B21" s="62"/>
      <c r="C21" s="63"/>
      <c r="D21" s="64"/>
      <c r="E21" s="66" t="s">
        <v>39</v>
      </c>
      <c r="F21" s="79" t="str">
        <f>COUNTIFS(D25:D301,"J",B25:B301,K2,E25:E301,"Congé")+ COUNTIFS(D25:D301,"AM",B25:B301,K2,E25:E301,"Congé")*0.5+COUNTIFS(D25:D301,"PM",B25:B301,K2,E25:E301,"Congé")*0.5 &amp; " jours sur " &amp; K2 &amp; "."</f>
        <v>22 jours sur 2026.</v>
      </c>
      <c r="G21" s="10"/>
      <c r="K21" s="31"/>
      <c r="L21" s="22">
        <f t="shared" ref="L21:L22" si="219">X20+1</f>
        <v>13</v>
      </c>
      <c r="M21" s="23"/>
      <c r="N21" s="22">
        <f t="shared" ref="N21:N22" si="220">L21+1</f>
        <v>14</v>
      </c>
      <c r="O21" s="23"/>
      <c r="P21" s="22">
        <f t="shared" ref="P21:P22" si="221">N21+1</f>
        <v>15</v>
      </c>
      <c r="Q21" s="23"/>
      <c r="R21" s="22">
        <f t="shared" ref="R21:R22" si="222">P21+1</f>
        <v>16</v>
      </c>
      <c r="S21" s="23"/>
      <c r="T21" s="22">
        <f t="shared" ref="T21:T22" si="223">R21+1</f>
        <v>17</v>
      </c>
      <c r="U21" s="23"/>
      <c r="V21" s="22">
        <f t="shared" ref="V21:V22" si="224">T21+1</f>
        <v>18</v>
      </c>
      <c r="W21" s="23"/>
      <c r="X21" s="22">
        <f t="shared" ref="X21:X22" si="225">V21+1</f>
        <v>19</v>
      </c>
      <c r="Y21" s="23"/>
      <c r="Z21" s="31"/>
      <c r="AA21" s="31"/>
      <c r="AB21" s="22">
        <f t="shared" si="197"/>
        <v>11</v>
      </c>
      <c r="AC21" s="23"/>
      <c r="AD21" s="22">
        <f t="shared" ref="AD21:AD22" si="226">AB21+1</f>
        <v>12</v>
      </c>
      <c r="AE21" s="23"/>
      <c r="AF21" s="22">
        <f t="shared" ref="AF21:AF22" si="227">AD21+1</f>
        <v>13</v>
      </c>
      <c r="AG21" s="23"/>
      <c r="AH21" s="22">
        <f t="shared" ref="AH21:AH22" si="228">AF21+1</f>
        <v>14</v>
      </c>
      <c r="AI21" s="23"/>
      <c r="AJ21" s="22">
        <f t="shared" ref="AJ21:AJ22" si="229">AH21+1</f>
        <v>15</v>
      </c>
      <c r="AK21" s="23"/>
      <c r="AL21" s="22">
        <f t="shared" ref="AL21:AL22" si="230">AJ21+1</f>
        <v>16</v>
      </c>
      <c r="AM21" s="23"/>
      <c r="AN21" s="22">
        <f t="shared" ref="AN21:AN22" si="231">AL21+1</f>
        <v>17</v>
      </c>
      <c r="AO21" s="23"/>
      <c r="AP21" s="31"/>
      <c r="AQ21" s="31"/>
      <c r="AR21" s="22">
        <f t="shared" ref="AR21:AR22" si="232">BD20+1</f>
        <v>15</v>
      </c>
      <c r="AS21" s="23"/>
      <c r="AT21" s="22">
        <f t="shared" ref="AT21:AT22" si="233">AR21+1</f>
        <v>16</v>
      </c>
      <c r="AU21" s="23"/>
      <c r="AV21" s="22">
        <f t="shared" ref="AV21:AV22" si="234">AT21+1</f>
        <v>17</v>
      </c>
      <c r="AW21" s="23"/>
      <c r="AX21" s="22">
        <f t="shared" ref="AX21:AX22" si="235">AV21+1</f>
        <v>18</v>
      </c>
      <c r="AY21" s="23"/>
      <c r="AZ21" s="22">
        <f t="shared" ref="AZ21:AZ22" si="236">AX21+1</f>
        <v>19</v>
      </c>
      <c r="BA21" s="23"/>
      <c r="BB21" s="22">
        <f t="shared" ref="BB21:BB22" si="237">AZ21+1</f>
        <v>20</v>
      </c>
      <c r="BC21" s="23"/>
      <c r="BD21" s="22">
        <f t="shared" ref="BD21:BD22" si="238">BB21+1</f>
        <v>21</v>
      </c>
      <c r="BE21" s="23"/>
      <c r="BF21" s="31"/>
      <c r="BG21" s="31"/>
      <c r="BJ21" s="42"/>
      <c r="BK21" s="6">
        <v>4</v>
      </c>
      <c r="BL21" s="6">
        <v>4</v>
      </c>
      <c r="BM21" s="6">
        <v>4</v>
      </c>
      <c r="BN21" s="6">
        <v>4</v>
      </c>
      <c r="BO21" s="6">
        <v>4</v>
      </c>
      <c r="BP21" s="6">
        <v>4</v>
      </c>
      <c r="BQ21" s="6">
        <v>4</v>
      </c>
      <c r="BR21" s="6">
        <v>4</v>
      </c>
      <c r="BS21" s="6">
        <v>4</v>
      </c>
      <c r="BT21" s="6">
        <v>4</v>
      </c>
      <c r="BU21" s="6">
        <v>4</v>
      </c>
      <c r="BV21" s="6">
        <v>4</v>
      </c>
      <c r="BW21" s="6">
        <v>4</v>
      </c>
      <c r="CA21" s="6">
        <v>5</v>
      </c>
      <c r="CB21" s="6">
        <v>5</v>
      </c>
      <c r="CC21" s="6">
        <v>5</v>
      </c>
      <c r="CD21" s="6">
        <v>5</v>
      </c>
      <c r="CE21" s="6">
        <v>5</v>
      </c>
      <c r="CF21" s="6">
        <v>5</v>
      </c>
      <c r="CG21" s="6">
        <v>5</v>
      </c>
      <c r="CH21" s="6">
        <v>5</v>
      </c>
      <c r="CI21" s="6">
        <v>5</v>
      </c>
      <c r="CJ21" s="6">
        <v>5</v>
      </c>
      <c r="CK21" s="6">
        <v>5</v>
      </c>
      <c r="CL21" s="6">
        <v>5</v>
      </c>
      <c r="CM21" s="6">
        <v>5</v>
      </c>
      <c r="CQ21" s="6">
        <v>6</v>
      </c>
      <c r="CR21" s="6">
        <v>6</v>
      </c>
      <c r="CS21" s="6">
        <v>6</v>
      </c>
      <c r="CT21" s="6">
        <v>6</v>
      </c>
      <c r="CU21" s="6">
        <v>6</v>
      </c>
      <c r="CV21" s="6">
        <v>6</v>
      </c>
      <c r="CW21" s="6">
        <v>6</v>
      </c>
      <c r="CX21" s="6">
        <v>6</v>
      </c>
      <c r="CY21" s="6">
        <v>6</v>
      </c>
      <c r="CZ21" s="6">
        <v>6</v>
      </c>
      <c r="DA21" s="6">
        <v>6</v>
      </c>
      <c r="DB21" s="6">
        <v>6</v>
      </c>
      <c r="DC21" s="6">
        <v>6</v>
      </c>
      <c r="DG21" s="42"/>
      <c r="DH21" s="43">
        <f t="shared" si="198"/>
        <v>46125</v>
      </c>
      <c r="DI21" s="44">
        <f t="shared" ref="DI21" si="239">DH21</f>
        <v>46125</v>
      </c>
      <c r="DJ21" s="44">
        <f t="shared" si="161"/>
        <v>46126</v>
      </c>
      <c r="DK21" s="44">
        <f t="shared" ref="DK21" si="240">DJ21</f>
        <v>46126</v>
      </c>
      <c r="DL21" s="44">
        <f t="shared" si="163"/>
        <v>46127</v>
      </c>
      <c r="DM21" s="44">
        <f t="shared" ref="DM21" si="241">DL21</f>
        <v>46127</v>
      </c>
      <c r="DN21" s="44">
        <f t="shared" si="165"/>
        <v>46128</v>
      </c>
      <c r="DO21" s="44">
        <f t="shared" ref="DO21" si="242">DN21</f>
        <v>46128</v>
      </c>
      <c r="DP21" s="44">
        <f t="shared" si="167"/>
        <v>46129</v>
      </c>
      <c r="DQ21" s="44">
        <f t="shared" ref="DQ21" si="243">DP21</f>
        <v>46129</v>
      </c>
      <c r="DR21" s="44">
        <f t="shared" si="169"/>
        <v>46130</v>
      </c>
      <c r="DS21" s="44">
        <f t="shared" ref="DS21" si="244">DR21</f>
        <v>46130</v>
      </c>
      <c r="DT21" s="44">
        <f t="shared" si="171"/>
        <v>46131</v>
      </c>
      <c r="DU21" s="45">
        <f t="shared" si="172"/>
        <v>46131</v>
      </c>
      <c r="DX21" s="43">
        <f t="shared" si="205"/>
        <v>46153</v>
      </c>
      <c r="DY21" s="44">
        <f t="shared" ref="DY21" si="245">DX21</f>
        <v>46153</v>
      </c>
      <c r="DZ21" s="44">
        <f t="shared" si="173"/>
        <v>46154</v>
      </c>
      <c r="EA21" s="44">
        <f t="shared" ref="EA21" si="246">DZ21</f>
        <v>46154</v>
      </c>
      <c r="EB21" s="44">
        <f t="shared" si="175"/>
        <v>46155</v>
      </c>
      <c r="EC21" s="44">
        <f t="shared" ref="EC21" si="247">EB21</f>
        <v>46155</v>
      </c>
      <c r="ED21" s="44">
        <f t="shared" si="177"/>
        <v>46156</v>
      </c>
      <c r="EE21" s="44">
        <f t="shared" ref="EE21" si="248">ED21</f>
        <v>46156</v>
      </c>
      <c r="EF21" s="44">
        <f t="shared" si="179"/>
        <v>46157</v>
      </c>
      <c r="EG21" s="44">
        <f t="shared" ref="EG21" si="249">EF21</f>
        <v>46157</v>
      </c>
      <c r="EH21" s="44">
        <f t="shared" si="181"/>
        <v>46158</v>
      </c>
      <c r="EI21" s="44">
        <f t="shared" ref="EI21" si="250">EH21</f>
        <v>46158</v>
      </c>
      <c r="EJ21" s="44">
        <f t="shared" si="183"/>
        <v>46159</v>
      </c>
      <c r="EK21" s="45">
        <f t="shared" si="184"/>
        <v>46159</v>
      </c>
      <c r="EN21" s="43">
        <f t="shared" si="212"/>
        <v>46188</v>
      </c>
      <c r="EO21" s="44">
        <f t="shared" ref="EO21" si="251">EN21</f>
        <v>46188</v>
      </c>
      <c r="EP21" s="44">
        <f t="shared" si="185"/>
        <v>46189</v>
      </c>
      <c r="EQ21" s="44">
        <f t="shared" ref="EQ21" si="252">EP21</f>
        <v>46189</v>
      </c>
      <c r="ER21" s="44">
        <f t="shared" si="187"/>
        <v>46190</v>
      </c>
      <c r="ES21" s="44">
        <f t="shared" ref="ES21" si="253">ER21</f>
        <v>46190</v>
      </c>
      <c r="ET21" s="44">
        <f t="shared" si="189"/>
        <v>46191</v>
      </c>
      <c r="EU21" s="44">
        <f t="shared" ref="EU21" si="254">ET21</f>
        <v>46191</v>
      </c>
      <c r="EV21" s="44">
        <f t="shared" si="191"/>
        <v>46192</v>
      </c>
      <c r="EW21" s="44">
        <f t="shared" ref="EW21" si="255">EV21</f>
        <v>46192</v>
      </c>
      <c r="EX21" s="44">
        <f t="shared" si="193"/>
        <v>46193</v>
      </c>
      <c r="EY21" s="44">
        <f t="shared" ref="EY21" si="256">EX21</f>
        <v>46193</v>
      </c>
      <c r="EZ21" s="44">
        <f t="shared" si="195"/>
        <v>46194</v>
      </c>
      <c r="FA21" s="45">
        <f t="shared" si="196"/>
        <v>46194</v>
      </c>
      <c r="FE21" s="49">
        <f>COUNTIFS(Parameters!$S:$S,$D$4,Parameters!$Q:$Q,DH21)</f>
        <v>0</v>
      </c>
      <c r="FF21" s="50">
        <f>COUNTIFS(Parameters!$S:$S,$D$4,Parameters!$Q:$Q,DI21)</f>
        <v>0</v>
      </c>
      <c r="FG21" s="50">
        <f>COUNTIFS(Parameters!$S:$S,$D$4,Parameters!$Q:$Q,DJ21)</f>
        <v>0</v>
      </c>
      <c r="FH21" s="50">
        <f>COUNTIFS(Parameters!$S:$S,$D$4,Parameters!$Q:$Q,DK21)</f>
        <v>0</v>
      </c>
      <c r="FI21" s="50">
        <f>COUNTIFS(Parameters!$S:$S,$D$4,Parameters!$Q:$Q,DL21)</f>
        <v>0</v>
      </c>
      <c r="FJ21" s="50">
        <f>COUNTIFS(Parameters!$S:$S,$D$4,Parameters!$Q:$Q,DM21)</f>
        <v>0</v>
      </c>
      <c r="FK21" s="50">
        <f>COUNTIFS(Parameters!$S:$S,$D$4,Parameters!$Q:$Q,DN21)</f>
        <v>0</v>
      </c>
      <c r="FL21" s="50">
        <f>COUNTIFS(Parameters!$S:$S,$D$4,Parameters!$Q:$Q,DO21)</f>
        <v>0</v>
      </c>
      <c r="FM21" s="50">
        <f>COUNTIFS(Parameters!$S:$S,$D$4,Parameters!$Q:$Q,DP21)</f>
        <v>0</v>
      </c>
      <c r="FN21" s="50">
        <f>COUNTIFS(Parameters!$S:$S,$D$4,Parameters!$Q:$Q,DQ21)</f>
        <v>0</v>
      </c>
      <c r="FO21" s="50">
        <f>COUNTIFS(Parameters!$S:$S,$D$4,Parameters!$Q:$Q,DR21)</f>
        <v>0</v>
      </c>
      <c r="FP21" s="50">
        <f>COUNTIFS(Parameters!$S:$S,$D$4,Parameters!$Q:$Q,DS21)</f>
        <v>0</v>
      </c>
      <c r="FQ21" s="50">
        <f>COUNTIFS(Parameters!$S:$S,$D$4,Parameters!$Q:$Q,DT21)</f>
        <v>0</v>
      </c>
      <c r="FR21" s="57">
        <f>COUNTIFS(Parameters!$S:$S,$D$4,Parameters!$Q:$Q,DU21)</f>
        <v>0</v>
      </c>
      <c r="FU21" s="49">
        <f>COUNTIFS(Parameters!$S:$S,$D$4,Parameters!$Q:$Q,DX21)</f>
        <v>0</v>
      </c>
      <c r="FV21" s="50">
        <f>COUNTIFS(Parameters!$S:$S,$D$4,Parameters!$Q:$Q,DY21)</f>
        <v>0</v>
      </c>
      <c r="FW21" s="50">
        <f>COUNTIFS(Parameters!$S:$S,$D$4,Parameters!$Q:$Q,DZ21)</f>
        <v>0</v>
      </c>
      <c r="FX21" s="50">
        <f>COUNTIFS(Parameters!$S:$S,$D$4,Parameters!$Q:$Q,EA21)</f>
        <v>0</v>
      </c>
      <c r="FY21" s="50">
        <f>COUNTIFS(Parameters!$S:$S,$D$4,Parameters!$Q:$Q,EB21)</f>
        <v>0</v>
      </c>
      <c r="FZ21" s="50">
        <f>COUNTIFS(Parameters!$S:$S,$D$4,Parameters!$Q:$Q,EC21)</f>
        <v>0</v>
      </c>
      <c r="GA21" s="50">
        <f>COUNTIFS(Parameters!$S:$S,$D$4,Parameters!$Q:$Q,ED21)</f>
        <v>1</v>
      </c>
      <c r="GB21" s="50">
        <f>COUNTIFS(Parameters!$S:$S,$D$4,Parameters!$Q:$Q,EE21)</f>
        <v>1</v>
      </c>
      <c r="GC21" s="50">
        <f>COUNTIFS(Parameters!$S:$S,$D$4,Parameters!$Q:$Q,EF21)</f>
        <v>0</v>
      </c>
      <c r="GD21" s="50">
        <f>COUNTIFS(Parameters!$S:$S,$D$4,Parameters!$Q:$Q,EG21)</f>
        <v>0</v>
      </c>
      <c r="GE21" s="50">
        <f>COUNTIFS(Parameters!$S:$S,$D$4,Parameters!$Q:$Q,EH21)</f>
        <v>0</v>
      </c>
      <c r="GF21" s="50">
        <f>COUNTIFS(Parameters!$S:$S,$D$4,Parameters!$Q:$Q,EI21)</f>
        <v>0</v>
      </c>
      <c r="GG21" s="50">
        <f>COUNTIFS(Parameters!$S:$S,$D$4,Parameters!$Q:$Q,EJ21)</f>
        <v>0</v>
      </c>
      <c r="GH21" s="57">
        <f>COUNTIFS(Parameters!$S:$S,$D$4,Parameters!$Q:$Q,EK21)</f>
        <v>0</v>
      </c>
      <c r="GK21" s="49">
        <f>COUNTIFS(Parameters!$S:$S,$D$4,Parameters!$Q:$Q,EN21)</f>
        <v>0</v>
      </c>
      <c r="GL21" s="50">
        <f>COUNTIFS(Parameters!$S:$S,$D$4,Parameters!$Q:$Q,EO21)</f>
        <v>0</v>
      </c>
      <c r="GM21" s="50">
        <f>COUNTIFS(Parameters!$S:$S,$D$4,Parameters!$Q:$Q,EP21)</f>
        <v>0</v>
      </c>
      <c r="GN21" s="50">
        <f>COUNTIFS(Parameters!$S:$S,$D$4,Parameters!$Q:$Q,EQ21)</f>
        <v>0</v>
      </c>
      <c r="GO21" s="50">
        <f>COUNTIFS(Parameters!$S:$S,$D$4,Parameters!$Q:$Q,ER21)</f>
        <v>0</v>
      </c>
      <c r="GP21" s="50">
        <f>COUNTIFS(Parameters!$S:$S,$D$4,Parameters!$Q:$Q,ES21)</f>
        <v>0</v>
      </c>
      <c r="GQ21" s="50">
        <f>COUNTIFS(Parameters!$S:$S,$D$4,Parameters!$Q:$Q,ET21)</f>
        <v>0</v>
      </c>
      <c r="GR21" s="50">
        <f>COUNTIFS(Parameters!$S:$S,$D$4,Parameters!$Q:$Q,EU21)</f>
        <v>0</v>
      </c>
      <c r="GS21" s="50">
        <f>COUNTIFS(Parameters!$S:$S,$D$4,Parameters!$Q:$Q,EV21)</f>
        <v>0</v>
      </c>
      <c r="GT21" s="50">
        <f>COUNTIFS(Parameters!$S:$S,$D$4,Parameters!$Q:$Q,EW21)</f>
        <v>0</v>
      </c>
      <c r="GU21" s="50">
        <f>COUNTIFS(Parameters!$S:$S,$D$4,Parameters!$Q:$Q,EX21)</f>
        <v>0</v>
      </c>
      <c r="GV21" s="50">
        <f>COUNTIFS(Parameters!$S:$S,$D$4,Parameters!$Q:$Q,EY21)</f>
        <v>0</v>
      </c>
      <c r="GW21" s="50">
        <f>COUNTIFS(Parameters!$S:$S,$D$4,Parameters!$Q:$Q,EZ21)</f>
        <v>0</v>
      </c>
      <c r="GX21" s="57">
        <f>COUNTIFS(Parameters!$S:$S,$D$4,Parameters!$Q:$Q,FA21)</f>
        <v>0</v>
      </c>
      <c r="HB21" s="49">
        <f>IF(DH21="","",COUNTIFS($D$25:$D$267,Parameters!$K$2,$E$25:$E$267,Parameters!$M$2,Calendrier!$C$25:$C$267,DH21)+ COUNTIFS($D$25:$D$267,Parameters!$K$3,$E$25:$E$267,Parameters!$M$2,Calendrier!$C$25:$C$267,DH21))</f>
        <v>0</v>
      </c>
      <c r="HC21" s="50">
        <f>IF(DI21="","",COUNTIFS($D$25:$D$267,Parameters!$K$2,$E$25:$E$267,Parameters!$M$2,Calendrier!$C$25:$C$267,DI21)+ COUNTIFS($D$25:$D$267,Parameters!$K$4,$E$25:$E$267,Parameters!$M$2,Calendrier!$C$25:$C$267,DI21))</f>
        <v>0</v>
      </c>
      <c r="HD21" s="50">
        <f>IF(DJ21="","",COUNTIFS($D$25:$D$267,Parameters!$K$2,$E$25:$E$267,Parameters!$M$2,Calendrier!$C$25:$C$267,DJ21)+ COUNTIFS($D$25:$D$267,Parameters!$K$3,$E$25:$E$267,Parameters!$M$2,Calendrier!$C$25:$C$267,DJ21))</f>
        <v>0</v>
      </c>
      <c r="HE21" s="50">
        <f>IF(DK21="","",COUNTIFS($D$25:$D$267,Parameters!$K$2,$E$25:$E$267,Parameters!$M$2,Calendrier!$C$25:$C$267,DK21)+ COUNTIFS($D$25:$D$267,Parameters!$K$4,$E$25:$E$267,Parameters!$M$2,Calendrier!$C$25:$C$267,DK21))</f>
        <v>0</v>
      </c>
      <c r="HF21" s="50">
        <f>IF(DL21="","",COUNTIFS($D$25:$D$267,Parameters!$K$2,$E$25:$E$267,Parameters!$M$2,Calendrier!$C$25:$C$267,DL21)+ COUNTIFS($D$25:$D$267,Parameters!$K$3,$E$25:$E$267,Parameters!$M$2,Calendrier!$C$25:$C$267,DL21))</f>
        <v>0</v>
      </c>
      <c r="HG21" s="50">
        <f>IF(DM21="","",COUNTIFS($D$25:$D$267,Parameters!$K$2,$E$25:$E$267,Parameters!$M$2,Calendrier!$C$25:$C$267,DM21)+ COUNTIFS($D$25:$D$267,Parameters!$K$4,$E$25:$E$267,Parameters!$M$2,Calendrier!$C$25:$C$267,DM21))</f>
        <v>0</v>
      </c>
      <c r="HH21" s="50">
        <f>IF(DN21="","",COUNTIFS($D$25:$D$267,Parameters!$K$2,$E$25:$E$267,Parameters!$M$2,Calendrier!$C$25:$C$267,DN21)+ COUNTIFS($D$25:$D$267,Parameters!$K$3,$E$25:$E$267,Parameters!$M$2,Calendrier!$C$25:$C$267,DN21))</f>
        <v>0</v>
      </c>
      <c r="HI21" s="50">
        <f>IF(DO21="","",COUNTIFS($D$25:$D$267,Parameters!$K$2,$E$25:$E$267,Parameters!$M$2,Calendrier!$C$25:$C$267,DO21)+ COUNTIFS($D$25:$D$267,Parameters!$K$4,$E$25:$E$267,Parameters!$M$2,Calendrier!$C$25:$C$267,DO21))</f>
        <v>0</v>
      </c>
      <c r="HJ21" s="50">
        <f>IF(DP21="","",COUNTIFS($D$25:$D$267,Parameters!$K$2,$E$25:$E$267,Parameters!$M$2,Calendrier!$C$25:$C$267,DP21)+ COUNTIFS($D$25:$D$267,Parameters!$K$3,$E$25:$E$267,Parameters!$M$2,Calendrier!$C$25:$C$267,DP21))</f>
        <v>0</v>
      </c>
      <c r="HK21" s="50">
        <f>IF(DQ21="","",COUNTIFS($D$25:$D$267,Parameters!$K$2,$E$25:$E$267,Parameters!$M$2,Calendrier!$C$25:$C$267,DQ21)+ COUNTIFS($D$25:$D$267,Parameters!$K$4,$E$25:$E$267,Parameters!$M$2,Calendrier!$C$25:$C$267,DQ21))</f>
        <v>0</v>
      </c>
      <c r="HL21" s="50">
        <f>IF(DR21="","",COUNTIFS($D$25:$D$267,Parameters!$K$2,$E$25:$E$267,Parameters!$M$2,Calendrier!$C$25:$C$267,DR21)+ COUNTIFS($D$25:$D$267,Parameters!$K$3,$E$25:$E$267,Parameters!$M$2,Calendrier!$C$25:$C$267,DR21))</f>
        <v>0</v>
      </c>
      <c r="HM21" s="50">
        <f>IF(DS21="","",COUNTIFS($D$25:$D$267,Parameters!$K$2,$E$25:$E$267,Parameters!$M$2,Calendrier!$C$25:$C$267,DS21)+ COUNTIFS($D$25:$D$267,Parameters!$K$4,$E$25:$E$267,Parameters!$M$2,Calendrier!$C$25:$C$267,DS21))</f>
        <v>0</v>
      </c>
      <c r="HN21" s="50">
        <f>IF(DT21="","",COUNTIFS($D$25:$D$267,Parameters!$K$2,$E$25:$E$267,Parameters!$M$2,Calendrier!$C$25:$C$267,DT21)+ COUNTIFS($D$25:$D$267,Parameters!$K$3,$E$25:$E$267,Parameters!$M$2,Calendrier!$C$25:$C$267,DT21))</f>
        <v>0</v>
      </c>
      <c r="HO21" s="57">
        <f>IF(DU21="","",COUNTIFS($D$25:$D$267,Parameters!$K$2,$E$25:$E$267,Parameters!$M$2,Calendrier!$C$25:$C$267,DU21)+ COUNTIFS($D$25:$D$267,Parameters!$K$4,$E$25:$E$267,Parameters!$M$2,Calendrier!$C$25:$C$267,DU21))</f>
        <v>0</v>
      </c>
      <c r="HR21" s="49">
        <f>IF(DX21="","",COUNTIFS($D$25:$D$267,Parameters!$K$2,$E$25:$E$267,Parameters!$M$2,Calendrier!$C$25:$C$267,DX21)+ COUNTIFS($D$25:$D$267,Parameters!$K$3,$E$25:$E$267,Parameters!$M$2,Calendrier!$C$25:$C$267,DX21))</f>
        <v>0</v>
      </c>
      <c r="HS21" s="50">
        <f>IF(DY21="","",COUNTIFS($D$25:$D$267,Parameters!$K$2,$E$25:$E$267,Parameters!$M$2,Calendrier!$C$25:$C$267,DY21)+ COUNTIFS($D$25:$D$267,Parameters!$K$4,$E$25:$E$267,Parameters!$M$2,Calendrier!$C$25:$C$267,DY21))</f>
        <v>0</v>
      </c>
      <c r="HT21" s="50">
        <f>IF(DZ21="","",COUNTIFS($D$25:$D$267,Parameters!$K$2,$E$25:$E$267,Parameters!$M$2,Calendrier!$C$25:$C$267,DZ21)+ COUNTIFS($D$25:$D$267,Parameters!$K$3,$E$25:$E$267,Parameters!$M$2,Calendrier!$C$25:$C$267,DZ21))</f>
        <v>0</v>
      </c>
      <c r="HU21" s="50">
        <f>IF(EA21="","",COUNTIFS($D$25:$D$267,Parameters!$K$2,$E$25:$E$267,Parameters!$M$2,Calendrier!$C$25:$C$267,EA21)+ COUNTIFS($D$25:$D$267,Parameters!$K$4,$E$25:$E$267,Parameters!$M$2,Calendrier!$C$25:$C$267,EA21))</f>
        <v>0</v>
      </c>
      <c r="HV21" s="50">
        <f>IF(EB21="","",COUNTIFS($D$25:$D$267,Parameters!$K$2,$E$25:$E$267,Parameters!$M$2,Calendrier!$C$25:$C$267,EB21)+ COUNTIFS($D$25:$D$267,Parameters!$K$3,$E$25:$E$267,Parameters!$M$2,Calendrier!$C$25:$C$267,EB21))</f>
        <v>0</v>
      </c>
      <c r="HW21" s="50">
        <f>IF(EC21="","",COUNTIFS($D$25:$D$267,Parameters!$K$2,$E$25:$E$267,Parameters!$M$2,Calendrier!$C$25:$C$267,EC21)+ COUNTIFS($D$25:$D$267,Parameters!$K$4,$E$25:$E$267,Parameters!$M$2,Calendrier!$C$25:$C$267,EC21))</f>
        <v>0</v>
      </c>
      <c r="HX21" s="50">
        <f>IF(ED21="","",COUNTIFS($D$25:$D$267,Parameters!$K$2,$E$25:$E$267,Parameters!$M$2,Calendrier!$C$25:$C$267,ED21)+ COUNTIFS($D$25:$D$267,Parameters!$K$3,$E$25:$E$267,Parameters!$M$2,Calendrier!$C$25:$C$267,ED21))</f>
        <v>0</v>
      </c>
      <c r="HY21" s="50">
        <f>IF(EE21="","",COUNTIFS($D$25:$D$267,Parameters!$K$2,$E$25:$E$267,Parameters!$M$2,Calendrier!$C$25:$C$267,EE21)+ COUNTIFS($D$25:$D$267,Parameters!$K$4,$E$25:$E$267,Parameters!$M$2,Calendrier!$C$25:$C$267,EE21))</f>
        <v>0</v>
      </c>
      <c r="HZ21" s="50">
        <f>IF(EF21="","",COUNTIFS($D$25:$D$267,Parameters!$K$2,$E$25:$E$267,Parameters!$M$2,Calendrier!$C$25:$C$267,EF21)+ COUNTIFS($D$25:$D$267,Parameters!$K$3,$E$25:$E$267,Parameters!$M$2,Calendrier!$C$25:$C$267,EF21))</f>
        <v>0</v>
      </c>
      <c r="IA21" s="50">
        <f>IF(EG21="","",COUNTIFS($D$25:$D$267,Parameters!$K$2,$E$25:$E$267,Parameters!$M$2,Calendrier!$C$25:$C$267,EG21)+ COUNTIFS($D$25:$D$267,Parameters!$K$4,$E$25:$E$267,Parameters!$M$2,Calendrier!$C$25:$C$267,EG21))</f>
        <v>0</v>
      </c>
      <c r="IB21" s="50">
        <f>IF(EH21="","",COUNTIFS($D$25:$D$267,Parameters!$K$2,$E$25:$E$267,Parameters!$M$2,Calendrier!$C$25:$C$267,EH21)+ COUNTIFS($D$25:$D$267,Parameters!$K$3,$E$25:$E$267,Parameters!$M$2,Calendrier!$C$25:$C$267,EH21))</f>
        <v>0</v>
      </c>
      <c r="IC21" s="50">
        <f>IF(EI21="","",COUNTIFS($D$25:$D$267,Parameters!$K$2,$E$25:$E$267,Parameters!$M$2,Calendrier!$C$25:$C$267,EI21)+ COUNTIFS($D$25:$D$267,Parameters!$K$4,$E$25:$E$267,Parameters!$M$2,Calendrier!$C$25:$C$267,EI21))</f>
        <v>0</v>
      </c>
      <c r="ID21" s="50">
        <f>IF(EJ21="","",COUNTIFS($D$25:$D$267,Parameters!$K$2,$E$25:$E$267,Parameters!$M$2,Calendrier!$C$25:$C$267,EJ21)+ COUNTIFS($D$25:$D$267,Parameters!$K$3,$E$25:$E$267,Parameters!$M$2,Calendrier!$C$25:$C$267,EJ21))</f>
        <v>0</v>
      </c>
      <c r="IE21" s="57">
        <f>IF(EK21="","",COUNTIFS($D$25:$D$267,Parameters!$K$2,$E$25:$E$267,Parameters!$M$2,Calendrier!$C$25:$C$267,EK21)+ COUNTIFS($D$25:$D$267,Parameters!$K$4,$E$25:$E$267,Parameters!$M$2,Calendrier!$C$25:$C$267,EK21))</f>
        <v>0</v>
      </c>
      <c r="IH21" s="49">
        <f>IF(EN21="","",COUNTIFS($D$25:$D$267,Parameters!$K$2,$E$25:$E$267,Parameters!$M$2,Calendrier!$C$25:$C$267,EN21)+ COUNTIFS($D$25:$D$267,Parameters!$K$3,$E$25:$E$267,Parameters!$M$2,Calendrier!$C$25:$C$267,EN21))</f>
        <v>0</v>
      </c>
      <c r="II21" s="50">
        <f>IF(EO21="","",COUNTIFS($D$25:$D$267,Parameters!$K$2,$E$25:$E$267,Parameters!$M$2,Calendrier!$C$25:$C$267,EO21)+ COUNTIFS($D$25:$D$267,Parameters!$K$4,$E$25:$E$267,Parameters!$M$2,Calendrier!$C$25:$C$267,EO21))</f>
        <v>0</v>
      </c>
      <c r="IJ21" s="50">
        <f>IF(EP21="","",COUNTIFS($D$25:$D$267,Parameters!$K$2,$E$25:$E$267,Parameters!$M$2,Calendrier!$C$25:$C$267,EP21)+ COUNTIFS($D$25:$D$267,Parameters!$K$3,$E$25:$E$267,Parameters!$M$2,Calendrier!$C$25:$C$267,EP21))</f>
        <v>0</v>
      </c>
      <c r="IK21" s="50">
        <f>IF(EQ21="","",COUNTIFS($D$25:$D$267,Parameters!$K$2,$E$25:$E$267,Parameters!$M$2,Calendrier!$C$25:$C$267,EQ21)+ COUNTIFS($D$25:$D$267,Parameters!$K$4,$E$25:$E$267,Parameters!$M$2,Calendrier!$C$25:$C$267,EQ21))</f>
        <v>0</v>
      </c>
      <c r="IL21" s="50">
        <f>IF(ER21="","",COUNTIFS($D$25:$D$267,Parameters!$K$2,$E$25:$E$267,Parameters!$M$2,Calendrier!$C$25:$C$267,ER21)+ COUNTIFS($D$25:$D$267,Parameters!$K$3,$E$25:$E$267,Parameters!$M$2,Calendrier!$C$25:$C$267,ER21))</f>
        <v>0</v>
      </c>
      <c r="IM21" s="50">
        <f>IF(ES21="","",COUNTIFS($D$25:$D$267,Parameters!$K$2,$E$25:$E$267,Parameters!$M$2,Calendrier!$C$25:$C$267,ES21)+ COUNTIFS($D$25:$D$267,Parameters!$K$4,$E$25:$E$267,Parameters!$M$2,Calendrier!$C$25:$C$267,ES21))</f>
        <v>0</v>
      </c>
      <c r="IN21" s="50">
        <f>IF(ET21="","",COUNTIFS($D$25:$D$267,Parameters!$K$2,$E$25:$E$267,Parameters!$M$2,Calendrier!$C$25:$C$267,ET21)+ COUNTIFS($D$25:$D$267,Parameters!$K$3,$E$25:$E$267,Parameters!$M$2,Calendrier!$C$25:$C$267,ET21))</f>
        <v>0</v>
      </c>
      <c r="IO21" s="50">
        <f>IF(EU21="","",COUNTIFS($D$25:$D$267,Parameters!$K$2,$E$25:$E$267,Parameters!$M$2,Calendrier!$C$25:$C$267,EU21)+ COUNTIFS($D$25:$D$267,Parameters!$K$4,$E$25:$E$267,Parameters!$M$2,Calendrier!$C$25:$C$267,EU21))</f>
        <v>0</v>
      </c>
      <c r="IP21" s="50">
        <f>IF(EV21="","",COUNTIFS($D$25:$D$267,Parameters!$K$2,$E$25:$E$267,Parameters!$M$2,Calendrier!$C$25:$C$267,EV21)+ COUNTIFS($D$25:$D$267,Parameters!$K$3,$E$25:$E$267,Parameters!$M$2,Calendrier!$C$25:$C$267,EV21))</f>
        <v>0</v>
      </c>
      <c r="IQ21" s="50">
        <f>IF(EW21="","",COUNTIFS($D$25:$D$267,Parameters!$K$2,$E$25:$E$267,Parameters!$M$2,Calendrier!$C$25:$C$267,EW21)+ COUNTIFS($D$25:$D$267,Parameters!$K$4,$E$25:$E$267,Parameters!$M$2,Calendrier!$C$25:$C$267,EW21))</f>
        <v>0</v>
      </c>
      <c r="IR21" s="50">
        <f>IF(EX21="","",COUNTIFS($D$25:$D$267,Parameters!$K$2,$E$25:$E$267,Parameters!$M$2,Calendrier!$C$25:$C$267,EX21)+ COUNTIFS($D$25:$D$267,Parameters!$K$3,$E$25:$E$267,Parameters!$M$2,Calendrier!$C$25:$C$267,EX21))</f>
        <v>0</v>
      </c>
      <c r="IS21" s="50">
        <f>IF(EY21="","",COUNTIFS($D$25:$D$267,Parameters!$K$2,$E$25:$E$267,Parameters!$M$2,Calendrier!$C$25:$C$267,EY21)+ COUNTIFS($D$25:$D$267,Parameters!$K$4,$E$25:$E$267,Parameters!$M$2,Calendrier!$C$25:$C$267,EY21))</f>
        <v>0</v>
      </c>
      <c r="IT21" s="50">
        <f>IF(EZ21="","",COUNTIFS($D$25:$D$267,Parameters!$K$2,$E$25:$E$267,Parameters!$M$2,Calendrier!$C$25:$C$267,EZ21)+ COUNTIFS($D$25:$D$267,Parameters!$K$3,$E$25:$E$267,Parameters!$M$2,Calendrier!$C$25:$C$267,EZ21))</f>
        <v>0</v>
      </c>
      <c r="IU21" s="57">
        <f>IF(FA21="","",COUNTIFS($D$25:$D$267,Parameters!$K$2,$E$25:$E$267,Parameters!$M$2,Calendrier!$C$25:$C$267,FA21)+ COUNTIFS($D$25:$D$267,Parameters!$K$4,$E$25:$E$267,Parameters!$M$2,Calendrier!$C$25:$C$267,FA21))</f>
        <v>0</v>
      </c>
      <c r="IY21" s="49">
        <f>IF(DH21="","",COUNTIFS($D$25:$D$267,Parameters!$K$2,$E$25:$E$267,Parameters!$M$3,Calendrier!$C$25:$C$267,DH21)+ COUNTIFS($D$25:$D$267,Parameters!$K$3,$E$25:$E$267,Parameters!$M$3,Calendrier!$C$25:$C$267,DH21))</f>
        <v>0</v>
      </c>
      <c r="IZ21" s="50">
        <f>IF(DI21="","",COUNTIFS($D$25:$D$267,Parameters!$K$2,$E$25:$E$267,Parameters!$M$3,Calendrier!$C$25:$C$267,DI21)+ COUNTIFS($D$25:$D$267,Parameters!$K$4,$E$25:$E$267,Parameters!$M$3,Calendrier!$C$25:$C$267,DI21))</f>
        <v>0</v>
      </c>
      <c r="JA21" s="50">
        <f>IF(DJ21="","",COUNTIFS($D$25:$D$267,Parameters!$K$2,$E$25:$E$267,Parameters!$M$3,Calendrier!$C$25:$C$267,DJ21)+ COUNTIFS($D$25:$D$267,Parameters!$K$3,$E$25:$E$267,Parameters!$M$3,Calendrier!$C$25:$C$267,DJ21))</f>
        <v>0</v>
      </c>
      <c r="JB21" s="50">
        <f>IF(DK21="","",COUNTIFS($D$25:$D$267,Parameters!$K$2,$E$25:$E$267,Parameters!$M$3,Calendrier!$C$25:$C$267,DK21)+ COUNTIFS($D$25:$D$267,Parameters!$K$4,$E$25:$E$267,Parameters!$M$3,Calendrier!$C$25:$C$267,DK21))</f>
        <v>0</v>
      </c>
      <c r="JC21" s="50">
        <f>IF(DL21="","",COUNTIFS($D$25:$D$267,Parameters!$K$2,$E$25:$E$267,Parameters!$M$3,Calendrier!$C$25:$C$267,DL21)+ COUNTIFS($D$25:$D$267,Parameters!$K$3,$E$25:$E$267,Parameters!$M$3,Calendrier!$C$25:$C$267,DL21))</f>
        <v>0</v>
      </c>
      <c r="JD21" s="50">
        <f>IF(DM21="","",COUNTIFS($D$25:$D$267,Parameters!$K$2,$E$25:$E$267,Parameters!$M$3,Calendrier!$C$25:$C$267,DM21)+ COUNTIFS($D$25:$D$267,Parameters!$K$4,$E$25:$E$267,Parameters!$M$3,Calendrier!$C$25:$C$267,DM21))</f>
        <v>0</v>
      </c>
      <c r="JE21" s="50">
        <f>IF(DN21="","",COUNTIFS($D$25:$D$267,Parameters!$K$2,$E$25:$E$267,Parameters!$M$3,Calendrier!$C$25:$C$267,DN21)+ COUNTIFS($D$25:$D$267,Parameters!$K$3,$E$25:$E$267,Parameters!$M$3,Calendrier!$C$25:$C$267,DN21))</f>
        <v>0</v>
      </c>
      <c r="JF21" s="50">
        <f>IF(DO21="","",COUNTIFS($D$25:$D$267,Parameters!$K$2,$E$25:$E$267,Parameters!$M$3,Calendrier!$C$25:$C$267,DO21)+ COUNTIFS($D$25:$D$267,Parameters!$K$4,$E$25:$E$267,Parameters!$M$3,Calendrier!$C$25:$C$267,DO21))</f>
        <v>0</v>
      </c>
      <c r="JG21" s="50">
        <f>IF(DP21="","",COUNTIFS($D$25:$D$267,Parameters!$K$2,$E$25:$E$267,Parameters!$M$3,Calendrier!$C$25:$C$267,DP21)+ COUNTIFS($D$25:$D$267,Parameters!$K$3,$E$25:$E$267,Parameters!$M$3,Calendrier!$C$25:$C$267,DP21))</f>
        <v>0</v>
      </c>
      <c r="JH21" s="50">
        <f>IF(DQ21="","",COUNTIFS($D$25:$D$267,Parameters!$K$2,$E$25:$E$267,Parameters!$M$3,Calendrier!$C$25:$C$267,DQ21)+ COUNTIFS($D$25:$D$267,Parameters!$K$4,$E$25:$E$267,Parameters!$M$3,Calendrier!$C$25:$C$267,DQ21))</f>
        <v>0</v>
      </c>
      <c r="JI21" s="50">
        <f>IF(DR21="","",COUNTIFS($D$25:$D$267,Parameters!$K$2,$E$25:$E$267,Parameters!$M$3,Calendrier!$C$25:$C$267,DR21)+ COUNTIFS($D$25:$D$267,Parameters!$K$3,$E$25:$E$267,Parameters!$M$3,Calendrier!$C$25:$C$267,DR21))</f>
        <v>0</v>
      </c>
      <c r="JJ21" s="50">
        <f>IF(DS21="","",COUNTIFS($D$25:$D$267,Parameters!$K$2,$E$25:$E$267,Parameters!$M$3,Calendrier!$C$25:$C$267,DS21)+ COUNTIFS($D$25:$D$267,Parameters!$K$4,$E$25:$E$267,Parameters!$M$3,Calendrier!$C$25:$C$267,DS21))</f>
        <v>0</v>
      </c>
      <c r="JK21" s="50">
        <f>IF(DT21="","",COUNTIFS($D$25:$D$267,Parameters!$K$2,$E$25:$E$267,Parameters!$M$3,Calendrier!$C$25:$C$267,DT21)+ COUNTIFS($D$25:$D$267,Parameters!$K$3,$E$25:$E$267,Parameters!$M$3,Calendrier!$C$25:$C$267,DT21))</f>
        <v>0</v>
      </c>
      <c r="JL21" s="57">
        <f>IF(DU21="","",COUNTIFS($D$25:$D$267,Parameters!$K$2,$E$25:$E$267,Parameters!$M$3,Calendrier!$C$25:$C$267,DU21)+ COUNTIFS($D$25:$D$267,Parameters!$K$4,$E$25:$E$267,Parameters!$M$3,Calendrier!$C$25:$C$267,DU21))</f>
        <v>0</v>
      </c>
      <c r="JO21" s="49">
        <f>IF(DX21="","",COUNTIFS($D$25:$D$267,Parameters!$K$2,$E$25:$E$267,Parameters!$M$3,Calendrier!$C$25:$C$267,DX21)+ COUNTIFS($D$25:$D$267,Parameters!$K$3,$E$25:$E$267,Parameters!$M$3,Calendrier!$C$25:$C$267,DX21))</f>
        <v>0</v>
      </c>
      <c r="JP21" s="50">
        <f>IF(DY21="","",COUNTIFS($D$25:$D$267,Parameters!$K$2,$E$25:$E$267,Parameters!$M$3,Calendrier!$C$25:$C$267,DY21)+ COUNTIFS($D$25:$D$267,Parameters!$K$4,$E$25:$E$267,Parameters!$M$3,Calendrier!$C$25:$C$267,DY21))</f>
        <v>0</v>
      </c>
      <c r="JQ21" s="50">
        <f>IF(DZ21="","",COUNTIFS($D$25:$D$267,Parameters!$K$2,$E$25:$E$267,Parameters!$M$3,Calendrier!$C$25:$C$267,DZ21)+ COUNTIFS($D$25:$D$267,Parameters!$K$3,$E$25:$E$267,Parameters!$M$3,Calendrier!$C$25:$C$267,DZ21))</f>
        <v>0</v>
      </c>
      <c r="JR21" s="50">
        <f>IF(EA21="","",COUNTIFS($D$25:$D$267,Parameters!$K$2,$E$25:$E$267,Parameters!$M$3,Calendrier!$C$25:$C$267,EA21)+ COUNTIFS($D$25:$D$267,Parameters!$K$4,$E$25:$E$267,Parameters!$M$3,Calendrier!$C$25:$C$267,EA21))</f>
        <v>0</v>
      </c>
      <c r="JS21" s="50">
        <f>IF(EB21="","",COUNTIFS($D$25:$D$267,Parameters!$K$2,$E$25:$E$267,Parameters!$M$3,Calendrier!$C$25:$C$267,EB21)+ COUNTIFS($D$25:$D$267,Parameters!$K$3,$E$25:$E$267,Parameters!$M$3,Calendrier!$C$25:$C$267,EB21))</f>
        <v>0</v>
      </c>
      <c r="JT21" s="50">
        <f>IF(EC21="","",COUNTIFS($D$25:$D$267,Parameters!$K$2,$E$25:$E$267,Parameters!$M$3,Calendrier!$C$25:$C$267,EC21)+ COUNTIFS($D$25:$D$267,Parameters!$K$4,$E$25:$E$267,Parameters!$M$3,Calendrier!$C$25:$C$267,EC21))</f>
        <v>0</v>
      </c>
      <c r="JU21" s="50">
        <f>IF(ED21="","",COUNTIFS($D$25:$D$267,Parameters!$K$2,$E$25:$E$267,Parameters!$M$3,Calendrier!$C$25:$C$267,ED21)+ COUNTIFS($D$25:$D$267,Parameters!$K$3,$E$25:$E$267,Parameters!$M$3,Calendrier!$C$25:$C$267,ED21))</f>
        <v>0</v>
      </c>
      <c r="JV21" s="50">
        <f>IF(EE21="","",COUNTIFS($D$25:$D$267,Parameters!$K$2,$E$25:$E$267,Parameters!$M$3,Calendrier!$C$25:$C$267,EE21)+ COUNTIFS($D$25:$D$267,Parameters!$K$4,$E$25:$E$267,Parameters!$M$3,Calendrier!$C$25:$C$267,EE21))</f>
        <v>0</v>
      </c>
      <c r="JW21" s="50">
        <f>IF(EF21="","",COUNTIFS($D$25:$D$267,Parameters!$K$2,$E$25:$E$267,Parameters!$M$3,Calendrier!$C$25:$C$267,EF21)+ COUNTIFS($D$25:$D$267,Parameters!$K$3,$E$25:$E$267,Parameters!$M$3,Calendrier!$C$25:$C$267,EF21))</f>
        <v>0</v>
      </c>
      <c r="JX21" s="50">
        <f>IF(EG21="","",COUNTIFS($D$25:$D$267,Parameters!$K$2,$E$25:$E$267,Parameters!$M$3,Calendrier!$C$25:$C$267,EG21)+ COUNTIFS($D$25:$D$267,Parameters!$K$4,$E$25:$E$267,Parameters!$M$3,Calendrier!$C$25:$C$267,EG21))</f>
        <v>0</v>
      </c>
      <c r="JY21" s="50">
        <f>IF(EH21="","",COUNTIFS($D$25:$D$267,Parameters!$K$2,$E$25:$E$267,Parameters!$M$3,Calendrier!$C$25:$C$267,EH21)+ COUNTIFS($D$25:$D$267,Parameters!$K$3,$E$25:$E$267,Parameters!$M$3,Calendrier!$C$25:$C$267,EH21))</f>
        <v>0</v>
      </c>
      <c r="JZ21" s="50">
        <f>IF(EI21="","",COUNTIFS($D$25:$D$267,Parameters!$K$2,$E$25:$E$267,Parameters!$M$3,Calendrier!$C$25:$C$267,EI21)+ COUNTIFS($D$25:$D$267,Parameters!$K$4,$E$25:$E$267,Parameters!$M$3,Calendrier!$C$25:$C$267,EI21))</f>
        <v>0</v>
      </c>
      <c r="KA21" s="50">
        <f>IF(EJ21="","",COUNTIFS($D$25:$D$267,Parameters!$K$2,$E$25:$E$267,Parameters!$M$3,Calendrier!$C$25:$C$267,EJ21)+ COUNTIFS($D$25:$D$267,Parameters!$K$3,$E$25:$E$267,Parameters!$M$3,Calendrier!$C$25:$C$267,EJ21))</f>
        <v>0</v>
      </c>
      <c r="KB21" s="57">
        <f>IF(EK21="","",COUNTIFS($D$25:$D$267,Parameters!$K$2,$E$25:$E$267,Parameters!$M$3,Calendrier!$C$25:$C$267,EK21)+ COUNTIFS($D$25:$D$267,Parameters!$K$4,$E$25:$E$267,Parameters!$M$3,Calendrier!$C$25:$C$267,EK21))</f>
        <v>0</v>
      </c>
      <c r="KE21" s="49">
        <f>IF(EN21="","",COUNTIFS($D$25:$D$267,Parameters!$K$2,$E$25:$E$267,Parameters!$M$3,Calendrier!$C$25:$C$267,EN21)+ COUNTIFS($D$25:$D$267,Parameters!$K$3,$E$25:$E$267,Parameters!$M$3,Calendrier!$C$25:$C$267,EN21))</f>
        <v>0</v>
      </c>
      <c r="KF21" s="50">
        <f>IF(EO21="","",COUNTIFS($D$25:$D$267,Parameters!$K$2,$E$25:$E$267,Parameters!$M$3,Calendrier!$C$25:$C$267,EO21)+ COUNTIFS($D$25:$D$267,Parameters!$K$4,$E$25:$E$267,Parameters!$M$3,Calendrier!$C$25:$C$267,EO21))</f>
        <v>0</v>
      </c>
      <c r="KG21" s="50">
        <f>IF(EP21="","",COUNTIFS($D$25:$D$267,Parameters!$K$2,$E$25:$E$267,Parameters!$M$3,Calendrier!$C$25:$C$267,EP21)+ COUNTIFS($D$25:$D$267,Parameters!$K$3,$E$25:$E$267,Parameters!$M$3,Calendrier!$C$25:$C$267,EP21))</f>
        <v>0</v>
      </c>
      <c r="KH21" s="50">
        <f>IF(EQ21="","",COUNTIFS($D$25:$D$267,Parameters!$K$2,$E$25:$E$267,Parameters!$M$3,Calendrier!$C$25:$C$267,EQ21)+ COUNTIFS($D$25:$D$267,Parameters!$K$4,$E$25:$E$267,Parameters!$M$3,Calendrier!$C$25:$C$267,EQ21))</f>
        <v>0</v>
      </c>
      <c r="KI21" s="50">
        <f>IF(ER21="","",COUNTIFS($D$25:$D$267,Parameters!$K$2,$E$25:$E$267,Parameters!$M$3,Calendrier!$C$25:$C$267,ER21)+ COUNTIFS($D$25:$D$267,Parameters!$K$3,$E$25:$E$267,Parameters!$M$3,Calendrier!$C$25:$C$267,ER21))</f>
        <v>0</v>
      </c>
      <c r="KJ21" s="50">
        <f>IF(ES21="","",COUNTIFS($D$25:$D$267,Parameters!$K$2,$E$25:$E$267,Parameters!$M$3,Calendrier!$C$25:$C$267,ES21)+ COUNTIFS($D$25:$D$267,Parameters!$K$4,$E$25:$E$267,Parameters!$M$3,Calendrier!$C$25:$C$267,ES21))</f>
        <v>0</v>
      </c>
      <c r="KK21" s="50">
        <f>IF(ET21="","",COUNTIFS($D$25:$D$267,Parameters!$K$2,$E$25:$E$267,Parameters!$M$3,Calendrier!$C$25:$C$267,ET21)+ COUNTIFS($D$25:$D$267,Parameters!$K$3,$E$25:$E$267,Parameters!$M$3,Calendrier!$C$25:$C$267,ET21))</f>
        <v>0</v>
      </c>
      <c r="KL21" s="50">
        <f>IF(EU21="","",COUNTIFS($D$25:$D$267,Parameters!$K$2,$E$25:$E$267,Parameters!$M$3,Calendrier!$C$25:$C$267,EU21)+ COUNTIFS($D$25:$D$267,Parameters!$K$4,$E$25:$E$267,Parameters!$M$3,Calendrier!$C$25:$C$267,EU21))</f>
        <v>0</v>
      </c>
      <c r="KM21" s="50">
        <f>IF(EV21="","",COUNTIFS($D$25:$D$267,Parameters!$K$2,$E$25:$E$267,Parameters!$M$3,Calendrier!$C$25:$C$267,EV21)+ COUNTIFS($D$25:$D$267,Parameters!$K$3,$E$25:$E$267,Parameters!$M$3,Calendrier!$C$25:$C$267,EV21))</f>
        <v>0</v>
      </c>
      <c r="KN21" s="50">
        <f>IF(EW21="","",COUNTIFS($D$25:$D$267,Parameters!$K$2,$E$25:$E$267,Parameters!$M$3,Calendrier!$C$25:$C$267,EW21)+ COUNTIFS($D$25:$D$267,Parameters!$K$4,$E$25:$E$267,Parameters!$M$3,Calendrier!$C$25:$C$267,EW21))</f>
        <v>0</v>
      </c>
      <c r="KO21" s="50">
        <f>IF(EX21="","",COUNTIFS($D$25:$D$267,Parameters!$K$2,$E$25:$E$267,Parameters!$M$3,Calendrier!$C$25:$C$267,EX21)+ COUNTIFS($D$25:$D$267,Parameters!$K$3,$E$25:$E$267,Parameters!$M$3,Calendrier!$C$25:$C$267,EX21))</f>
        <v>0</v>
      </c>
      <c r="KP21" s="50">
        <f>IF(EY21="","",COUNTIFS($D$25:$D$267,Parameters!$K$2,$E$25:$E$267,Parameters!$M$3,Calendrier!$C$25:$C$267,EY21)+ COUNTIFS($D$25:$D$267,Parameters!$K$4,$E$25:$E$267,Parameters!$M$3,Calendrier!$C$25:$C$267,EY21))</f>
        <v>0</v>
      </c>
      <c r="KQ21" s="50">
        <f>IF(EZ21="","",COUNTIFS($D$25:$D$267,Parameters!$K$2,$E$25:$E$267,Parameters!$M$3,Calendrier!$C$25:$C$267,EZ21)+ COUNTIFS($D$25:$D$267,Parameters!$K$3,$E$25:$E$267,Parameters!$M$3,Calendrier!$C$25:$C$267,EZ21))</f>
        <v>0</v>
      </c>
      <c r="KR21" s="57">
        <f>IF(FA21="","",COUNTIFS($D$25:$D$267,Parameters!$K$2,$E$25:$E$267,Parameters!$M$3,Calendrier!$C$25:$C$267,FA21)+ COUNTIFS($D$25:$D$267,Parameters!$K$4,$E$25:$E$267,Parameters!$M$3,Calendrier!$C$25:$C$267,FA21))</f>
        <v>0</v>
      </c>
      <c r="KV21" s="49">
        <f>IF(DH21="","",COUNTIFS($D$25:$D$267,Parameters!$K$2,$E$25:$E$267,Parameters!$M$4,Calendrier!$C$25:$C$267,DH21)+ COUNTIFS($D$25:$D$267,Parameters!$K$3,$E$25:$E$267,Parameters!$M$4,Calendrier!$C$25:$C$267,DH21))</f>
        <v>0</v>
      </c>
      <c r="KW21" s="50">
        <f>IF(DI21="","",COUNTIFS($D$25:$D$267,Parameters!$K$2,$E$25:$E$267,Parameters!$M$4,Calendrier!$C$25:$C$267,DI21)+ COUNTIFS($D$25:$D$267,Parameters!$K$4,$E$25:$E$267,Parameters!$M$4,Calendrier!$C$25:$C$267,DI21))</f>
        <v>0</v>
      </c>
      <c r="KX21" s="50">
        <f>IF(DJ21="","",COUNTIFS($D$25:$D$267,Parameters!$K$2,$E$25:$E$267,Parameters!$M$4,Calendrier!$C$25:$C$267,DJ21)+ COUNTIFS($D$25:$D$267,Parameters!$K$3,$E$25:$E$267,Parameters!$M$4,Calendrier!$C$25:$C$267,DJ21))</f>
        <v>0</v>
      </c>
      <c r="KY21" s="50">
        <f>IF(DK21="","",COUNTIFS($D$25:$D$267,Parameters!$K$2,$E$25:$E$267,Parameters!$M$4,Calendrier!$C$25:$C$267,DK21)+ COUNTIFS($D$25:$D$267,Parameters!$K$4,$E$25:$E$267,Parameters!$M$4,Calendrier!$C$25:$C$267,DK21))</f>
        <v>0</v>
      </c>
      <c r="KZ21" s="50">
        <f>IF(DL21="","",COUNTIFS($D$25:$D$267,Parameters!$K$2,$E$25:$E$267,Parameters!$M$4,Calendrier!$C$25:$C$267,DL21)+ COUNTIFS($D$25:$D$267,Parameters!$K$3,$E$25:$E$267,Parameters!$M$4,Calendrier!$C$25:$C$267,DL21))</f>
        <v>0</v>
      </c>
      <c r="LA21" s="50">
        <f>IF(DM21="","",COUNTIFS($D$25:$D$267,Parameters!$K$2,$E$25:$E$267,Parameters!$M$4,Calendrier!$C$25:$C$267,DM21)+ COUNTIFS($D$25:$D$267,Parameters!$K$4,$E$25:$E$267,Parameters!$M$4,Calendrier!$C$25:$C$267,DM21))</f>
        <v>0</v>
      </c>
      <c r="LB21" s="50">
        <f>IF(DN21="","",COUNTIFS($D$25:$D$267,Parameters!$K$2,$E$25:$E$267,Parameters!$M$4,Calendrier!$C$25:$C$267,DN21)+ COUNTIFS($D$25:$D$267,Parameters!$K$3,$E$25:$E$267,Parameters!$M$4,Calendrier!$C$25:$C$267,DN21))</f>
        <v>0</v>
      </c>
      <c r="LC21" s="50">
        <f>IF(DO21="","",COUNTIFS($D$25:$D$267,Parameters!$K$2,$E$25:$E$267,Parameters!$M$4,Calendrier!$C$25:$C$267,DO21)+ COUNTIFS($D$25:$D$267,Parameters!$K$4,$E$25:$E$267,Parameters!$M$4,Calendrier!$C$25:$C$267,DO21))</f>
        <v>0</v>
      </c>
      <c r="LD21" s="50">
        <f>IF(DP21="","",COUNTIFS($D$25:$D$267,Parameters!$K$2,$E$25:$E$267,Parameters!$M$4,Calendrier!$C$25:$C$267,DP21)+ COUNTIFS($D$25:$D$267,Parameters!$K$3,$E$25:$E$267,Parameters!$M$4,Calendrier!$C$25:$C$267,DP21))</f>
        <v>0</v>
      </c>
      <c r="LE21" s="50">
        <f>IF(DQ21="","",COUNTIFS($D$25:$D$267,Parameters!$K$2,$E$25:$E$267,Parameters!$M$4,Calendrier!$C$25:$C$267,DQ21)+ COUNTIFS($D$25:$D$267,Parameters!$K$4,$E$25:$E$267,Parameters!$M$4,Calendrier!$C$25:$C$267,DQ21))</f>
        <v>0</v>
      </c>
      <c r="LF21" s="50">
        <f>IF(DR21="","",COUNTIFS($D$25:$D$267,Parameters!$K$2,$E$25:$E$267,Parameters!$M$4,Calendrier!$C$25:$C$267,DR21)+ COUNTIFS($D$25:$D$267,Parameters!$K$3,$E$25:$E$267,Parameters!$M$4,Calendrier!$C$25:$C$267,DR21))</f>
        <v>0</v>
      </c>
      <c r="LG21" s="50">
        <f>IF(DS21="","",COUNTIFS($D$25:$D$267,Parameters!$K$2,$E$25:$E$267,Parameters!$M$4,Calendrier!$C$25:$C$267,DS21)+ COUNTIFS($D$25:$D$267,Parameters!$K$4,$E$25:$E$267,Parameters!$M$4,Calendrier!$C$25:$C$267,DS21))</f>
        <v>0</v>
      </c>
      <c r="LH21" s="50">
        <f>IF(DT21="","",COUNTIFS($D$25:$D$267,Parameters!$K$2,$E$25:$E$267,Parameters!$M$4,Calendrier!$C$25:$C$267,DT21)+ COUNTIFS($D$25:$D$267,Parameters!$K$3,$E$25:$E$267,Parameters!$M$4,Calendrier!$C$25:$C$267,DT21))</f>
        <v>0</v>
      </c>
      <c r="LI21" s="57">
        <f>IF(DU21="","",COUNTIFS($D$25:$D$267,Parameters!$K$2,$E$25:$E$267,Parameters!$M$4,Calendrier!$C$25:$C$267,DU21)+ COUNTIFS($D$25:$D$267,Parameters!$K$4,$E$25:$E$267,Parameters!$M$4,Calendrier!$C$25:$C$267,DU21))</f>
        <v>0</v>
      </c>
      <c r="LL21" s="49">
        <f>IF(DX21="","",COUNTIFS($D$25:$D$267,Parameters!$K$2,$E$25:$E$267,Parameters!$M$4,Calendrier!$C$25:$C$267,DX21)+ COUNTIFS($D$25:$D$267,Parameters!$K$3,$E$25:$E$267,Parameters!$M$4,Calendrier!$C$25:$C$267,DX21))</f>
        <v>0</v>
      </c>
      <c r="LM21" s="50">
        <f>IF(DY21="","",COUNTIFS($D$25:$D$267,Parameters!$K$2,$E$25:$E$267,Parameters!$M$4,Calendrier!$C$25:$C$267,DY21)+ COUNTIFS($D$25:$D$267,Parameters!$K$4,$E$25:$E$267,Parameters!$M$4,Calendrier!$C$25:$C$267,DY21))</f>
        <v>0</v>
      </c>
      <c r="LN21" s="50">
        <f>IF(DZ21="","",COUNTIFS($D$25:$D$267,Parameters!$K$2,$E$25:$E$267,Parameters!$M$4,Calendrier!$C$25:$C$267,DZ21)+ COUNTIFS($D$25:$D$267,Parameters!$K$3,$E$25:$E$267,Parameters!$M$4,Calendrier!$C$25:$C$267,DZ21))</f>
        <v>0</v>
      </c>
      <c r="LO21" s="50">
        <f>IF(EA21="","",COUNTIFS($D$25:$D$267,Parameters!$K$2,$E$25:$E$267,Parameters!$M$4,Calendrier!$C$25:$C$267,EA21)+ COUNTIFS($D$25:$D$267,Parameters!$K$4,$E$25:$E$267,Parameters!$M$4,Calendrier!$C$25:$C$267,EA21))</f>
        <v>0</v>
      </c>
      <c r="LP21" s="50">
        <f>IF(EB21="","",COUNTIFS($D$25:$D$267,Parameters!$K$2,$E$25:$E$267,Parameters!$M$4,Calendrier!$C$25:$C$267,EB21)+ COUNTIFS($D$25:$D$267,Parameters!$K$3,$E$25:$E$267,Parameters!$M$4,Calendrier!$C$25:$C$267,EB21))</f>
        <v>0</v>
      </c>
      <c r="LQ21" s="50">
        <f>IF(EC21="","",COUNTIFS($D$25:$D$267,Parameters!$K$2,$E$25:$E$267,Parameters!$M$4,Calendrier!$C$25:$C$267,EC21)+ COUNTIFS($D$25:$D$267,Parameters!$K$4,$E$25:$E$267,Parameters!$M$4,Calendrier!$C$25:$C$267,EC21))</f>
        <v>0</v>
      </c>
      <c r="LR21" s="50">
        <f>IF(ED21="","",COUNTIFS($D$25:$D$267,Parameters!$K$2,$E$25:$E$267,Parameters!$M$4,Calendrier!$C$25:$C$267,ED21)+ COUNTIFS($D$25:$D$267,Parameters!$K$3,$E$25:$E$267,Parameters!$M$4,Calendrier!$C$25:$C$267,ED21))</f>
        <v>0</v>
      </c>
      <c r="LS21" s="50">
        <f>IF(EE21="","",COUNTIFS($D$25:$D$267,Parameters!$K$2,$E$25:$E$267,Parameters!$M$4,Calendrier!$C$25:$C$267,EE21)+ COUNTIFS($D$25:$D$267,Parameters!$K$4,$E$25:$E$267,Parameters!$M$4,Calendrier!$C$25:$C$267,EE21))</f>
        <v>0</v>
      </c>
      <c r="LT21" s="50">
        <f>IF(EF21="","",COUNTIFS($D$25:$D$267,Parameters!$K$2,$E$25:$E$267,Parameters!$M$4,Calendrier!$C$25:$C$267,EF21)+ COUNTIFS($D$25:$D$267,Parameters!$K$3,$E$25:$E$267,Parameters!$M$4,Calendrier!$C$25:$C$267,EF21))</f>
        <v>0</v>
      </c>
      <c r="LU21" s="50">
        <f>IF(EG21="","",COUNTIFS($D$25:$D$267,Parameters!$K$2,$E$25:$E$267,Parameters!$M$4,Calendrier!$C$25:$C$267,EG21)+ COUNTIFS($D$25:$D$267,Parameters!$K$4,$E$25:$E$267,Parameters!$M$4,Calendrier!$C$25:$C$267,EG21))</f>
        <v>0</v>
      </c>
      <c r="LV21" s="50">
        <f>IF(EH21="","",COUNTIFS($D$25:$D$267,Parameters!$K$2,$E$25:$E$267,Parameters!$M$4,Calendrier!$C$25:$C$267,EH21)+ COUNTIFS($D$25:$D$267,Parameters!$K$3,$E$25:$E$267,Parameters!$M$4,Calendrier!$C$25:$C$267,EH21))</f>
        <v>0</v>
      </c>
      <c r="LW21" s="50">
        <f>IF(EI21="","",COUNTIFS($D$25:$D$267,Parameters!$K$2,$E$25:$E$267,Parameters!$M$4,Calendrier!$C$25:$C$267,EI21)+ COUNTIFS($D$25:$D$267,Parameters!$K$4,$E$25:$E$267,Parameters!$M$4,Calendrier!$C$25:$C$267,EI21))</f>
        <v>0</v>
      </c>
      <c r="LX21" s="50">
        <f>IF(EJ21="","",COUNTIFS($D$25:$D$267,Parameters!$K$2,$E$25:$E$267,Parameters!$M$4,Calendrier!$C$25:$C$267,EJ21)+ COUNTIFS($D$25:$D$267,Parameters!$K$3,$E$25:$E$267,Parameters!$M$4,Calendrier!$C$25:$C$267,EJ21))</f>
        <v>0</v>
      </c>
      <c r="LY21" s="57">
        <f>IF(EK21="","",COUNTIFS($D$25:$D$267,Parameters!$K$2,$E$25:$E$267,Parameters!$M$4,Calendrier!$C$25:$C$267,EK21)+ COUNTIFS($D$25:$D$267,Parameters!$K$4,$E$25:$E$267,Parameters!$M$4,Calendrier!$C$25:$C$267,EK21))</f>
        <v>0</v>
      </c>
      <c r="MB21" s="49">
        <f>IF(EN21="","",COUNTIFS($D$25:$D$267,Parameters!$K$2,$E$25:$E$267,Parameters!$M$4,Calendrier!$C$25:$C$267,EN21)+ COUNTIFS($D$25:$D$267,Parameters!$K$3,$E$25:$E$267,Parameters!$M$4,Calendrier!$C$25:$C$267,EN21))</f>
        <v>0</v>
      </c>
      <c r="MC21" s="50">
        <f>IF(EO21="","",COUNTIFS($D$25:$D$267,Parameters!$K$2,$E$25:$E$267,Parameters!$M$4,Calendrier!$C$25:$C$267,EO21)+ COUNTIFS($D$25:$D$267,Parameters!$K$4,$E$25:$E$267,Parameters!$M$4,Calendrier!$C$25:$C$267,EO21))</f>
        <v>0</v>
      </c>
      <c r="MD21" s="50">
        <f>IF(EP21="","",COUNTIFS($D$25:$D$267,Parameters!$K$2,$E$25:$E$267,Parameters!$M$4,Calendrier!$C$25:$C$267,EP21)+ COUNTIFS($D$25:$D$267,Parameters!$K$3,$E$25:$E$267,Parameters!$M$4,Calendrier!$C$25:$C$267,EP21))</f>
        <v>0</v>
      </c>
      <c r="ME21" s="50">
        <f>IF(EQ21="","",COUNTIFS($D$25:$D$267,Parameters!$K$2,$E$25:$E$267,Parameters!$M$4,Calendrier!$C$25:$C$267,EQ21)+ COUNTIFS($D$25:$D$267,Parameters!$K$4,$E$25:$E$267,Parameters!$M$4,Calendrier!$C$25:$C$267,EQ21))</f>
        <v>0</v>
      </c>
      <c r="MF21" s="50">
        <f>IF(ER21="","",COUNTIFS($D$25:$D$267,Parameters!$K$2,$E$25:$E$267,Parameters!$M$4,Calendrier!$C$25:$C$267,ER21)+ COUNTIFS($D$25:$D$267,Parameters!$K$3,$E$25:$E$267,Parameters!$M$4,Calendrier!$C$25:$C$267,ER21))</f>
        <v>0</v>
      </c>
      <c r="MG21" s="50">
        <f>IF(ES21="","",COUNTIFS($D$25:$D$267,Parameters!$K$2,$E$25:$E$267,Parameters!$M$4,Calendrier!$C$25:$C$267,ES21)+ COUNTIFS($D$25:$D$267,Parameters!$K$4,$E$25:$E$267,Parameters!$M$4,Calendrier!$C$25:$C$267,ES21))</f>
        <v>0</v>
      </c>
      <c r="MH21" s="50">
        <f>IF(ET21="","",COUNTIFS($D$25:$D$267,Parameters!$K$2,$E$25:$E$267,Parameters!$M$4,Calendrier!$C$25:$C$267,ET21)+ COUNTIFS($D$25:$D$267,Parameters!$K$3,$E$25:$E$267,Parameters!$M$4,Calendrier!$C$25:$C$267,ET21))</f>
        <v>0</v>
      </c>
      <c r="MI21" s="50">
        <f>IF(EU21="","",COUNTIFS($D$25:$D$267,Parameters!$K$2,$E$25:$E$267,Parameters!$M$4,Calendrier!$C$25:$C$267,EU21)+ COUNTIFS($D$25:$D$267,Parameters!$K$4,$E$25:$E$267,Parameters!$M$4,Calendrier!$C$25:$C$267,EU21))</f>
        <v>0</v>
      </c>
      <c r="MJ21" s="50">
        <f>IF(EV21="","",COUNTIFS($D$25:$D$267,Parameters!$K$2,$E$25:$E$267,Parameters!$M$4,Calendrier!$C$25:$C$267,EV21)+ COUNTIFS($D$25:$D$267,Parameters!$K$3,$E$25:$E$267,Parameters!$M$4,Calendrier!$C$25:$C$267,EV21))</f>
        <v>0</v>
      </c>
      <c r="MK21" s="50">
        <f>IF(EW21="","",COUNTIFS($D$25:$D$267,Parameters!$K$2,$E$25:$E$267,Parameters!$M$4,Calendrier!$C$25:$C$267,EW21)+ COUNTIFS($D$25:$D$267,Parameters!$K$4,$E$25:$E$267,Parameters!$M$4,Calendrier!$C$25:$C$267,EW21))</f>
        <v>0</v>
      </c>
      <c r="ML21" s="50">
        <f>IF(EX21="","",COUNTIFS($D$25:$D$267,Parameters!$K$2,$E$25:$E$267,Parameters!$M$4,Calendrier!$C$25:$C$267,EX21)+ COUNTIFS($D$25:$D$267,Parameters!$K$3,$E$25:$E$267,Parameters!$M$4,Calendrier!$C$25:$C$267,EX21))</f>
        <v>0</v>
      </c>
      <c r="MM21" s="50">
        <f>IF(EY21="","",COUNTIFS($D$25:$D$267,Parameters!$K$2,$E$25:$E$267,Parameters!$M$4,Calendrier!$C$25:$C$267,EY21)+ COUNTIFS($D$25:$D$267,Parameters!$K$4,$E$25:$E$267,Parameters!$M$4,Calendrier!$C$25:$C$267,EY21))</f>
        <v>0</v>
      </c>
      <c r="MN21" s="50">
        <f>IF(EZ21="","",COUNTIFS($D$25:$D$267,Parameters!$K$2,$E$25:$E$267,Parameters!$M$4,Calendrier!$C$25:$C$267,EZ21)+ COUNTIFS($D$25:$D$267,Parameters!$K$3,$E$25:$E$267,Parameters!$M$4,Calendrier!$C$25:$C$267,EZ21))</f>
        <v>0</v>
      </c>
      <c r="MO21" s="57">
        <f>IF(FA21="","",COUNTIFS($D$25:$D$267,Parameters!$K$2,$E$25:$E$267,Parameters!$M$4,Calendrier!$C$25:$C$267,FA21)+ COUNTIFS($D$25:$D$267,Parameters!$K$4,$E$25:$E$267,Parameters!$M$4,Calendrier!$C$25:$C$267,FA21))</f>
        <v>0</v>
      </c>
      <c r="MS21" s="49">
        <f>IF(DH21="","",COUNTIFS($D$25:$D$267,Parameters!$K$2,$E$25:$E$267,Parameters!$M$5,Calendrier!$C$25:$C$267,DH21)+ COUNTIFS($D$25:$D$267,Parameters!$K$3,$E$25:$E$267,Parameters!$M$5,Calendrier!$C$25:$C$267,DH21))</f>
        <v>0</v>
      </c>
      <c r="MT21" s="50">
        <f>IF(DI21="","",COUNTIFS($D$25:$D$267,Parameters!$K$2,$E$25:$E$267,Parameters!$M$5,Calendrier!$C$25:$C$267,DI21)+ COUNTIFS($D$25:$D$267,Parameters!$K$4,$E$25:$E$267,Parameters!$M$5,Calendrier!$C$25:$C$267,DI21))</f>
        <v>0</v>
      </c>
      <c r="MU21" s="50">
        <f>IF(DJ21="","",COUNTIFS($D$25:$D$267,Parameters!$K$2,$E$25:$E$267,Parameters!$M$5,Calendrier!$C$25:$C$267,DJ21)+ COUNTIFS($D$25:$D$267,Parameters!$K$3,$E$25:$E$267,Parameters!$M$5,Calendrier!$C$25:$C$267,DJ21))</f>
        <v>0</v>
      </c>
      <c r="MV21" s="50">
        <f>IF(DK21="","",COUNTIFS($D$25:$D$267,Parameters!$K$2,$E$25:$E$267,Parameters!$M$5,Calendrier!$C$25:$C$267,DK21)+ COUNTIFS($D$25:$D$267,Parameters!$K$4,$E$25:$E$267,Parameters!$M$5,Calendrier!$C$25:$C$267,DK21))</f>
        <v>0</v>
      </c>
      <c r="MW21" s="50">
        <f>IF(DL21="","",COUNTIFS($D$25:$D$267,Parameters!$K$2,$E$25:$E$267,Parameters!$M$5,Calendrier!$C$25:$C$267,DL21)+ COUNTIFS($D$25:$D$267,Parameters!$K$3,$E$25:$E$267,Parameters!$M$5,Calendrier!$C$25:$C$267,DL21))</f>
        <v>0</v>
      </c>
      <c r="MX21" s="50">
        <f>IF(DM21="","",COUNTIFS($D$25:$D$267,Parameters!$K$2,$E$25:$E$267,Parameters!$M$5,Calendrier!$C$25:$C$267,DM21)+ COUNTIFS($D$25:$D$267,Parameters!$K$4,$E$25:$E$267,Parameters!$M$5,Calendrier!$C$25:$C$267,DM21))</f>
        <v>0</v>
      </c>
      <c r="MY21" s="50">
        <f>IF(DN21="","",COUNTIFS($D$25:$D$267,Parameters!$K$2,$E$25:$E$267,Parameters!$M$5,Calendrier!$C$25:$C$267,DN21)+ COUNTIFS($D$25:$D$267,Parameters!$K$3,$E$25:$E$267,Parameters!$M$5,Calendrier!$C$25:$C$267,DN21))</f>
        <v>0</v>
      </c>
      <c r="MZ21" s="50">
        <f>IF(DO21="","",COUNTIFS($D$25:$D$267,Parameters!$K$2,$E$25:$E$267,Parameters!$M$5,Calendrier!$C$25:$C$267,DO21)+ COUNTIFS($D$25:$D$267,Parameters!$K$4,$E$25:$E$267,Parameters!$M$5,Calendrier!$C$25:$C$267,DO21))</f>
        <v>0</v>
      </c>
      <c r="NA21" s="50">
        <f>IF(DP21="","",COUNTIFS($D$25:$D$267,Parameters!$K$2,$E$25:$E$267,Parameters!$M$5,Calendrier!$C$25:$C$267,DP21)+ COUNTIFS($D$25:$D$267,Parameters!$K$3,$E$25:$E$267,Parameters!$M$5,Calendrier!$C$25:$C$267,DP21))</f>
        <v>0</v>
      </c>
      <c r="NB21" s="50">
        <f>IF(DQ21="","",COUNTIFS($D$25:$D$267,Parameters!$K$2,$E$25:$E$267,Parameters!$M$5,Calendrier!$C$25:$C$267,DQ21)+ COUNTIFS($D$25:$D$267,Parameters!$K$4,$E$25:$E$267,Parameters!$M$5,Calendrier!$C$25:$C$267,DQ21))</f>
        <v>0</v>
      </c>
      <c r="NC21" s="50">
        <f>IF(DR21="","",COUNTIFS($D$25:$D$267,Parameters!$K$2,$E$25:$E$267,Parameters!$M$5,Calendrier!$C$25:$C$267,DR21)+ COUNTIFS($D$25:$D$267,Parameters!$K$3,$E$25:$E$267,Parameters!$M$5,Calendrier!$C$25:$C$267,DR21))</f>
        <v>0</v>
      </c>
      <c r="ND21" s="50">
        <f>IF(DS21="","",COUNTIFS($D$25:$D$267,Parameters!$K$2,$E$25:$E$267,Parameters!$M$5,Calendrier!$C$25:$C$267,DS21)+ COUNTIFS($D$25:$D$267,Parameters!$K$4,$E$25:$E$267,Parameters!$M$5,Calendrier!$C$25:$C$267,DS21))</f>
        <v>0</v>
      </c>
      <c r="NE21" s="50">
        <f>IF(DT21="","",COUNTIFS($D$25:$D$267,Parameters!$K$2,$E$25:$E$267,Parameters!$M$5,Calendrier!$C$25:$C$267,DT21)+ COUNTIFS($D$25:$D$267,Parameters!$K$3,$E$25:$E$267,Parameters!$M$5,Calendrier!$C$25:$C$267,DT21))</f>
        <v>0</v>
      </c>
      <c r="NF21" s="57">
        <f>IF(DU21="","",COUNTIFS($D$25:$D$267,Parameters!$K$2,$E$25:$E$267,Parameters!$M$5,Calendrier!$C$25:$C$267,DU21)+ COUNTIFS($D$25:$D$267,Parameters!$K$4,$E$25:$E$267,Parameters!$M$5,Calendrier!$C$25:$C$267,DU21))</f>
        <v>0</v>
      </c>
      <c r="NI21" s="49">
        <f>IF(DX21="","",COUNTIFS($D$25:$D$267,Parameters!$K$2,$E$25:$E$267,Parameters!$M$5,Calendrier!$C$25:$C$267,DX21)+ COUNTIFS($D$25:$D$267,Parameters!$K$3,$E$25:$E$267,Parameters!$M$5,Calendrier!$C$25:$C$267,DX21))</f>
        <v>0</v>
      </c>
      <c r="NJ21" s="50">
        <f>IF(DY21="","",COUNTIFS($D$25:$D$267,Parameters!$K$2,$E$25:$E$267,Parameters!$M$5,Calendrier!$C$25:$C$267,DY21)+ COUNTIFS($D$25:$D$267,Parameters!$K$4,$E$25:$E$267,Parameters!$M$5,Calendrier!$C$25:$C$267,DY21))</f>
        <v>0</v>
      </c>
      <c r="NK21" s="50">
        <f>IF(DZ21="","",COUNTIFS($D$25:$D$267,Parameters!$K$2,$E$25:$E$267,Parameters!$M$5,Calendrier!$C$25:$C$267,DZ21)+ COUNTIFS($D$25:$D$267,Parameters!$K$3,$E$25:$E$267,Parameters!$M$5,Calendrier!$C$25:$C$267,DZ21))</f>
        <v>0</v>
      </c>
      <c r="NL21" s="50">
        <f>IF(EA21="","",COUNTIFS($D$25:$D$267,Parameters!$K$2,$E$25:$E$267,Parameters!$M$5,Calendrier!$C$25:$C$267,EA21)+ COUNTIFS($D$25:$D$267,Parameters!$K$4,$E$25:$E$267,Parameters!$M$5,Calendrier!$C$25:$C$267,EA21))</f>
        <v>0</v>
      </c>
      <c r="NM21" s="50">
        <f>IF(EB21="","",COUNTIFS($D$25:$D$267,Parameters!$K$2,$E$25:$E$267,Parameters!$M$5,Calendrier!$C$25:$C$267,EB21)+ COUNTIFS($D$25:$D$267,Parameters!$K$3,$E$25:$E$267,Parameters!$M$5,Calendrier!$C$25:$C$267,EB21))</f>
        <v>0</v>
      </c>
      <c r="NN21" s="50">
        <f>IF(EC21="","",COUNTIFS($D$25:$D$267,Parameters!$K$2,$E$25:$E$267,Parameters!$M$5,Calendrier!$C$25:$C$267,EC21)+ COUNTIFS($D$25:$D$267,Parameters!$K$4,$E$25:$E$267,Parameters!$M$5,Calendrier!$C$25:$C$267,EC21))</f>
        <v>0</v>
      </c>
      <c r="NO21" s="50">
        <f>IF(ED21="","",COUNTIFS($D$25:$D$267,Parameters!$K$2,$E$25:$E$267,Parameters!$M$5,Calendrier!$C$25:$C$267,ED21)+ COUNTIFS($D$25:$D$267,Parameters!$K$3,$E$25:$E$267,Parameters!$M$5,Calendrier!$C$25:$C$267,ED21))</f>
        <v>0</v>
      </c>
      <c r="NP21" s="50">
        <f>IF(EE21="","",COUNTIFS($D$25:$D$267,Parameters!$K$2,$E$25:$E$267,Parameters!$M$5,Calendrier!$C$25:$C$267,EE21)+ COUNTIFS($D$25:$D$267,Parameters!$K$4,$E$25:$E$267,Parameters!$M$5,Calendrier!$C$25:$C$267,EE21))</f>
        <v>0</v>
      </c>
      <c r="NQ21" s="50">
        <f>IF(EF21="","",COUNTIFS($D$25:$D$267,Parameters!$K$2,$E$25:$E$267,Parameters!$M$5,Calendrier!$C$25:$C$267,EF21)+ COUNTIFS($D$25:$D$267,Parameters!$K$3,$E$25:$E$267,Parameters!$M$5,Calendrier!$C$25:$C$267,EF21))</f>
        <v>0</v>
      </c>
      <c r="NR21" s="50">
        <f>IF(EG21="","",COUNTIFS($D$25:$D$267,Parameters!$K$2,$E$25:$E$267,Parameters!$M$5,Calendrier!$C$25:$C$267,EG21)+ COUNTIFS($D$25:$D$267,Parameters!$K$4,$E$25:$E$267,Parameters!$M$5,Calendrier!$C$25:$C$267,EG21))</f>
        <v>0</v>
      </c>
      <c r="NS21" s="50">
        <f>IF(EH21="","",COUNTIFS($D$25:$D$267,Parameters!$K$2,$E$25:$E$267,Parameters!$M$5,Calendrier!$C$25:$C$267,EH21)+ COUNTIFS($D$25:$D$267,Parameters!$K$3,$E$25:$E$267,Parameters!$M$5,Calendrier!$C$25:$C$267,EH21))</f>
        <v>0</v>
      </c>
      <c r="NT21" s="50">
        <f>IF(EI21="","",COUNTIFS($D$25:$D$267,Parameters!$K$2,$E$25:$E$267,Parameters!$M$5,Calendrier!$C$25:$C$267,EI21)+ COUNTIFS($D$25:$D$267,Parameters!$K$4,$E$25:$E$267,Parameters!$M$5,Calendrier!$C$25:$C$267,EI21))</f>
        <v>0</v>
      </c>
      <c r="NU21" s="50">
        <f>IF(EJ21="","",COUNTIFS($D$25:$D$267,Parameters!$K$2,$E$25:$E$267,Parameters!$M$5,Calendrier!$C$25:$C$267,EJ21)+ COUNTIFS($D$25:$D$267,Parameters!$K$3,$E$25:$E$267,Parameters!$M$5,Calendrier!$C$25:$C$267,EJ21))</f>
        <v>0</v>
      </c>
      <c r="NV21" s="57">
        <f>IF(EK21="","",COUNTIFS($D$25:$D$267,Parameters!$K$2,$E$25:$E$267,Parameters!$M$5,Calendrier!$C$25:$C$267,EK21)+ COUNTIFS($D$25:$D$267,Parameters!$K$4,$E$25:$E$267,Parameters!$M$5,Calendrier!$C$25:$C$267,EK21))</f>
        <v>0</v>
      </c>
      <c r="NY21" s="49">
        <f>IF(EN21="","",COUNTIFS($D$25:$D$267,Parameters!$K$2,$E$25:$E$267,Parameters!$M$5,Calendrier!$C$25:$C$267,EN21)+ COUNTIFS($D$25:$D$267,Parameters!$K$3,$E$25:$E$267,Parameters!$M$5,Calendrier!$C$25:$C$267,EN21))</f>
        <v>0</v>
      </c>
      <c r="NZ21" s="50">
        <f>IF(EO21="","",COUNTIFS($D$25:$D$267,Parameters!$K$2,$E$25:$E$267,Parameters!$M$5,Calendrier!$C$25:$C$267,EO21)+ COUNTIFS($D$25:$D$267,Parameters!$K$4,$E$25:$E$267,Parameters!$M$5,Calendrier!$C$25:$C$267,EO21))</f>
        <v>0</v>
      </c>
      <c r="OA21" s="50">
        <f>IF(EP21="","",COUNTIFS($D$25:$D$267,Parameters!$K$2,$E$25:$E$267,Parameters!$M$5,Calendrier!$C$25:$C$267,EP21)+ COUNTIFS($D$25:$D$267,Parameters!$K$3,$E$25:$E$267,Parameters!$M$5,Calendrier!$C$25:$C$267,EP21))</f>
        <v>0</v>
      </c>
      <c r="OB21" s="50">
        <f>IF(EQ21="","",COUNTIFS($D$25:$D$267,Parameters!$K$2,$E$25:$E$267,Parameters!$M$5,Calendrier!$C$25:$C$267,EQ21)+ COUNTIFS($D$25:$D$267,Parameters!$K$4,$E$25:$E$267,Parameters!$M$5,Calendrier!$C$25:$C$267,EQ21))</f>
        <v>0</v>
      </c>
      <c r="OC21" s="50">
        <f>IF(ER21="","",COUNTIFS($D$25:$D$267,Parameters!$K$2,$E$25:$E$267,Parameters!$M$5,Calendrier!$C$25:$C$267,ER21)+ COUNTIFS($D$25:$D$267,Parameters!$K$3,$E$25:$E$267,Parameters!$M$5,Calendrier!$C$25:$C$267,ER21))</f>
        <v>0</v>
      </c>
      <c r="OD21" s="50">
        <f>IF(ES21="","",COUNTIFS($D$25:$D$267,Parameters!$K$2,$E$25:$E$267,Parameters!$M$5,Calendrier!$C$25:$C$267,ES21)+ COUNTIFS($D$25:$D$267,Parameters!$K$4,$E$25:$E$267,Parameters!$M$5,Calendrier!$C$25:$C$267,ES21))</f>
        <v>0</v>
      </c>
      <c r="OE21" s="50">
        <f>IF(ET21="","",COUNTIFS($D$25:$D$267,Parameters!$K$2,$E$25:$E$267,Parameters!$M$5,Calendrier!$C$25:$C$267,ET21)+ COUNTIFS($D$25:$D$267,Parameters!$K$3,$E$25:$E$267,Parameters!$M$5,Calendrier!$C$25:$C$267,ET21))</f>
        <v>0</v>
      </c>
      <c r="OF21" s="50">
        <f>IF(EU21="","",COUNTIFS($D$25:$D$267,Parameters!$K$2,$E$25:$E$267,Parameters!$M$5,Calendrier!$C$25:$C$267,EU21)+ COUNTIFS($D$25:$D$267,Parameters!$K$4,$E$25:$E$267,Parameters!$M$5,Calendrier!$C$25:$C$267,EU21))</f>
        <v>0</v>
      </c>
      <c r="OG21" s="50">
        <f>IF(EV21="","",COUNTIFS($D$25:$D$267,Parameters!$K$2,$E$25:$E$267,Parameters!$M$5,Calendrier!$C$25:$C$267,EV21)+ COUNTIFS($D$25:$D$267,Parameters!$K$3,$E$25:$E$267,Parameters!$M$5,Calendrier!$C$25:$C$267,EV21))</f>
        <v>0</v>
      </c>
      <c r="OH21" s="50">
        <f>IF(EW21="","",COUNTIFS($D$25:$D$267,Parameters!$K$2,$E$25:$E$267,Parameters!$M$5,Calendrier!$C$25:$C$267,EW21)+ COUNTIFS($D$25:$D$267,Parameters!$K$4,$E$25:$E$267,Parameters!$M$5,Calendrier!$C$25:$C$267,EW21))</f>
        <v>0</v>
      </c>
      <c r="OI21" s="50">
        <f>IF(EX21="","",COUNTIFS($D$25:$D$267,Parameters!$K$2,$E$25:$E$267,Parameters!$M$5,Calendrier!$C$25:$C$267,EX21)+ COUNTIFS($D$25:$D$267,Parameters!$K$3,$E$25:$E$267,Parameters!$M$5,Calendrier!$C$25:$C$267,EX21))</f>
        <v>0</v>
      </c>
      <c r="OJ21" s="50">
        <f>IF(EY21="","",COUNTIFS($D$25:$D$267,Parameters!$K$2,$E$25:$E$267,Parameters!$M$5,Calendrier!$C$25:$C$267,EY21)+ COUNTIFS($D$25:$D$267,Parameters!$K$4,$E$25:$E$267,Parameters!$M$5,Calendrier!$C$25:$C$267,EY21))</f>
        <v>0</v>
      </c>
      <c r="OK21" s="50">
        <f>IF(EZ21="","",COUNTIFS($D$25:$D$267,Parameters!$K$2,$E$25:$E$267,Parameters!$M$5,Calendrier!$C$25:$C$267,EZ21)+ COUNTIFS($D$25:$D$267,Parameters!$K$3,$E$25:$E$267,Parameters!$M$5,Calendrier!$C$25:$C$267,EZ21))</f>
        <v>0</v>
      </c>
      <c r="OL21" s="57">
        <f>IF(FA21="","",COUNTIFS($D$25:$D$267,Parameters!$K$2,$E$25:$E$267,Parameters!$M$5,Calendrier!$C$25:$C$267,FA21)+ COUNTIFS($D$25:$D$267,Parameters!$K$4,$E$25:$E$267,Parameters!$M$5,Calendrier!$C$25:$C$267,FA21))</f>
        <v>0</v>
      </c>
      <c r="OP21" s="49">
        <f>IF(DH21="","",COUNTIFS(Parameters!$Y:$Y,$BF$4,Parameters!$X:$X,DH21))</f>
        <v>1</v>
      </c>
      <c r="OQ21" s="50">
        <f>IF(DI21="","",COUNTIFS(Parameters!$Y:$Y,$BF$4,Parameters!$X:$X,DI21))</f>
        <v>1</v>
      </c>
      <c r="OR21" s="50">
        <f>IF(DJ21="","",COUNTIFS(Parameters!$Y:$Y,$BF$4,Parameters!$X:$X,DJ21))</f>
        <v>1</v>
      </c>
      <c r="OS21" s="50">
        <f>IF(DK21="","",COUNTIFS(Parameters!$Y:$Y,$BF$4,Parameters!$X:$X,DK21))</f>
        <v>1</v>
      </c>
      <c r="OT21" s="50">
        <f>IF(DL21="","",COUNTIFS(Parameters!$Y:$Y,$BF$4,Parameters!$X:$X,DL21))</f>
        <v>1</v>
      </c>
      <c r="OU21" s="50">
        <f>IF(DM21="","",COUNTIFS(Parameters!$Y:$Y,$BF$4,Parameters!$X:$X,DM21))</f>
        <v>1</v>
      </c>
      <c r="OV21" s="50">
        <f>IF(DN21="","",COUNTIFS(Parameters!$Y:$Y,$BF$4,Parameters!$X:$X,DN21))</f>
        <v>1</v>
      </c>
      <c r="OW21" s="50">
        <f>IF(DO21="","",COUNTIFS(Parameters!$Y:$Y,$BF$4,Parameters!$X:$X,DO21))</f>
        <v>1</v>
      </c>
      <c r="OX21" s="50">
        <f>IF(DP21="","",COUNTIFS(Parameters!$Y:$Y,$BF$4,Parameters!$X:$X,DP21))</f>
        <v>1</v>
      </c>
      <c r="OY21" s="50">
        <f>IF(DQ21="","",COUNTIFS(Parameters!$Y:$Y,$BF$4,Parameters!$X:$X,DQ21))</f>
        <v>1</v>
      </c>
      <c r="OZ21" s="50">
        <f>IF(DR21="","",COUNTIFS(Parameters!$Y:$Y,$BF$4,Parameters!$X:$X,DR21))</f>
        <v>1</v>
      </c>
      <c r="PA21" s="50">
        <f>IF(DS21="","",COUNTIFS(Parameters!$Y:$Y,$BF$4,Parameters!$X:$X,DS21))</f>
        <v>1</v>
      </c>
      <c r="PB21" s="50">
        <f>IF(DT21="","",COUNTIFS(Parameters!$Y:$Y,$BF$4,Parameters!$X:$X,DT21))</f>
        <v>1</v>
      </c>
      <c r="PC21" s="57">
        <f>IF(DU21="","",COUNTIFS(Parameters!$Y:$Y,$BF$4,Parameters!$X:$X,DU21))</f>
        <v>1</v>
      </c>
      <c r="PF21" s="49">
        <f>IF(DX21="","",COUNTIFS(Parameters!$Y:$Y,$BF$4,Parameters!$X:$X,DX21))</f>
        <v>0</v>
      </c>
      <c r="PG21" s="50">
        <f>IF(DY21="","",COUNTIFS(Parameters!$Y:$Y,$BF$4,Parameters!$X:$X,DY21))</f>
        <v>0</v>
      </c>
      <c r="PH21" s="50">
        <f>IF(DZ21="","",COUNTIFS(Parameters!$Y:$Y,$BF$4,Parameters!$X:$X,DZ21))</f>
        <v>0</v>
      </c>
      <c r="PI21" s="50">
        <f>IF(EA21="","",COUNTIFS(Parameters!$Y:$Y,$BF$4,Parameters!$X:$X,EA21))</f>
        <v>0</v>
      </c>
      <c r="PJ21" s="50">
        <f>IF(EB21="","",COUNTIFS(Parameters!$Y:$Y,$BF$4,Parameters!$X:$X,EB21))</f>
        <v>0</v>
      </c>
      <c r="PK21" s="50">
        <f>IF(EC21="","",COUNTIFS(Parameters!$Y:$Y,$BF$4,Parameters!$X:$X,EC21))</f>
        <v>0</v>
      </c>
      <c r="PL21" s="50">
        <f>IF(ED21="","",COUNTIFS(Parameters!$Y:$Y,$BF$4,Parameters!$X:$X,ED21))</f>
        <v>1</v>
      </c>
      <c r="PM21" s="50">
        <f>IF(EE21="","",COUNTIFS(Parameters!$Y:$Y,$BF$4,Parameters!$X:$X,EE21))</f>
        <v>1</v>
      </c>
      <c r="PN21" s="50">
        <f>IF(EF21="","",COUNTIFS(Parameters!$Y:$Y,$BF$4,Parameters!$X:$X,EF21))</f>
        <v>1</v>
      </c>
      <c r="PO21" s="50">
        <f>IF(EG21="","",COUNTIFS(Parameters!$Y:$Y,$BF$4,Parameters!$X:$X,EG21))</f>
        <v>1</v>
      </c>
      <c r="PP21" s="50">
        <f>IF(EH21="","",COUNTIFS(Parameters!$Y:$Y,$BF$4,Parameters!$X:$X,EH21))</f>
        <v>0</v>
      </c>
      <c r="PQ21" s="50">
        <f>IF(EI21="","",COUNTIFS(Parameters!$Y:$Y,$BF$4,Parameters!$X:$X,EI21))</f>
        <v>0</v>
      </c>
      <c r="PR21" s="50">
        <f>IF(EJ21="","",COUNTIFS(Parameters!$Y:$Y,$BF$4,Parameters!$X:$X,EJ21))</f>
        <v>0</v>
      </c>
      <c r="PS21" s="57">
        <f>IF(EK21="","",COUNTIFS(Parameters!$Y:$Y,$BF$4,Parameters!$X:$X,EK21))</f>
        <v>0</v>
      </c>
      <c r="PV21" s="49">
        <f>IF(EN21="","",COUNTIFS(Parameters!$Y:$Y,$BF$4,Parameters!$X:$X,EN21))</f>
        <v>0</v>
      </c>
      <c r="PW21" s="50">
        <f>IF(EO21="","",COUNTIFS(Parameters!$Y:$Y,$BF$4,Parameters!$X:$X,EO21))</f>
        <v>0</v>
      </c>
      <c r="PX21" s="50">
        <f>IF(EP21="","",COUNTIFS(Parameters!$Y:$Y,$BF$4,Parameters!$X:$X,EP21))</f>
        <v>0</v>
      </c>
      <c r="PY21" s="50">
        <f>IF(EQ21="","",COUNTIFS(Parameters!$Y:$Y,$BF$4,Parameters!$X:$X,EQ21))</f>
        <v>0</v>
      </c>
      <c r="PZ21" s="50">
        <f>IF(ER21="","",COUNTIFS(Parameters!$Y:$Y,$BF$4,Parameters!$X:$X,ER21))</f>
        <v>0</v>
      </c>
      <c r="QA21" s="50">
        <f>IF(ES21="","",COUNTIFS(Parameters!$Y:$Y,$BF$4,Parameters!$X:$X,ES21))</f>
        <v>0</v>
      </c>
      <c r="QB21" s="50">
        <f>IF(ET21="","",COUNTIFS(Parameters!$Y:$Y,$BF$4,Parameters!$X:$X,ET21))</f>
        <v>0</v>
      </c>
      <c r="QC21" s="50">
        <f>IF(EU21="","",COUNTIFS(Parameters!$Y:$Y,$BF$4,Parameters!$X:$X,EU21))</f>
        <v>0</v>
      </c>
      <c r="QD21" s="50">
        <f>IF(EV21="","",COUNTIFS(Parameters!$Y:$Y,$BF$4,Parameters!$X:$X,EV21))</f>
        <v>0</v>
      </c>
      <c r="QE21" s="50">
        <f>IF(EW21="","",COUNTIFS(Parameters!$Y:$Y,$BF$4,Parameters!$X:$X,EW21))</f>
        <v>0</v>
      </c>
      <c r="QF21" s="50">
        <f>IF(EX21="","",COUNTIFS(Parameters!$Y:$Y,$BF$4,Parameters!$X:$X,EX21))</f>
        <v>0</v>
      </c>
      <c r="QG21" s="50">
        <f>IF(EY21="","",COUNTIFS(Parameters!$Y:$Y,$BF$4,Parameters!$X:$X,EY21))</f>
        <v>0</v>
      </c>
      <c r="QH21" s="50">
        <f>IF(EZ21="","",COUNTIFS(Parameters!$Y:$Y,$BF$4,Parameters!$X:$X,EZ21))</f>
        <v>0</v>
      </c>
      <c r="QI21" s="57">
        <f>IF(FA21="","",COUNTIFS(Parameters!$Y:$Y,$BF$4,Parameters!$X:$X,FA21))</f>
        <v>0</v>
      </c>
      <c r="QN21" s="49">
        <f>IF(DH21="","",COUNTIFS($D$25:$D$267,Parameters!$K$2,$E$25:$E$267,Parameters!$M$6,Calendrier!$C$25:$C$267,DH21)+ COUNTIFS($D$25:$D$267,Parameters!$K$3,$E$25:$E$267,Parameters!$M$6,Calendrier!$C$25:$C$267,DH21))</f>
        <v>0</v>
      </c>
      <c r="QO21" s="50">
        <f>IF(DI21="","",COUNTIFS($D$25:$D$267,Parameters!$K$2,$E$25:$E$267,Parameters!$M$6,Calendrier!$C$25:$C$267,DI21)+ COUNTIFS($D$25:$D$267,Parameters!$K$4,$E$25:$E$267,Parameters!$M$6,Calendrier!$C$25:$C$267,DI21))</f>
        <v>0</v>
      </c>
      <c r="QP21" s="50">
        <f>IF(DJ21="","",COUNTIFS($D$25:$D$267,Parameters!$K$2,$E$25:$E$267,Parameters!$M$6,Calendrier!$C$25:$C$267,DJ21)+ COUNTIFS($D$25:$D$267,Parameters!$K$3,$E$25:$E$267,Parameters!$M$6,Calendrier!$C$25:$C$267,DJ21))</f>
        <v>0</v>
      </c>
      <c r="QQ21" s="50">
        <f>IF(DK21="","",COUNTIFS($D$25:$D$267,Parameters!$K$2,$E$25:$E$267,Parameters!$M$6,Calendrier!$C$25:$C$267,DK21)+ COUNTIFS($D$25:$D$267,Parameters!$K$4,$E$25:$E$267,Parameters!$M$6,Calendrier!$C$25:$C$267,DK21))</f>
        <v>0</v>
      </c>
      <c r="QR21" s="50">
        <f>IF(DL21="","",COUNTIFS($D$25:$D$267,Parameters!$K$2,$E$25:$E$267,Parameters!$M$6,Calendrier!$C$25:$C$267,DL21)+ COUNTIFS($D$25:$D$267,Parameters!$K$3,$E$25:$E$267,Parameters!$M$6,Calendrier!$C$25:$C$267,DL21))</f>
        <v>0</v>
      </c>
      <c r="QS21" s="50">
        <f>IF(DM21="","",COUNTIFS($D$25:$D$267,Parameters!$K$2,$E$25:$E$267,Parameters!$M$6,Calendrier!$C$25:$C$267,DM21)+ COUNTIFS($D$25:$D$267,Parameters!$K$4,$E$25:$E$267,Parameters!$M$6,Calendrier!$C$25:$C$267,DM21))</f>
        <v>0</v>
      </c>
      <c r="QT21" s="50">
        <f>IF(DN21="","",COUNTIFS($D$25:$D$267,Parameters!$K$2,$E$25:$E$267,Parameters!$M$6,Calendrier!$C$25:$C$267,DN21)+ COUNTIFS($D$25:$D$267,Parameters!$K$3,$E$25:$E$267,Parameters!$M$6,Calendrier!$C$25:$C$267,DN21))</f>
        <v>0</v>
      </c>
      <c r="QU21" s="50">
        <f>IF(DO21="","",COUNTIFS($D$25:$D$267,Parameters!$K$2,$E$25:$E$267,Parameters!$M$6,Calendrier!$C$25:$C$267,DO21)+ COUNTIFS($D$25:$D$267,Parameters!$K$4,$E$25:$E$267,Parameters!$M$6,Calendrier!$C$25:$C$267,DO21))</f>
        <v>0</v>
      </c>
      <c r="QV21" s="50">
        <f>IF(DP21="","",COUNTIFS($D$25:$D$267,Parameters!$K$2,$E$25:$E$267,Parameters!$M$6,Calendrier!$C$25:$C$267,DP21)+ COUNTIFS($D$25:$D$267,Parameters!$K$3,$E$25:$E$267,Parameters!$M$6,Calendrier!$C$25:$C$267,DP21))</f>
        <v>0</v>
      </c>
      <c r="QW21" s="50">
        <f>IF(DQ21="","",COUNTIFS($D$25:$D$267,Parameters!$K$2,$E$25:$E$267,Parameters!$M$6,Calendrier!$C$25:$C$267,DQ21)+ COUNTIFS($D$25:$D$267,Parameters!$K$4,$E$25:$E$267,Parameters!$M$6,Calendrier!$C$25:$C$267,DQ21))</f>
        <v>0</v>
      </c>
      <c r="QX21" s="50">
        <f>IF(DR21="","",COUNTIFS($D$25:$D$267,Parameters!$K$2,$E$25:$E$267,Parameters!$M$6,Calendrier!$C$25:$C$267,DR21)+ COUNTIFS($D$25:$D$267,Parameters!$K$3,$E$25:$E$267,Parameters!$M$6,Calendrier!$C$25:$C$267,DR21))</f>
        <v>0</v>
      </c>
      <c r="QY21" s="50">
        <f>IF(DS21="","",COUNTIFS($D$25:$D$267,Parameters!$K$2,$E$25:$E$267,Parameters!$M$6,Calendrier!$C$25:$C$267,DS21)+ COUNTIFS($D$25:$D$267,Parameters!$K$4,$E$25:$E$267,Parameters!$M$6,Calendrier!$C$25:$C$267,DS21))</f>
        <v>0</v>
      </c>
      <c r="QZ21" s="50">
        <f>IF(DT21="","",COUNTIFS($D$25:$D$267,Parameters!$K$2,$E$25:$E$267,Parameters!$M$6,Calendrier!$C$25:$C$267,DT21)+ COUNTIFS($D$25:$D$267,Parameters!$K$3,$E$25:$E$267,Parameters!$M$6,Calendrier!$C$25:$C$267,DT21))</f>
        <v>0</v>
      </c>
      <c r="RA21" s="57">
        <f>IF(DU21="","",COUNTIFS($D$25:$D$267,Parameters!$K$2,$E$25:$E$267,Parameters!$M$6,Calendrier!$C$25:$C$267,DU21)+ COUNTIFS($D$25:$D$267,Parameters!$K$4,$E$25:$E$267,Parameters!$M$6,Calendrier!$C$25:$C$267,DU21))</f>
        <v>0</v>
      </c>
      <c r="RD21" s="49">
        <f>IF(DX21="","",COUNTIFS($D$25:$D$267,Parameters!$K$2,$E$25:$E$267,Parameters!$M$6,Calendrier!$C$25:$C$267,DX21)+ COUNTIFS($D$25:$D$267,Parameters!$K$3,$E$25:$E$267,Parameters!$M$6,Calendrier!$C$25:$C$267,DX21))</f>
        <v>0</v>
      </c>
      <c r="RE21" s="50">
        <f>IF(DY21="","",COUNTIFS($D$25:$D$267,Parameters!$K$2,$E$25:$E$267,Parameters!$M$6,Calendrier!$C$25:$C$267,DY21)+ COUNTIFS($D$25:$D$267,Parameters!$K$4,$E$25:$E$267,Parameters!$M$6,Calendrier!$C$25:$C$267,DY21))</f>
        <v>0</v>
      </c>
      <c r="RF21" s="50">
        <f>IF(DZ21="","",COUNTIFS($D$25:$D$267,Parameters!$K$2,$E$25:$E$267,Parameters!$M$6,Calendrier!$C$25:$C$267,DZ21)+ COUNTIFS($D$25:$D$267,Parameters!$K$3,$E$25:$E$267,Parameters!$M$6,Calendrier!$C$25:$C$267,DZ21))</f>
        <v>0</v>
      </c>
      <c r="RG21" s="50">
        <f>IF(EA21="","",COUNTIFS($D$25:$D$267,Parameters!$K$2,$E$25:$E$267,Parameters!$M$6,Calendrier!$C$25:$C$267,EA21)+ COUNTIFS($D$25:$D$267,Parameters!$K$4,$E$25:$E$267,Parameters!$M$6,Calendrier!$C$25:$C$267,EA21))</f>
        <v>0</v>
      </c>
      <c r="RH21" s="50">
        <f>IF(EB21="","",COUNTIFS($D$25:$D$267,Parameters!$K$2,$E$25:$E$267,Parameters!$M$6,Calendrier!$C$25:$C$267,EB21)+ COUNTIFS($D$25:$D$267,Parameters!$K$3,$E$25:$E$267,Parameters!$M$6,Calendrier!$C$25:$C$267,EB21))</f>
        <v>0</v>
      </c>
      <c r="RI21" s="50">
        <f>IF(EC21="","",COUNTIFS($D$25:$D$267,Parameters!$K$2,$E$25:$E$267,Parameters!$M$6,Calendrier!$C$25:$C$267,EC21)+ COUNTIFS($D$25:$D$267,Parameters!$K$4,$E$25:$E$267,Parameters!$M$6,Calendrier!$C$25:$C$267,EC21))</f>
        <v>0</v>
      </c>
      <c r="RJ21" s="50">
        <f>IF(ED21="","",COUNTIFS($D$25:$D$267,Parameters!$K$2,$E$25:$E$267,Parameters!$M$6,Calendrier!$C$25:$C$267,ED21)+ COUNTIFS($D$25:$D$267,Parameters!$K$3,$E$25:$E$267,Parameters!$M$6,Calendrier!$C$25:$C$267,ED21))</f>
        <v>0</v>
      </c>
      <c r="RK21" s="50">
        <f>IF(EE21="","",COUNTIFS($D$25:$D$267,Parameters!$K$2,$E$25:$E$267,Parameters!$M$6,Calendrier!$C$25:$C$267,EE21)+ COUNTIFS($D$25:$D$267,Parameters!$K$4,$E$25:$E$267,Parameters!$M$6,Calendrier!$C$25:$C$267,EE21))</f>
        <v>0</v>
      </c>
      <c r="RL21" s="50">
        <f>IF(EF21="","",COUNTIFS($D$25:$D$267,Parameters!$K$2,$E$25:$E$267,Parameters!$M$6,Calendrier!$C$25:$C$267,EF21)+ COUNTIFS($D$25:$D$267,Parameters!$K$3,$E$25:$E$267,Parameters!$M$6,Calendrier!$C$25:$C$267,EF21))</f>
        <v>0</v>
      </c>
      <c r="RM21" s="50">
        <f>IF(EG21="","",COUNTIFS($D$25:$D$267,Parameters!$K$2,$E$25:$E$267,Parameters!$M$6,Calendrier!$C$25:$C$267,EG21)+ COUNTIFS($D$25:$D$267,Parameters!$K$4,$E$25:$E$267,Parameters!$M$6,Calendrier!$C$25:$C$267,EG21))</f>
        <v>0</v>
      </c>
      <c r="RN21" s="50">
        <f>IF(EH21="","",COUNTIFS($D$25:$D$267,Parameters!$K$2,$E$25:$E$267,Parameters!$M$6,Calendrier!$C$25:$C$267,EH21)+ COUNTIFS($D$25:$D$267,Parameters!$K$3,$E$25:$E$267,Parameters!$M$6,Calendrier!$C$25:$C$267,EH21))</f>
        <v>0</v>
      </c>
      <c r="RO21" s="50">
        <f>IF(EI21="","",COUNTIFS($D$25:$D$267,Parameters!$K$2,$E$25:$E$267,Parameters!$M$6,Calendrier!$C$25:$C$267,EI21)+ COUNTIFS($D$25:$D$267,Parameters!$K$4,$E$25:$E$267,Parameters!$M$6,Calendrier!$C$25:$C$267,EI21))</f>
        <v>0</v>
      </c>
      <c r="RP21" s="50">
        <f>IF(EJ21="","",COUNTIFS($D$25:$D$267,Parameters!$K$2,$E$25:$E$267,Parameters!$M$6,Calendrier!$C$25:$C$267,EJ21)+ COUNTIFS($D$25:$D$267,Parameters!$K$3,$E$25:$E$267,Parameters!$M$6,Calendrier!$C$25:$C$267,EJ21))</f>
        <v>0</v>
      </c>
      <c r="RQ21" s="57">
        <f>IF(EK21="","",COUNTIFS($D$25:$D$267,Parameters!$K$2,$E$25:$E$267,Parameters!$M$6,Calendrier!$C$25:$C$267,EK21)+ COUNTIFS($D$25:$D$267,Parameters!$K$4,$E$25:$E$267,Parameters!$M$6,Calendrier!$C$25:$C$267,EK21))</f>
        <v>0</v>
      </c>
      <c r="RT21" s="49">
        <f>IF(EN21="","",COUNTIFS($D$25:$D$267,Parameters!$K$2,$E$25:$E$267,Parameters!$M$6,Calendrier!$C$25:$C$267,EN21)+ COUNTIFS($D$25:$D$267,Parameters!$K$3,$E$25:$E$267,Parameters!$M$6,Calendrier!$C$25:$C$267,EN21))</f>
        <v>0</v>
      </c>
      <c r="RU21" s="50">
        <f>IF(EO21="","",COUNTIFS($D$25:$D$267,Parameters!$K$2,$E$25:$E$267,Parameters!$M$6,Calendrier!$C$25:$C$267,EO21)+ COUNTIFS($D$25:$D$267,Parameters!$K$4,$E$25:$E$267,Parameters!$M$6,Calendrier!$C$25:$C$267,EO21))</f>
        <v>0</v>
      </c>
      <c r="RV21" s="50">
        <f>IF(EP21="","",COUNTIFS($D$25:$D$267,Parameters!$K$2,$E$25:$E$267,Parameters!$M$6,Calendrier!$C$25:$C$267,EP21)+ COUNTIFS($D$25:$D$267,Parameters!$K$3,$E$25:$E$267,Parameters!$M$6,Calendrier!$C$25:$C$267,EP21))</f>
        <v>0</v>
      </c>
      <c r="RW21" s="50">
        <f>IF(EQ21="","",COUNTIFS($D$25:$D$267,Parameters!$K$2,$E$25:$E$267,Parameters!$M$6,Calendrier!$C$25:$C$267,EQ21)+ COUNTIFS($D$25:$D$267,Parameters!$K$4,$E$25:$E$267,Parameters!$M$6,Calendrier!$C$25:$C$267,EQ21))</f>
        <v>0</v>
      </c>
      <c r="RX21" s="50">
        <f>IF(ER21="","",COUNTIFS($D$25:$D$267,Parameters!$K$2,$E$25:$E$267,Parameters!$M$6,Calendrier!$C$25:$C$267,ER21)+ COUNTIFS($D$25:$D$267,Parameters!$K$3,$E$25:$E$267,Parameters!$M$6,Calendrier!$C$25:$C$267,ER21))</f>
        <v>0</v>
      </c>
      <c r="RY21" s="50">
        <f>IF(ES21="","",COUNTIFS($D$25:$D$267,Parameters!$K$2,$E$25:$E$267,Parameters!$M$6,Calendrier!$C$25:$C$267,ES21)+ COUNTIFS($D$25:$D$267,Parameters!$K$4,$E$25:$E$267,Parameters!$M$6,Calendrier!$C$25:$C$267,ES21))</f>
        <v>0</v>
      </c>
      <c r="RZ21" s="50">
        <f>IF(ET21="","",COUNTIFS($D$25:$D$267,Parameters!$K$2,$E$25:$E$267,Parameters!$M$6,Calendrier!$C$25:$C$267,ET21)+ COUNTIFS($D$25:$D$267,Parameters!$K$3,$E$25:$E$267,Parameters!$M$6,Calendrier!$C$25:$C$267,ET21))</f>
        <v>0</v>
      </c>
      <c r="SA21" s="50">
        <f>IF(EU21="","",COUNTIFS($D$25:$D$267,Parameters!$K$2,$E$25:$E$267,Parameters!$M$6,Calendrier!$C$25:$C$267,EU21)+ COUNTIFS($D$25:$D$267,Parameters!$K$4,$E$25:$E$267,Parameters!$M$6,Calendrier!$C$25:$C$267,EU21))</f>
        <v>0</v>
      </c>
      <c r="SB21" s="50">
        <f>IF(EV21="","",COUNTIFS($D$25:$D$267,Parameters!$K$2,$E$25:$E$267,Parameters!$M$6,Calendrier!$C$25:$C$267,EV21)+ COUNTIFS($D$25:$D$267,Parameters!$K$3,$E$25:$E$267,Parameters!$M$6,Calendrier!$C$25:$C$267,EV21))</f>
        <v>0</v>
      </c>
      <c r="SC21" s="50">
        <f>IF(EW21="","",COUNTIFS($D$25:$D$267,Parameters!$K$2,$E$25:$E$267,Parameters!$M$6,Calendrier!$C$25:$C$267,EW21)+ COUNTIFS($D$25:$D$267,Parameters!$K$4,$E$25:$E$267,Parameters!$M$6,Calendrier!$C$25:$C$267,EW21))</f>
        <v>0</v>
      </c>
      <c r="SD21" s="50">
        <f>IF(EX21="","",COUNTIFS($D$25:$D$267,Parameters!$K$2,$E$25:$E$267,Parameters!$M$6,Calendrier!$C$25:$C$267,EX21)+ COUNTIFS($D$25:$D$267,Parameters!$K$3,$E$25:$E$267,Parameters!$M$6,Calendrier!$C$25:$C$267,EX21))</f>
        <v>0</v>
      </c>
      <c r="SE21" s="50">
        <f>IF(EY21="","",COUNTIFS($D$25:$D$267,Parameters!$K$2,$E$25:$E$267,Parameters!$M$6,Calendrier!$C$25:$C$267,EY21)+ COUNTIFS($D$25:$D$267,Parameters!$K$4,$E$25:$E$267,Parameters!$M$6,Calendrier!$C$25:$C$267,EY21))</f>
        <v>0</v>
      </c>
      <c r="SF21" s="50">
        <f>IF(EZ21="","",COUNTIFS($D$25:$D$267,Parameters!$K$2,$E$25:$E$267,Parameters!$M$6,Calendrier!$C$25:$C$267,EZ21)+ COUNTIFS($D$25:$D$267,Parameters!$K$3,$E$25:$E$267,Parameters!$M$6,Calendrier!$C$25:$C$267,EZ21))</f>
        <v>0</v>
      </c>
      <c r="SG21" s="57">
        <f>IF(FA21="","",COUNTIFS($D$25:$D$267,Parameters!$K$2,$E$25:$E$267,Parameters!$M$6,Calendrier!$C$25:$C$267,FA21)+ COUNTIFS($D$25:$D$267,Parameters!$K$4,$E$25:$E$267,Parameters!$M$6,Calendrier!$C$25:$C$267,FA21))</f>
        <v>0</v>
      </c>
      <c r="SL21" s="49">
        <f>IF(DH21="","",COUNTIFS($D$25:$D$267,Parameters!$K$2,$E$25:$E$267,Parameters!$M$7,Calendrier!$C$25:$C$267,DH21)+ COUNTIFS($D$25:$D$267,Parameters!$K$3,$E$25:$E$267,Parameters!$M$7,Calendrier!$C$25:$C$267,DH21))</f>
        <v>0</v>
      </c>
      <c r="SM21" s="50">
        <f>IF(DI21="","",COUNTIFS($D$25:$D$267,Parameters!$K$2,$E$25:$E$267,Parameters!$M$7,Calendrier!$C$25:$C$267,DI21)+ COUNTIFS($D$25:$D$267,Parameters!$K$4,$E$25:$E$267,Parameters!$M$7,Calendrier!$C$25:$C$267,DI21))</f>
        <v>0</v>
      </c>
      <c r="SN21" s="50">
        <f>IF(DJ21="","",COUNTIFS($D$25:$D$267,Parameters!$K$2,$E$25:$E$267,Parameters!$M$7,Calendrier!$C$25:$C$267,DJ21)+ COUNTIFS($D$25:$D$267,Parameters!$K$3,$E$25:$E$267,Parameters!$M$7,Calendrier!$C$25:$C$267,DJ21))</f>
        <v>0</v>
      </c>
      <c r="SO21" s="50">
        <f>IF(DK21="","",COUNTIFS($D$25:$D$267,Parameters!$K$2,$E$25:$E$267,Parameters!$M$7,Calendrier!$C$25:$C$267,DK21)+ COUNTIFS($D$25:$D$267,Parameters!$K$4,$E$25:$E$267,Parameters!$M$7,Calendrier!$C$25:$C$267,DK21))</f>
        <v>0</v>
      </c>
      <c r="SP21" s="50">
        <f>IF(DL21="","",COUNTIFS($D$25:$D$267,Parameters!$K$2,$E$25:$E$267,Parameters!$M$7,Calendrier!$C$25:$C$267,DL21)+ COUNTIFS($D$25:$D$267,Parameters!$K$3,$E$25:$E$267,Parameters!$M$7,Calendrier!$C$25:$C$267,DL21))</f>
        <v>0</v>
      </c>
      <c r="SQ21" s="50">
        <f>IF(DM21="","",COUNTIFS($D$25:$D$267,Parameters!$K$2,$E$25:$E$267,Parameters!$M$7,Calendrier!$C$25:$C$267,DM21)+ COUNTIFS($D$25:$D$267,Parameters!$K$4,$E$25:$E$267,Parameters!$M$7,Calendrier!$C$25:$C$267,DM21))</f>
        <v>0</v>
      </c>
      <c r="SR21" s="50">
        <f>IF(DN21="","",COUNTIFS($D$25:$D$267,Parameters!$K$2,$E$25:$E$267,Parameters!$M$7,Calendrier!$C$25:$C$267,DN21)+ COUNTIFS($D$25:$D$267,Parameters!$K$3,$E$25:$E$267,Parameters!$M$7,Calendrier!$C$25:$C$267,DN21))</f>
        <v>0</v>
      </c>
      <c r="SS21" s="50">
        <f>IF(DO21="","",COUNTIFS($D$25:$D$267,Parameters!$K$2,$E$25:$E$267,Parameters!$M$7,Calendrier!$C$25:$C$267,DO21)+ COUNTIFS($D$25:$D$267,Parameters!$K$4,$E$25:$E$267,Parameters!$M$7,Calendrier!$C$25:$C$267,DO21))</f>
        <v>0</v>
      </c>
      <c r="ST21" s="50">
        <f>IF(DP21="","",COUNTIFS($D$25:$D$267,Parameters!$K$2,$E$25:$E$267,Parameters!$M$7,Calendrier!$C$25:$C$267,DP21)+ COUNTIFS($D$25:$D$267,Parameters!$K$3,$E$25:$E$267,Parameters!$M$7,Calendrier!$C$25:$C$267,DP21))</f>
        <v>0</v>
      </c>
      <c r="SU21" s="50">
        <f>IF(DQ21="","",COUNTIFS($D$25:$D$267,Parameters!$K$2,$E$25:$E$267,Parameters!$M$7,Calendrier!$C$25:$C$267,DQ21)+ COUNTIFS($D$25:$D$267,Parameters!$K$4,$E$25:$E$267,Parameters!$M$7,Calendrier!$C$25:$C$267,DQ21))</f>
        <v>0</v>
      </c>
      <c r="SV21" s="50">
        <f>IF(DR21="","",COUNTIFS($D$25:$D$267,Parameters!$K$2,$E$25:$E$267,Parameters!$M$7,Calendrier!$C$25:$C$267,DR21)+ COUNTIFS($D$25:$D$267,Parameters!$K$3,$E$25:$E$267,Parameters!$M$7,Calendrier!$C$25:$C$267,DR21))</f>
        <v>0</v>
      </c>
      <c r="SW21" s="50">
        <f>IF(DS21="","",COUNTIFS($D$25:$D$267,Parameters!$K$2,$E$25:$E$267,Parameters!$M$7,Calendrier!$C$25:$C$267,DS21)+ COUNTIFS($D$25:$D$267,Parameters!$K$4,$E$25:$E$267,Parameters!$M$7,Calendrier!$C$25:$C$267,DS21))</f>
        <v>0</v>
      </c>
      <c r="SX21" s="50">
        <f>IF(DT21="","",COUNTIFS($D$25:$D$267,Parameters!$K$2,$E$25:$E$267,Parameters!$M$7,Calendrier!$C$25:$C$267,DT21)+ COUNTIFS($D$25:$D$267,Parameters!$K$3,$E$25:$E$267,Parameters!$M$7,Calendrier!$C$25:$C$267,DT21))</f>
        <v>0</v>
      </c>
      <c r="SY21" s="57">
        <f>IF(DU21="","",COUNTIFS($D$25:$D$267,Parameters!$K$2,$E$25:$E$267,Parameters!$M$7,Calendrier!$C$25:$C$267,DU21)+ COUNTIFS($D$25:$D$267,Parameters!$K$4,$E$25:$E$267,Parameters!$M$7,Calendrier!$C$25:$C$267,DU21))</f>
        <v>0</v>
      </c>
      <c r="TB21" s="49">
        <f>IF(DX21="","",COUNTIFS($D$25:$D$267,Parameters!$K$2,$E$25:$E$267,Parameters!$M$7,Calendrier!$C$25:$C$267,DX21)+ COUNTIFS($D$25:$D$267,Parameters!$K$3,$E$25:$E$267,Parameters!$M$7,Calendrier!$C$25:$C$267,DX21))</f>
        <v>0</v>
      </c>
      <c r="TC21" s="50">
        <f>IF(DY21="","",COUNTIFS($D$25:$D$267,Parameters!$K$2,$E$25:$E$267,Parameters!$M$7,Calendrier!$C$25:$C$267,DY21)+ COUNTIFS($D$25:$D$267,Parameters!$K$4,$E$25:$E$267,Parameters!$M$7,Calendrier!$C$25:$C$267,DY21))</f>
        <v>0</v>
      </c>
      <c r="TD21" s="50">
        <f>IF(DZ21="","",COUNTIFS($D$25:$D$267,Parameters!$K$2,$E$25:$E$267,Parameters!$M$7,Calendrier!$C$25:$C$267,DZ21)+ COUNTIFS($D$25:$D$267,Parameters!$K$3,$E$25:$E$267,Parameters!$M$7,Calendrier!$C$25:$C$267,DZ21))</f>
        <v>0</v>
      </c>
      <c r="TE21" s="50">
        <f>IF(EA21="","",COUNTIFS($D$25:$D$267,Parameters!$K$2,$E$25:$E$267,Parameters!$M$7,Calendrier!$C$25:$C$267,EA21)+ COUNTIFS($D$25:$D$267,Parameters!$K$4,$E$25:$E$267,Parameters!$M$7,Calendrier!$C$25:$C$267,EA21))</f>
        <v>0</v>
      </c>
      <c r="TF21" s="50">
        <f>IF(EB21="","",COUNTIFS($D$25:$D$267,Parameters!$K$2,$E$25:$E$267,Parameters!$M$7,Calendrier!$C$25:$C$267,EB21)+ COUNTIFS($D$25:$D$267,Parameters!$K$3,$E$25:$E$267,Parameters!$M$7,Calendrier!$C$25:$C$267,EB21))</f>
        <v>0</v>
      </c>
      <c r="TG21" s="50">
        <f>IF(EC21="","",COUNTIFS($D$25:$D$267,Parameters!$K$2,$E$25:$E$267,Parameters!$M$7,Calendrier!$C$25:$C$267,EC21)+ COUNTIFS($D$25:$D$267,Parameters!$K$4,$E$25:$E$267,Parameters!$M$7,Calendrier!$C$25:$C$267,EC21))</f>
        <v>0</v>
      </c>
      <c r="TH21" s="50">
        <f>IF(ED21="","",COUNTIFS($D$25:$D$267,Parameters!$K$2,$E$25:$E$267,Parameters!$M$7,Calendrier!$C$25:$C$267,ED21)+ COUNTIFS($D$25:$D$267,Parameters!$K$3,$E$25:$E$267,Parameters!$M$7,Calendrier!$C$25:$C$267,ED21))</f>
        <v>0</v>
      </c>
      <c r="TI21" s="50">
        <f>IF(EE21="","",COUNTIFS($D$25:$D$267,Parameters!$K$2,$E$25:$E$267,Parameters!$M$7,Calendrier!$C$25:$C$267,EE21)+ COUNTIFS($D$25:$D$267,Parameters!$K$4,$E$25:$E$267,Parameters!$M$7,Calendrier!$C$25:$C$267,EE21))</f>
        <v>0</v>
      </c>
      <c r="TJ21" s="50">
        <f>IF(EF21="","",COUNTIFS($D$25:$D$267,Parameters!$K$2,$E$25:$E$267,Parameters!$M$7,Calendrier!$C$25:$C$267,EF21)+ COUNTIFS($D$25:$D$267,Parameters!$K$3,$E$25:$E$267,Parameters!$M$7,Calendrier!$C$25:$C$267,EF21))</f>
        <v>0</v>
      </c>
      <c r="TK21" s="50">
        <f>IF(EG21="","",COUNTIFS($D$25:$D$267,Parameters!$K$2,$E$25:$E$267,Parameters!$M$7,Calendrier!$C$25:$C$267,EG21)+ COUNTIFS($D$25:$D$267,Parameters!$K$4,$E$25:$E$267,Parameters!$M$7,Calendrier!$C$25:$C$267,EG21))</f>
        <v>0</v>
      </c>
      <c r="TL21" s="50">
        <f>IF(EH21="","",COUNTIFS($D$25:$D$267,Parameters!$K$2,$E$25:$E$267,Parameters!$M$7,Calendrier!$C$25:$C$267,EH21)+ COUNTIFS($D$25:$D$267,Parameters!$K$3,$E$25:$E$267,Parameters!$M$7,Calendrier!$C$25:$C$267,EH21))</f>
        <v>0</v>
      </c>
      <c r="TM21" s="50">
        <f>IF(EI21="","",COUNTIFS($D$25:$D$267,Parameters!$K$2,$E$25:$E$267,Parameters!$M$7,Calendrier!$C$25:$C$267,EI21)+ COUNTIFS($D$25:$D$267,Parameters!$K$4,$E$25:$E$267,Parameters!$M$7,Calendrier!$C$25:$C$267,EI21))</f>
        <v>0</v>
      </c>
      <c r="TN21" s="50">
        <f>IF(EJ21="","",COUNTIFS($D$25:$D$267,Parameters!$K$2,$E$25:$E$267,Parameters!$M$7,Calendrier!$C$25:$C$267,EJ21)+ COUNTIFS($D$25:$D$267,Parameters!$K$3,$E$25:$E$267,Parameters!$M$7,Calendrier!$C$25:$C$267,EJ21))</f>
        <v>0</v>
      </c>
      <c r="TO21" s="57">
        <f>IF(EK21="","",COUNTIFS($D$25:$D$267,Parameters!$K$2,$E$25:$E$267,Parameters!$M$7,Calendrier!$C$25:$C$267,EK21)+ COUNTIFS($D$25:$D$267,Parameters!$K$4,$E$25:$E$267,Parameters!$M$7,Calendrier!$C$25:$C$267,EK21))</f>
        <v>0</v>
      </c>
      <c r="TR21" s="49">
        <f>IF(EN21="","",COUNTIFS($D$25:$D$267,Parameters!$K$2,$E$25:$E$267,Parameters!$M$7,Calendrier!$C$25:$C$267,EN21)+ COUNTIFS($D$25:$D$267,Parameters!$K$3,$E$25:$E$267,Parameters!$M$7,Calendrier!$C$25:$C$267,EN21))</f>
        <v>0</v>
      </c>
      <c r="TS21" s="50">
        <f>IF(EO21="","",COUNTIFS($D$25:$D$267,Parameters!$K$2,$E$25:$E$267,Parameters!$M$7,Calendrier!$C$25:$C$267,EO21)+ COUNTIFS($D$25:$D$267,Parameters!$K$4,$E$25:$E$267,Parameters!$M$7,Calendrier!$C$25:$C$267,EO21))</f>
        <v>0</v>
      </c>
      <c r="TT21" s="50">
        <f>IF(EP21="","",COUNTIFS($D$25:$D$267,Parameters!$K$2,$E$25:$E$267,Parameters!$M$7,Calendrier!$C$25:$C$267,EP21)+ COUNTIFS($D$25:$D$267,Parameters!$K$3,$E$25:$E$267,Parameters!$M$7,Calendrier!$C$25:$C$267,EP21))</f>
        <v>0</v>
      </c>
      <c r="TU21" s="50">
        <f>IF(EQ21="","",COUNTIFS($D$25:$D$267,Parameters!$K$2,$E$25:$E$267,Parameters!$M$7,Calendrier!$C$25:$C$267,EQ21)+ COUNTIFS($D$25:$D$267,Parameters!$K$4,$E$25:$E$267,Parameters!$M$7,Calendrier!$C$25:$C$267,EQ21))</f>
        <v>0</v>
      </c>
      <c r="TV21" s="50">
        <f>IF(ER21="","",COUNTIFS($D$25:$D$267,Parameters!$K$2,$E$25:$E$267,Parameters!$M$7,Calendrier!$C$25:$C$267,ER21)+ COUNTIFS($D$25:$D$267,Parameters!$K$3,$E$25:$E$267,Parameters!$M$7,Calendrier!$C$25:$C$267,ER21))</f>
        <v>0</v>
      </c>
      <c r="TW21" s="50">
        <f>IF(ES21="","",COUNTIFS($D$25:$D$267,Parameters!$K$2,$E$25:$E$267,Parameters!$M$7,Calendrier!$C$25:$C$267,ES21)+ COUNTIFS($D$25:$D$267,Parameters!$K$4,$E$25:$E$267,Parameters!$M$7,Calendrier!$C$25:$C$267,ES21))</f>
        <v>0</v>
      </c>
      <c r="TX21" s="50">
        <f>IF(ET21="","",COUNTIFS($D$25:$D$267,Parameters!$K$2,$E$25:$E$267,Parameters!$M$7,Calendrier!$C$25:$C$267,ET21)+ COUNTIFS($D$25:$D$267,Parameters!$K$3,$E$25:$E$267,Parameters!$M$7,Calendrier!$C$25:$C$267,ET21))</f>
        <v>0</v>
      </c>
      <c r="TY21" s="50">
        <f>IF(EU21="","",COUNTIFS($D$25:$D$267,Parameters!$K$2,$E$25:$E$267,Parameters!$M$7,Calendrier!$C$25:$C$267,EU21)+ COUNTIFS($D$25:$D$267,Parameters!$K$4,$E$25:$E$267,Parameters!$M$7,Calendrier!$C$25:$C$267,EU21))</f>
        <v>0</v>
      </c>
      <c r="TZ21" s="50">
        <f>IF(EV21="","",COUNTIFS($D$25:$D$267,Parameters!$K$2,$E$25:$E$267,Parameters!$M$7,Calendrier!$C$25:$C$267,EV21)+ COUNTIFS($D$25:$D$267,Parameters!$K$3,$E$25:$E$267,Parameters!$M$7,Calendrier!$C$25:$C$267,EV21))</f>
        <v>0</v>
      </c>
      <c r="UA21" s="50">
        <f>IF(EW21="","",COUNTIFS($D$25:$D$267,Parameters!$K$2,$E$25:$E$267,Parameters!$M$7,Calendrier!$C$25:$C$267,EW21)+ COUNTIFS($D$25:$D$267,Parameters!$K$4,$E$25:$E$267,Parameters!$M$7,Calendrier!$C$25:$C$267,EW21))</f>
        <v>0</v>
      </c>
      <c r="UB21" s="50">
        <f>IF(EX21="","",COUNTIFS($D$25:$D$267,Parameters!$K$2,$E$25:$E$267,Parameters!$M$7,Calendrier!$C$25:$C$267,EX21)+ COUNTIFS($D$25:$D$267,Parameters!$K$3,$E$25:$E$267,Parameters!$M$7,Calendrier!$C$25:$C$267,EX21))</f>
        <v>0</v>
      </c>
      <c r="UC21" s="50">
        <f>IF(EY21="","",COUNTIFS($D$25:$D$267,Parameters!$K$2,$E$25:$E$267,Parameters!$M$7,Calendrier!$C$25:$C$267,EY21)+ COUNTIFS($D$25:$D$267,Parameters!$K$4,$E$25:$E$267,Parameters!$M$7,Calendrier!$C$25:$C$267,EY21))</f>
        <v>0</v>
      </c>
      <c r="UD21" s="50">
        <f>IF(EZ21="","",COUNTIFS($D$25:$D$267,Parameters!$K$2,$E$25:$E$267,Parameters!$M$7,Calendrier!$C$25:$C$267,EZ21)+ COUNTIFS($D$25:$D$267,Parameters!$K$3,$E$25:$E$267,Parameters!$M$7,Calendrier!$C$25:$C$267,EZ21))</f>
        <v>0</v>
      </c>
      <c r="UE21" s="57">
        <f>IF(FA21="","",COUNTIFS($D$25:$D$267,Parameters!$K$2,$E$25:$E$267,Parameters!$M$7,Calendrier!$C$25:$C$267,FA21)+ COUNTIFS($D$25:$D$267,Parameters!$K$4,$E$25:$E$267,Parameters!$M$7,Calendrier!$C$25:$C$267,FA21))</f>
        <v>0</v>
      </c>
    </row>
    <row r="22" spans="2:551" x14ac:dyDescent="0.3">
      <c r="B22" s="67"/>
      <c r="C22" s="68"/>
      <c r="D22" s="61"/>
      <c r="E22" s="69" t="s">
        <v>40</v>
      </c>
      <c r="F22" s="80" t="str">
        <f>COUNTIFS(D25:D301,"J",B25:B301,K2,E25:E301,"Formation")+ COUNTIFS(D25:D301,"AM",B25:B301,K2,E25:E301,"Formation")*0.5+COUNTIFS(D25:D301,"PM",B25:B301,K2,E25:E301,"Formation")*0.5&amp; " jours sur " &amp; K2 &amp; "."</f>
        <v>0 jours sur 2026.</v>
      </c>
      <c r="G22" s="81"/>
      <c r="K22" s="31"/>
      <c r="L22" s="22">
        <f t="shared" si="219"/>
        <v>20</v>
      </c>
      <c r="M22" s="23"/>
      <c r="N22" s="22">
        <f t="shared" si="220"/>
        <v>21</v>
      </c>
      <c r="O22" s="23"/>
      <c r="P22" s="22">
        <f t="shared" si="221"/>
        <v>22</v>
      </c>
      <c r="Q22" s="23"/>
      <c r="R22" s="22">
        <f t="shared" si="222"/>
        <v>23</v>
      </c>
      <c r="S22" s="23"/>
      <c r="T22" s="22">
        <f t="shared" si="223"/>
        <v>24</v>
      </c>
      <c r="U22" s="23"/>
      <c r="V22" s="22">
        <f t="shared" si="224"/>
        <v>25</v>
      </c>
      <c r="W22" s="23"/>
      <c r="X22" s="22">
        <f t="shared" si="225"/>
        <v>26</v>
      </c>
      <c r="Y22" s="23"/>
      <c r="Z22" s="31"/>
      <c r="AA22" s="31"/>
      <c r="AB22" s="22">
        <f t="shared" si="197"/>
        <v>18</v>
      </c>
      <c r="AC22" s="23"/>
      <c r="AD22" s="22">
        <f t="shared" si="226"/>
        <v>19</v>
      </c>
      <c r="AE22" s="23"/>
      <c r="AF22" s="22">
        <f t="shared" si="227"/>
        <v>20</v>
      </c>
      <c r="AG22" s="23"/>
      <c r="AH22" s="22">
        <f t="shared" si="228"/>
        <v>21</v>
      </c>
      <c r="AI22" s="23"/>
      <c r="AJ22" s="22">
        <f t="shared" si="229"/>
        <v>22</v>
      </c>
      <c r="AK22" s="23"/>
      <c r="AL22" s="22">
        <f t="shared" si="230"/>
        <v>23</v>
      </c>
      <c r="AM22" s="23"/>
      <c r="AN22" s="22">
        <f t="shared" si="231"/>
        <v>24</v>
      </c>
      <c r="AO22" s="23"/>
      <c r="AP22" s="31"/>
      <c r="AQ22" s="31"/>
      <c r="AR22" s="22">
        <f t="shared" si="232"/>
        <v>22</v>
      </c>
      <c r="AS22" s="23"/>
      <c r="AT22" s="22">
        <f t="shared" si="233"/>
        <v>23</v>
      </c>
      <c r="AU22" s="23"/>
      <c r="AV22" s="22">
        <f t="shared" si="234"/>
        <v>24</v>
      </c>
      <c r="AW22" s="23"/>
      <c r="AX22" s="22">
        <f t="shared" si="235"/>
        <v>25</v>
      </c>
      <c r="AY22" s="23"/>
      <c r="AZ22" s="22">
        <f t="shared" si="236"/>
        <v>26</v>
      </c>
      <c r="BA22" s="23"/>
      <c r="BB22" s="22">
        <f t="shared" si="237"/>
        <v>27</v>
      </c>
      <c r="BC22" s="23"/>
      <c r="BD22" s="22">
        <f t="shared" si="238"/>
        <v>28</v>
      </c>
      <c r="BE22" s="23"/>
      <c r="BF22" s="31"/>
      <c r="BG22" s="31"/>
      <c r="BJ22" s="42"/>
      <c r="BK22" s="6">
        <v>4</v>
      </c>
      <c r="BL22" s="6">
        <v>4</v>
      </c>
      <c r="BM22" s="6">
        <v>4</v>
      </c>
      <c r="BN22" s="6">
        <v>4</v>
      </c>
      <c r="BO22" s="6">
        <v>4</v>
      </c>
      <c r="BP22" s="6">
        <v>4</v>
      </c>
      <c r="BQ22" s="6">
        <v>4</v>
      </c>
      <c r="BR22" s="6">
        <v>4</v>
      </c>
      <c r="BS22" s="6">
        <v>4</v>
      </c>
      <c r="BT22" s="6">
        <v>4</v>
      </c>
      <c r="BU22" s="6">
        <v>4</v>
      </c>
      <c r="BV22" s="6">
        <v>4</v>
      </c>
      <c r="BW22" s="6">
        <v>4</v>
      </c>
      <c r="CA22" s="6">
        <v>5</v>
      </c>
      <c r="CB22" s="6">
        <v>5</v>
      </c>
      <c r="CC22" s="6">
        <v>5</v>
      </c>
      <c r="CD22" s="6">
        <v>5</v>
      </c>
      <c r="CE22" s="6">
        <v>5</v>
      </c>
      <c r="CF22" s="6">
        <v>5</v>
      </c>
      <c r="CG22" s="6">
        <v>5</v>
      </c>
      <c r="CH22" s="6">
        <v>5</v>
      </c>
      <c r="CI22" s="6">
        <v>5</v>
      </c>
      <c r="CJ22" s="6">
        <v>5</v>
      </c>
      <c r="CK22" s="6">
        <v>5</v>
      </c>
      <c r="CL22" s="6">
        <v>5</v>
      </c>
      <c r="CM22" s="6">
        <v>5</v>
      </c>
      <c r="CQ22" s="6">
        <v>6</v>
      </c>
      <c r="CR22" s="6">
        <v>6</v>
      </c>
      <c r="CS22" s="6">
        <v>6</v>
      </c>
      <c r="CT22" s="6">
        <v>6</v>
      </c>
      <c r="CU22" s="6">
        <v>6</v>
      </c>
      <c r="CV22" s="6">
        <v>6</v>
      </c>
      <c r="CW22" s="6">
        <v>6</v>
      </c>
      <c r="CX22" s="6">
        <v>6</v>
      </c>
      <c r="CY22" s="6">
        <v>6</v>
      </c>
      <c r="CZ22" s="6">
        <v>6</v>
      </c>
      <c r="DA22" s="6">
        <v>6</v>
      </c>
      <c r="DB22" s="6">
        <v>6</v>
      </c>
      <c r="DC22" s="6">
        <v>6</v>
      </c>
      <c r="DG22" s="42"/>
      <c r="DH22" s="43">
        <f t="shared" si="198"/>
        <v>46132</v>
      </c>
      <c r="DI22" s="44">
        <f t="shared" ref="DI22" si="257">DH22</f>
        <v>46132</v>
      </c>
      <c r="DJ22" s="44">
        <f t="shared" si="161"/>
        <v>46133</v>
      </c>
      <c r="DK22" s="44">
        <f t="shared" ref="DK22" si="258">DJ22</f>
        <v>46133</v>
      </c>
      <c r="DL22" s="44">
        <f t="shared" si="163"/>
        <v>46134</v>
      </c>
      <c r="DM22" s="44">
        <f t="shared" ref="DM22" si="259">DL22</f>
        <v>46134</v>
      </c>
      <c r="DN22" s="44">
        <f t="shared" si="165"/>
        <v>46135</v>
      </c>
      <c r="DO22" s="44">
        <f t="shared" ref="DO22" si="260">DN22</f>
        <v>46135</v>
      </c>
      <c r="DP22" s="44">
        <f t="shared" si="167"/>
        <v>46136</v>
      </c>
      <c r="DQ22" s="44">
        <f t="shared" ref="DQ22" si="261">DP22</f>
        <v>46136</v>
      </c>
      <c r="DR22" s="44">
        <f t="shared" si="169"/>
        <v>46137</v>
      </c>
      <c r="DS22" s="44">
        <f t="shared" ref="DS22" si="262">DR22</f>
        <v>46137</v>
      </c>
      <c r="DT22" s="44">
        <f t="shared" si="171"/>
        <v>46138</v>
      </c>
      <c r="DU22" s="45">
        <f t="shared" si="172"/>
        <v>46138</v>
      </c>
      <c r="DX22" s="43">
        <f t="shared" si="205"/>
        <v>46160</v>
      </c>
      <c r="DY22" s="44">
        <f t="shared" ref="DY22" si="263">DX22</f>
        <v>46160</v>
      </c>
      <c r="DZ22" s="44">
        <f t="shared" si="173"/>
        <v>46161</v>
      </c>
      <c r="EA22" s="44">
        <f t="shared" ref="EA22" si="264">DZ22</f>
        <v>46161</v>
      </c>
      <c r="EB22" s="44">
        <f t="shared" si="175"/>
        <v>46162</v>
      </c>
      <c r="EC22" s="44">
        <f t="shared" ref="EC22" si="265">EB22</f>
        <v>46162</v>
      </c>
      <c r="ED22" s="44">
        <f t="shared" si="177"/>
        <v>46163</v>
      </c>
      <c r="EE22" s="44">
        <f t="shared" ref="EE22" si="266">ED22</f>
        <v>46163</v>
      </c>
      <c r="EF22" s="44">
        <f t="shared" si="179"/>
        <v>46164</v>
      </c>
      <c r="EG22" s="44">
        <f t="shared" ref="EG22" si="267">EF22</f>
        <v>46164</v>
      </c>
      <c r="EH22" s="44">
        <f t="shared" si="181"/>
        <v>46165</v>
      </c>
      <c r="EI22" s="44">
        <f t="shared" ref="EI22" si="268">EH22</f>
        <v>46165</v>
      </c>
      <c r="EJ22" s="44">
        <f t="shared" si="183"/>
        <v>46166</v>
      </c>
      <c r="EK22" s="45">
        <f t="shared" si="184"/>
        <v>46166</v>
      </c>
      <c r="EN22" s="43">
        <f t="shared" si="212"/>
        <v>46195</v>
      </c>
      <c r="EO22" s="44">
        <f t="shared" ref="EO22" si="269">EN22</f>
        <v>46195</v>
      </c>
      <c r="EP22" s="44">
        <f t="shared" si="185"/>
        <v>46196</v>
      </c>
      <c r="EQ22" s="44">
        <f t="shared" ref="EQ22" si="270">EP22</f>
        <v>46196</v>
      </c>
      <c r="ER22" s="44">
        <f t="shared" si="187"/>
        <v>46197</v>
      </c>
      <c r="ES22" s="44">
        <f t="shared" ref="ES22" si="271">ER22</f>
        <v>46197</v>
      </c>
      <c r="ET22" s="44">
        <f t="shared" si="189"/>
        <v>46198</v>
      </c>
      <c r="EU22" s="44">
        <f t="shared" ref="EU22" si="272">ET22</f>
        <v>46198</v>
      </c>
      <c r="EV22" s="44">
        <f t="shared" si="191"/>
        <v>46199</v>
      </c>
      <c r="EW22" s="44">
        <f t="shared" ref="EW22" si="273">EV22</f>
        <v>46199</v>
      </c>
      <c r="EX22" s="44">
        <f t="shared" si="193"/>
        <v>46200</v>
      </c>
      <c r="EY22" s="44">
        <f t="shared" ref="EY22" si="274">EX22</f>
        <v>46200</v>
      </c>
      <c r="EZ22" s="44">
        <f t="shared" si="195"/>
        <v>46201</v>
      </c>
      <c r="FA22" s="45">
        <f t="shared" si="196"/>
        <v>46201</v>
      </c>
      <c r="FE22" s="49">
        <f>COUNTIFS(Parameters!$S:$S,$D$4,Parameters!$Q:$Q,DH22)</f>
        <v>0</v>
      </c>
      <c r="FF22" s="50">
        <f>COUNTIFS(Parameters!$S:$S,$D$4,Parameters!$Q:$Q,DI22)</f>
        <v>0</v>
      </c>
      <c r="FG22" s="50">
        <f>COUNTIFS(Parameters!$S:$S,$D$4,Parameters!$Q:$Q,DJ22)</f>
        <v>0</v>
      </c>
      <c r="FH22" s="50">
        <f>COUNTIFS(Parameters!$S:$S,$D$4,Parameters!$Q:$Q,DK22)</f>
        <v>0</v>
      </c>
      <c r="FI22" s="50">
        <f>COUNTIFS(Parameters!$S:$S,$D$4,Parameters!$Q:$Q,DL22)</f>
        <v>0</v>
      </c>
      <c r="FJ22" s="50">
        <f>COUNTIFS(Parameters!$S:$S,$D$4,Parameters!$Q:$Q,DM22)</f>
        <v>0</v>
      </c>
      <c r="FK22" s="50">
        <f>COUNTIFS(Parameters!$S:$S,$D$4,Parameters!$Q:$Q,DN22)</f>
        <v>0</v>
      </c>
      <c r="FL22" s="50">
        <f>COUNTIFS(Parameters!$S:$S,$D$4,Parameters!$Q:$Q,DO22)</f>
        <v>0</v>
      </c>
      <c r="FM22" s="50">
        <f>COUNTIFS(Parameters!$S:$S,$D$4,Parameters!$Q:$Q,DP22)</f>
        <v>0</v>
      </c>
      <c r="FN22" s="50">
        <f>COUNTIFS(Parameters!$S:$S,$D$4,Parameters!$Q:$Q,DQ22)</f>
        <v>0</v>
      </c>
      <c r="FO22" s="50">
        <f>COUNTIFS(Parameters!$S:$S,$D$4,Parameters!$Q:$Q,DR22)</f>
        <v>0</v>
      </c>
      <c r="FP22" s="50">
        <f>COUNTIFS(Parameters!$S:$S,$D$4,Parameters!$Q:$Q,DS22)</f>
        <v>0</v>
      </c>
      <c r="FQ22" s="50">
        <f>COUNTIFS(Parameters!$S:$S,$D$4,Parameters!$Q:$Q,DT22)</f>
        <v>0</v>
      </c>
      <c r="FR22" s="57">
        <f>COUNTIFS(Parameters!$S:$S,$D$4,Parameters!$Q:$Q,DU22)</f>
        <v>0</v>
      </c>
      <c r="FU22" s="49">
        <f>COUNTIFS(Parameters!$S:$S,$D$4,Parameters!$Q:$Q,DX22)</f>
        <v>0</v>
      </c>
      <c r="FV22" s="50">
        <f>COUNTIFS(Parameters!$S:$S,$D$4,Parameters!$Q:$Q,DY22)</f>
        <v>0</v>
      </c>
      <c r="FW22" s="50">
        <f>COUNTIFS(Parameters!$S:$S,$D$4,Parameters!$Q:$Q,DZ22)</f>
        <v>0</v>
      </c>
      <c r="FX22" s="50">
        <f>COUNTIFS(Parameters!$S:$S,$D$4,Parameters!$Q:$Q,EA22)</f>
        <v>0</v>
      </c>
      <c r="FY22" s="50">
        <f>COUNTIFS(Parameters!$S:$S,$D$4,Parameters!$Q:$Q,EB22)</f>
        <v>0</v>
      </c>
      <c r="FZ22" s="50">
        <f>COUNTIFS(Parameters!$S:$S,$D$4,Parameters!$Q:$Q,EC22)</f>
        <v>0</v>
      </c>
      <c r="GA22" s="50">
        <f>COUNTIFS(Parameters!$S:$S,$D$4,Parameters!$Q:$Q,ED22)</f>
        <v>0</v>
      </c>
      <c r="GB22" s="50">
        <f>COUNTIFS(Parameters!$S:$S,$D$4,Parameters!$Q:$Q,EE22)</f>
        <v>0</v>
      </c>
      <c r="GC22" s="50">
        <f>COUNTIFS(Parameters!$S:$S,$D$4,Parameters!$Q:$Q,EF22)</f>
        <v>0</v>
      </c>
      <c r="GD22" s="50">
        <f>COUNTIFS(Parameters!$S:$S,$D$4,Parameters!$Q:$Q,EG22)</f>
        <v>0</v>
      </c>
      <c r="GE22" s="50">
        <f>COUNTIFS(Parameters!$S:$S,$D$4,Parameters!$Q:$Q,EH22)</f>
        <v>0</v>
      </c>
      <c r="GF22" s="50">
        <f>COUNTIFS(Parameters!$S:$S,$D$4,Parameters!$Q:$Q,EI22)</f>
        <v>0</v>
      </c>
      <c r="GG22" s="50">
        <f>COUNTIFS(Parameters!$S:$S,$D$4,Parameters!$Q:$Q,EJ22)</f>
        <v>0</v>
      </c>
      <c r="GH22" s="57">
        <f>COUNTIFS(Parameters!$S:$S,$D$4,Parameters!$Q:$Q,EK22)</f>
        <v>0</v>
      </c>
      <c r="GK22" s="49">
        <f>COUNTIFS(Parameters!$S:$S,$D$4,Parameters!$Q:$Q,EN22)</f>
        <v>0</v>
      </c>
      <c r="GL22" s="50">
        <f>COUNTIFS(Parameters!$S:$S,$D$4,Parameters!$Q:$Q,EO22)</f>
        <v>0</v>
      </c>
      <c r="GM22" s="50">
        <f>COUNTIFS(Parameters!$S:$S,$D$4,Parameters!$Q:$Q,EP22)</f>
        <v>0</v>
      </c>
      <c r="GN22" s="50">
        <f>COUNTIFS(Parameters!$S:$S,$D$4,Parameters!$Q:$Q,EQ22)</f>
        <v>0</v>
      </c>
      <c r="GO22" s="50">
        <f>COUNTIFS(Parameters!$S:$S,$D$4,Parameters!$Q:$Q,ER22)</f>
        <v>0</v>
      </c>
      <c r="GP22" s="50">
        <f>COUNTIFS(Parameters!$S:$S,$D$4,Parameters!$Q:$Q,ES22)</f>
        <v>0</v>
      </c>
      <c r="GQ22" s="50">
        <f>COUNTIFS(Parameters!$S:$S,$D$4,Parameters!$Q:$Q,ET22)</f>
        <v>0</v>
      </c>
      <c r="GR22" s="50">
        <f>COUNTIFS(Parameters!$S:$S,$D$4,Parameters!$Q:$Q,EU22)</f>
        <v>0</v>
      </c>
      <c r="GS22" s="50">
        <f>COUNTIFS(Parameters!$S:$S,$D$4,Parameters!$Q:$Q,EV22)</f>
        <v>0</v>
      </c>
      <c r="GT22" s="50">
        <f>COUNTIFS(Parameters!$S:$S,$D$4,Parameters!$Q:$Q,EW22)</f>
        <v>0</v>
      </c>
      <c r="GU22" s="50">
        <f>COUNTIFS(Parameters!$S:$S,$D$4,Parameters!$Q:$Q,EX22)</f>
        <v>0</v>
      </c>
      <c r="GV22" s="50">
        <f>COUNTIFS(Parameters!$S:$S,$D$4,Parameters!$Q:$Q,EY22)</f>
        <v>0</v>
      </c>
      <c r="GW22" s="50">
        <f>COUNTIFS(Parameters!$S:$S,$D$4,Parameters!$Q:$Q,EZ22)</f>
        <v>0</v>
      </c>
      <c r="GX22" s="57">
        <f>COUNTIFS(Parameters!$S:$S,$D$4,Parameters!$Q:$Q,FA22)</f>
        <v>0</v>
      </c>
      <c r="HB22" s="49">
        <f>IF(DH22="","",COUNTIFS($D$25:$D$267,Parameters!$K$2,$E$25:$E$267,Parameters!$M$2,Calendrier!$C$25:$C$267,DH22)+ COUNTIFS($D$25:$D$267,Parameters!$K$3,$E$25:$E$267,Parameters!$M$2,Calendrier!$C$25:$C$267,DH22))</f>
        <v>0</v>
      </c>
      <c r="HC22" s="50">
        <f>IF(DI22="","",COUNTIFS($D$25:$D$267,Parameters!$K$2,$E$25:$E$267,Parameters!$M$2,Calendrier!$C$25:$C$267,DI22)+ COUNTIFS($D$25:$D$267,Parameters!$K$4,$E$25:$E$267,Parameters!$M$2,Calendrier!$C$25:$C$267,DI22))</f>
        <v>0</v>
      </c>
      <c r="HD22" s="50">
        <f>IF(DJ22="","",COUNTIFS($D$25:$D$267,Parameters!$K$2,$E$25:$E$267,Parameters!$M$2,Calendrier!$C$25:$C$267,DJ22)+ COUNTIFS($D$25:$D$267,Parameters!$K$3,$E$25:$E$267,Parameters!$M$2,Calendrier!$C$25:$C$267,DJ22))</f>
        <v>0</v>
      </c>
      <c r="HE22" s="50">
        <f>IF(DK22="","",COUNTIFS($D$25:$D$267,Parameters!$K$2,$E$25:$E$267,Parameters!$M$2,Calendrier!$C$25:$C$267,DK22)+ COUNTIFS($D$25:$D$267,Parameters!$K$4,$E$25:$E$267,Parameters!$M$2,Calendrier!$C$25:$C$267,DK22))</f>
        <v>0</v>
      </c>
      <c r="HF22" s="50">
        <f>IF(DL22="","",COUNTIFS($D$25:$D$267,Parameters!$K$2,$E$25:$E$267,Parameters!$M$2,Calendrier!$C$25:$C$267,DL22)+ COUNTIFS($D$25:$D$267,Parameters!$K$3,$E$25:$E$267,Parameters!$M$2,Calendrier!$C$25:$C$267,DL22))</f>
        <v>0</v>
      </c>
      <c r="HG22" s="50">
        <f>IF(DM22="","",COUNTIFS($D$25:$D$267,Parameters!$K$2,$E$25:$E$267,Parameters!$M$2,Calendrier!$C$25:$C$267,DM22)+ COUNTIFS($D$25:$D$267,Parameters!$K$4,$E$25:$E$267,Parameters!$M$2,Calendrier!$C$25:$C$267,DM22))</f>
        <v>0</v>
      </c>
      <c r="HH22" s="50">
        <f>IF(DN22="","",COUNTIFS($D$25:$D$267,Parameters!$K$2,$E$25:$E$267,Parameters!$M$2,Calendrier!$C$25:$C$267,DN22)+ COUNTIFS($D$25:$D$267,Parameters!$K$3,$E$25:$E$267,Parameters!$M$2,Calendrier!$C$25:$C$267,DN22))</f>
        <v>0</v>
      </c>
      <c r="HI22" s="50">
        <f>IF(DO22="","",COUNTIFS($D$25:$D$267,Parameters!$K$2,$E$25:$E$267,Parameters!$M$2,Calendrier!$C$25:$C$267,DO22)+ COUNTIFS($D$25:$D$267,Parameters!$K$4,$E$25:$E$267,Parameters!$M$2,Calendrier!$C$25:$C$267,DO22))</f>
        <v>0</v>
      </c>
      <c r="HJ22" s="50">
        <f>IF(DP22="","",COUNTIFS($D$25:$D$267,Parameters!$K$2,$E$25:$E$267,Parameters!$M$2,Calendrier!$C$25:$C$267,DP22)+ COUNTIFS($D$25:$D$267,Parameters!$K$3,$E$25:$E$267,Parameters!$M$2,Calendrier!$C$25:$C$267,DP22))</f>
        <v>0</v>
      </c>
      <c r="HK22" s="50">
        <f>IF(DQ22="","",COUNTIFS($D$25:$D$267,Parameters!$K$2,$E$25:$E$267,Parameters!$M$2,Calendrier!$C$25:$C$267,DQ22)+ COUNTIFS($D$25:$D$267,Parameters!$K$4,$E$25:$E$267,Parameters!$M$2,Calendrier!$C$25:$C$267,DQ22))</f>
        <v>0</v>
      </c>
      <c r="HL22" s="50">
        <f>IF(DR22="","",COUNTIFS($D$25:$D$267,Parameters!$K$2,$E$25:$E$267,Parameters!$M$2,Calendrier!$C$25:$C$267,DR22)+ COUNTIFS($D$25:$D$267,Parameters!$K$3,$E$25:$E$267,Parameters!$M$2,Calendrier!$C$25:$C$267,DR22))</f>
        <v>0</v>
      </c>
      <c r="HM22" s="50">
        <f>IF(DS22="","",COUNTIFS($D$25:$D$267,Parameters!$K$2,$E$25:$E$267,Parameters!$M$2,Calendrier!$C$25:$C$267,DS22)+ COUNTIFS($D$25:$D$267,Parameters!$K$4,$E$25:$E$267,Parameters!$M$2,Calendrier!$C$25:$C$267,DS22))</f>
        <v>0</v>
      </c>
      <c r="HN22" s="50">
        <f>IF(DT22="","",COUNTIFS($D$25:$D$267,Parameters!$K$2,$E$25:$E$267,Parameters!$M$2,Calendrier!$C$25:$C$267,DT22)+ COUNTIFS($D$25:$D$267,Parameters!$K$3,$E$25:$E$267,Parameters!$M$2,Calendrier!$C$25:$C$267,DT22))</f>
        <v>0</v>
      </c>
      <c r="HO22" s="57">
        <f>IF(DU22="","",COUNTIFS($D$25:$D$267,Parameters!$K$2,$E$25:$E$267,Parameters!$M$2,Calendrier!$C$25:$C$267,DU22)+ COUNTIFS($D$25:$D$267,Parameters!$K$4,$E$25:$E$267,Parameters!$M$2,Calendrier!$C$25:$C$267,DU22))</f>
        <v>0</v>
      </c>
      <c r="HR22" s="49">
        <f>IF(DX22="","",COUNTIFS($D$25:$D$267,Parameters!$K$2,$E$25:$E$267,Parameters!$M$2,Calendrier!$C$25:$C$267,DX22)+ COUNTIFS($D$25:$D$267,Parameters!$K$3,$E$25:$E$267,Parameters!$M$2,Calendrier!$C$25:$C$267,DX22))</f>
        <v>0</v>
      </c>
      <c r="HS22" s="50">
        <f>IF(DY22="","",COUNTIFS($D$25:$D$267,Parameters!$K$2,$E$25:$E$267,Parameters!$M$2,Calendrier!$C$25:$C$267,DY22)+ COUNTIFS($D$25:$D$267,Parameters!$K$4,$E$25:$E$267,Parameters!$M$2,Calendrier!$C$25:$C$267,DY22))</f>
        <v>0</v>
      </c>
      <c r="HT22" s="50">
        <f>IF(DZ22="","",COUNTIFS($D$25:$D$267,Parameters!$K$2,$E$25:$E$267,Parameters!$M$2,Calendrier!$C$25:$C$267,DZ22)+ COUNTIFS($D$25:$D$267,Parameters!$K$3,$E$25:$E$267,Parameters!$M$2,Calendrier!$C$25:$C$267,DZ22))</f>
        <v>0</v>
      </c>
      <c r="HU22" s="50">
        <f>IF(EA22="","",COUNTIFS($D$25:$D$267,Parameters!$K$2,$E$25:$E$267,Parameters!$M$2,Calendrier!$C$25:$C$267,EA22)+ COUNTIFS($D$25:$D$267,Parameters!$K$4,$E$25:$E$267,Parameters!$M$2,Calendrier!$C$25:$C$267,EA22))</f>
        <v>0</v>
      </c>
      <c r="HV22" s="50">
        <f>IF(EB22="","",COUNTIFS($D$25:$D$267,Parameters!$K$2,$E$25:$E$267,Parameters!$M$2,Calendrier!$C$25:$C$267,EB22)+ COUNTIFS($D$25:$D$267,Parameters!$K$3,$E$25:$E$267,Parameters!$M$2,Calendrier!$C$25:$C$267,EB22))</f>
        <v>0</v>
      </c>
      <c r="HW22" s="50">
        <f>IF(EC22="","",COUNTIFS($D$25:$D$267,Parameters!$K$2,$E$25:$E$267,Parameters!$M$2,Calendrier!$C$25:$C$267,EC22)+ COUNTIFS($D$25:$D$267,Parameters!$K$4,$E$25:$E$267,Parameters!$M$2,Calendrier!$C$25:$C$267,EC22))</f>
        <v>0</v>
      </c>
      <c r="HX22" s="50">
        <f>IF(ED22="","",COUNTIFS($D$25:$D$267,Parameters!$K$2,$E$25:$E$267,Parameters!$M$2,Calendrier!$C$25:$C$267,ED22)+ COUNTIFS($D$25:$D$267,Parameters!$K$3,$E$25:$E$267,Parameters!$M$2,Calendrier!$C$25:$C$267,ED22))</f>
        <v>0</v>
      </c>
      <c r="HY22" s="50">
        <f>IF(EE22="","",COUNTIFS($D$25:$D$267,Parameters!$K$2,$E$25:$E$267,Parameters!$M$2,Calendrier!$C$25:$C$267,EE22)+ COUNTIFS($D$25:$D$267,Parameters!$K$4,$E$25:$E$267,Parameters!$M$2,Calendrier!$C$25:$C$267,EE22))</f>
        <v>0</v>
      </c>
      <c r="HZ22" s="50">
        <f>IF(EF22="","",COUNTIFS($D$25:$D$267,Parameters!$K$2,$E$25:$E$267,Parameters!$M$2,Calendrier!$C$25:$C$267,EF22)+ COUNTIFS($D$25:$D$267,Parameters!$K$3,$E$25:$E$267,Parameters!$M$2,Calendrier!$C$25:$C$267,EF22))</f>
        <v>0</v>
      </c>
      <c r="IA22" s="50">
        <f>IF(EG22="","",COUNTIFS($D$25:$D$267,Parameters!$K$2,$E$25:$E$267,Parameters!$M$2,Calendrier!$C$25:$C$267,EG22)+ COUNTIFS($D$25:$D$267,Parameters!$K$4,$E$25:$E$267,Parameters!$M$2,Calendrier!$C$25:$C$267,EG22))</f>
        <v>0</v>
      </c>
      <c r="IB22" s="50">
        <f>IF(EH22="","",COUNTIFS($D$25:$D$267,Parameters!$K$2,$E$25:$E$267,Parameters!$M$2,Calendrier!$C$25:$C$267,EH22)+ COUNTIFS($D$25:$D$267,Parameters!$K$3,$E$25:$E$267,Parameters!$M$2,Calendrier!$C$25:$C$267,EH22))</f>
        <v>0</v>
      </c>
      <c r="IC22" s="50">
        <f>IF(EI22="","",COUNTIFS($D$25:$D$267,Parameters!$K$2,$E$25:$E$267,Parameters!$M$2,Calendrier!$C$25:$C$267,EI22)+ COUNTIFS($D$25:$D$267,Parameters!$K$4,$E$25:$E$267,Parameters!$M$2,Calendrier!$C$25:$C$267,EI22))</f>
        <v>0</v>
      </c>
      <c r="ID22" s="50">
        <f>IF(EJ22="","",COUNTIFS($D$25:$D$267,Parameters!$K$2,$E$25:$E$267,Parameters!$M$2,Calendrier!$C$25:$C$267,EJ22)+ COUNTIFS($D$25:$D$267,Parameters!$K$3,$E$25:$E$267,Parameters!$M$2,Calendrier!$C$25:$C$267,EJ22))</f>
        <v>0</v>
      </c>
      <c r="IE22" s="57">
        <f>IF(EK22="","",COUNTIFS($D$25:$D$267,Parameters!$K$2,$E$25:$E$267,Parameters!$M$2,Calendrier!$C$25:$C$267,EK22)+ COUNTIFS($D$25:$D$267,Parameters!$K$4,$E$25:$E$267,Parameters!$M$2,Calendrier!$C$25:$C$267,EK22))</f>
        <v>0</v>
      </c>
      <c r="IH22" s="49">
        <f>IF(EN22="","",COUNTIFS($D$25:$D$267,Parameters!$K$2,$E$25:$E$267,Parameters!$M$2,Calendrier!$C$25:$C$267,EN22)+ COUNTIFS($D$25:$D$267,Parameters!$K$3,$E$25:$E$267,Parameters!$M$2,Calendrier!$C$25:$C$267,EN22))</f>
        <v>0</v>
      </c>
      <c r="II22" s="50">
        <f>IF(EO22="","",COUNTIFS($D$25:$D$267,Parameters!$K$2,$E$25:$E$267,Parameters!$M$2,Calendrier!$C$25:$C$267,EO22)+ COUNTIFS($D$25:$D$267,Parameters!$K$4,$E$25:$E$267,Parameters!$M$2,Calendrier!$C$25:$C$267,EO22))</f>
        <v>0</v>
      </c>
      <c r="IJ22" s="50">
        <f>IF(EP22="","",COUNTIFS($D$25:$D$267,Parameters!$K$2,$E$25:$E$267,Parameters!$M$2,Calendrier!$C$25:$C$267,EP22)+ COUNTIFS($D$25:$D$267,Parameters!$K$3,$E$25:$E$267,Parameters!$M$2,Calendrier!$C$25:$C$267,EP22))</f>
        <v>0</v>
      </c>
      <c r="IK22" s="50">
        <f>IF(EQ22="","",COUNTIFS($D$25:$D$267,Parameters!$K$2,$E$25:$E$267,Parameters!$M$2,Calendrier!$C$25:$C$267,EQ22)+ COUNTIFS($D$25:$D$267,Parameters!$K$4,$E$25:$E$267,Parameters!$M$2,Calendrier!$C$25:$C$267,EQ22))</f>
        <v>0</v>
      </c>
      <c r="IL22" s="50">
        <f>IF(ER22="","",COUNTIFS($D$25:$D$267,Parameters!$K$2,$E$25:$E$267,Parameters!$M$2,Calendrier!$C$25:$C$267,ER22)+ COUNTIFS($D$25:$D$267,Parameters!$K$3,$E$25:$E$267,Parameters!$M$2,Calendrier!$C$25:$C$267,ER22))</f>
        <v>0</v>
      </c>
      <c r="IM22" s="50">
        <f>IF(ES22="","",COUNTIFS($D$25:$D$267,Parameters!$K$2,$E$25:$E$267,Parameters!$M$2,Calendrier!$C$25:$C$267,ES22)+ COUNTIFS($D$25:$D$267,Parameters!$K$4,$E$25:$E$267,Parameters!$M$2,Calendrier!$C$25:$C$267,ES22))</f>
        <v>0</v>
      </c>
      <c r="IN22" s="50">
        <f>IF(ET22="","",COUNTIFS($D$25:$D$267,Parameters!$K$2,$E$25:$E$267,Parameters!$M$2,Calendrier!$C$25:$C$267,ET22)+ COUNTIFS($D$25:$D$267,Parameters!$K$3,$E$25:$E$267,Parameters!$M$2,Calendrier!$C$25:$C$267,ET22))</f>
        <v>0</v>
      </c>
      <c r="IO22" s="50">
        <f>IF(EU22="","",COUNTIFS($D$25:$D$267,Parameters!$K$2,$E$25:$E$267,Parameters!$M$2,Calendrier!$C$25:$C$267,EU22)+ COUNTIFS($D$25:$D$267,Parameters!$K$4,$E$25:$E$267,Parameters!$M$2,Calendrier!$C$25:$C$267,EU22))</f>
        <v>0</v>
      </c>
      <c r="IP22" s="50">
        <f>IF(EV22="","",COUNTIFS($D$25:$D$267,Parameters!$K$2,$E$25:$E$267,Parameters!$M$2,Calendrier!$C$25:$C$267,EV22)+ COUNTIFS($D$25:$D$267,Parameters!$K$3,$E$25:$E$267,Parameters!$M$2,Calendrier!$C$25:$C$267,EV22))</f>
        <v>0</v>
      </c>
      <c r="IQ22" s="50">
        <f>IF(EW22="","",COUNTIFS($D$25:$D$267,Parameters!$K$2,$E$25:$E$267,Parameters!$M$2,Calendrier!$C$25:$C$267,EW22)+ COUNTIFS($D$25:$D$267,Parameters!$K$4,$E$25:$E$267,Parameters!$M$2,Calendrier!$C$25:$C$267,EW22))</f>
        <v>0</v>
      </c>
      <c r="IR22" s="50">
        <f>IF(EX22="","",COUNTIFS($D$25:$D$267,Parameters!$K$2,$E$25:$E$267,Parameters!$M$2,Calendrier!$C$25:$C$267,EX22)+ COUNTIFS($D$25:$D$267,Parameters!$K$3,$E$25:$E$267,Parameters!$M$2,Calendrier!$C$25:$C$267,EX22))</f>
        <v>0</v>
      </c>
      <c r="IS22" s="50">
        <f>IF(EY22="","",COUNTIFS($D$25:$D$267,Parameters!$K$2,$E$25:$E$267,Parameters!$M$2,Calendrier!$C$25:$C$267,EY22)+ COUNTIFS($D$25:$D$267,Parameters!$K$4,$E$25:$E$267,Parameters!$M$2,Calendrier!$C$25:$C$267,EY22))</f>
        <v>0</v>
      </c>
      <c r="IT22" s="50">
        <f>IF(EZ22="","",COUNTIFS($D$25:$D$267,Parameters!$K$2,$E$25:$E$267,Parameters!$M$2,Calendrier!$C$25:$C$267,EZ22)+ COUNTIFS($D$25:$D$267,Parameters!$K$3,$E$25:$E$267,Parameters!$M$2,Calendrier!$C$25:$C$267,EZ22))</f>
        <v>0</v>
      </c>
      <c r="IU22" s="57">
        <f>IF(FA22="","",COUNTIFS($D$25:$D$267,Parameters!$K$2,$E$25:$E$267,Parameters!$M$2,Calendrier!$C$25:$C$267,FA22)+ COUNTIFS($D$25:$D$267,Parameters!$K$4,$E$25:$E$267,Parameters!$M$2,Calendrier!$C$25:$C$267,FA22))</f>
        <v>0</v>
      </c>
      <c r="IY22" s="49">
        <f>IF(DH22="","",COUNTIFS($D$25:$D$267,Parameters!$K$2,$E$25:$E$267,Parameters!$M$3,Calendrier!$C$25:$C$267,DH22)+ COUNTIFS($D$25:$D$267,Parameters!$K$3,$E$25:$E$267,Parameters!$M$3,Calendrier!$C$25:$C$267,DH22))</f>
        <v>0</v>
      </c>
      <c r="IZ22" s="50">
        <f>IF(DI22="","",COUNTIFS($D$25:$D$267,Parameters!$K$2,$E$25:$E$267,Parameters!$M$3,Calendrier!$C$25:$C$267,DI22)+ COUNTIFS($D$25:$D$267,Parameters!$K$4,$E$25:$E$267,Parameters!$M$3,Calendrier!$C$25:$C$267,DI22))</f>
        <v>0</v>
      </c>
      <c r="JA22" s="50">
        <f>IF(DJ22="","",COUNTIFS($D$25:$D$267,Parameters!$K$2,$E$25:$E$267,Parameters!$M$3,Calendrier!$C$25:$C$267,DJ22)+ COUNTIFS($D$25:$D$267,Parameters!$K$3,$E$25:$E$267,Parameters!$M$3,Calendrier!$C$25:$C$267,DJ22))</f>
        <v>0</v>
      </c>
      <c r="JB22" s="50">
        <f>IF(DK22="","",COUNTIFS($D$25:$D$267,Parameters!$K$2,$E$25:$E$267,Parameters!$M$3,Calendrier!$C$25:$C$267,DK22)+ COUNTIFS($D$25:$D$267,Parameters!$K$4,$E$25:$E$267,Parameters!$M$3,Calendrier!$C$25:$C$267,DK22))</f>
        <v>0</v>
      </c>
      <c r="JC22" s="50">
        <f>IF(DL22="","",COUNTIFS($D$25:$D$267,Parameters!$K$2,$E$25:$E$267,Parameters!$M$3,Calendrier!$C$25:$C$267,DL22)+ COUNTIFS($D$25:$D$267,Parameters!$K$3,$E$25:$E$267,Parameters!$M$3,Calendrier!$C$25:$C$267,DL22))</f>
        <v>0</v>
      </c>
      <c r="JD22" s="50">
        <f>IF(DM22="","",COUNTIFS($D$25:$D$267,Parameters!$K$2,$E$25:$E$267,Parameters!$M$3,Calendrier!$C$25:$C$267,DM22)+ COUNTIFS($D$25:$D$267,Parameters!$K$4,$E$25:$E$267,Parameters!$M$3,Calendrier!$C$25:$C$267,DM22))</f>
        <v>0</v>
      </c>
      <c r="JE22" s="50">
        <f>IF(DN22="","",COUNTIFS($D$25:$D$267,Parameters!$K$2,$E$25:$E$267,Parameters!$M$3,Calendrier!$C$25:$C$267,DN22)+ COUNTIFS($D$25:$D$267,Parameters!$K$3,$E$25:$E$267,Parameters!$M$3,Calendrier!$C$25:$C$267,DN22))</f>
        <v>0</v>
      </c>
      <c r="JF22" s="50">
        <f>IF(DO22="","",COUNTIFS($D$25:$D$267,Parameters!$K$2,$E$25:$E$267,Parameters!$M$3,Calendrier!$C$25:$C$267,DO22)+ COUNTIFS($D$25:$D$267,Parameters!$K$4,$E$25:$E$267,Parameters!$M$3,Calendrier!$C$25:$C$267,DO22))</f>
        <v>0</v>
      </c>
      <c r="JG22" s="50">
        <f>IF(DP22="","",COUNTIFS($D$25:$D$267,Parameters!$K$2,$E$25:$E$267,Parameters!$M$3,Calendrier!$C$25:$C$267,DP22)+ COUNTIFS($D$25:$D$267,Parameters!$K$3,$E$25:$E$267,Parameters!$M$3,Calendrier!$C$25:$C$267,DP22))</f>
        <v>0</v>
      </c>
      <c r="JH22" s="50">
        <f>IF(DQ22="","",COUNTIFS($D$25:$D$267,Parameters!$K$2,$E$25:$E$267,Parameters!$M$3,Calendrier!$C$25:$C$267,DQ22)+ COUNTIFS($D$25:$D$267,Parameters!$K$4,$E$25:$E$267,Parameters!$M$3,Calendrier!$C$25:$C$267,DQ22))</f>
        <v>0</v>
      </c>
      <c r="JI22" s="50">
        <f>IF(DR22="","",COUNTIFS($D$25:$D$267,Parameters!$K$2,$E$25:$E$267,Parameters!$M$3,Calendrier!$C$25:$C$267,DR22)+ COUNTIFS($D$25:$D$267,Parameters!$K$3,$E$25:$E$267,Parameters!$M$3,Calendrier!$C$25:$C$267,DR22))</f>
        <v>0</v>
      </c>
      <c r="JJ22" s="50">
        <f>IF(DS22="","",COUNTIFS($D$25:$D$267,Parameters!$K$2,$E$25:$E$267,Parameters!$M$3,Calendrier!$C$25:$C$267,DS22)+ COUNTIFS($D$25:$D$267,Parameters!$K$4,$E$25:$E$267,Parameters!$M$3,Calendrier!$C$25:$C$267,DS22))</f>
        <v>0</v>
      </c>
      <c r="JK22" s="50">
        <f>IF(DT22="","",COUNTIFS($D$25:$D$267,Parameters!$K$2,$E$25:$E$267,Parameters!$M$3,Calendrier!$C$25:$C$267,DT22)+ COUNTIFS($D$25:$D$267,Parameters!$K$3,$E$25:$E$267,Parameters!$M$3,Calendrier!$C$25:$C$267,DT22))</f>
        <v>0</v>
      </c>
      <c r="JL22" s="57">
        <f>IF(DU22="","",COUNTIFS($D$25:$D$267,Parameters!$K$2,$E$25:$E$267,Parameters!$M$3,Calendrier!$C$25:$C$267,DU22)+ COUNTIFS($D$25:$D$267,Parameters!$K$4,$E$25:$E$267,Parameters!$M$3,Calendrier!$C$25:$C$267,DU22))</f>
        <v>0</v>
      </c>
      <c r="JO22" s="49">
        <f>IF(DX22="","",COUNTIFS($D$25:$D$267,Parameters!$K$2,$E$25:$E$267,Parameters!$M$3,Calendrier!$C$25:$C$267,DX22)+ COUNTIFS($D$25:$D$267,Parameters!$K$3,$E$25:$E$267,Parameters!$M$3,Calendrier!$C$25:$C$267,DX22))</f>
        <v>0</v>
      </c>
      <c r="JP22" s="50">
        <f>IF(DY22="","",COUNTIFS($D$25:$D$267,Parameters!$K$2,$E$25:$E$267,Parameters!$M$3,Calendrier!$C$25:$C$267,DY22)+ COUNTIFS($D$25:$D$267,Parameters!$K$4,$E$25:$E$267,Parameters!$M$3,Calendrier!$C$25:$C$267,DY22))</f>
        <v>0</v>
      </c>
      <c r="JQ22" s="50">
        <f>IF(DZ22="","",COUNTIFS($D$25:$D$267,Parameters!$K$2,$E$25:$E$267,Parameters!$M$3,Calendrier!$C$25:$C$267,DZ22)+ COUNTIFS($D$25:$D$267,Parameters!$K$3,$E$25:$E$267,Parameters!$M$3,Calendrier!$C$25:$C$267,DZ22))</f>
        <v>0</v>
      </c>
      <c r="JR22" s="50">
        <f>IF(EA22="","",COUNTIFS($D$25:$D$267,Parameters!$K$2,$E$25:$E$267,Parameters!$M$3,Calendrier!$C$25:$C$267,EA22)+ COUNTIFS($D$25:$D$267,Parameters!$K$4,$E$25:$E$267,Parameters!$M$3,Calendrier!$C$25:$C$267,EA22))</f>
        <v>0</v>
      </c>
      <c r="JS22" s="50">
        <f>IF(EB22="","",COUNTIFS($D$25:$D$267,Parameters!$K$2,$E$25:$E$267,Parameters!$M$3,Calendrier!$C$25:$C$267,EB22)+ COUNTIFS($D$25:$D$267,Parameters!$K$3,$E$25:$E$267,Parameters!$M$3,Calendrier!$C$25:$C$267,EB22))</f>
        <v>0</v>
      </c>
      <c r="JT22" s="50">
        <f>IF(EC22="","",COUNTIFS($D$25:$D$267,Parameters!$K$2,$E$25:$E$267,Parameters!$M$3,Calendrier!$C$25:$C$267,EC22)+ COUNTIFS($D$25:$D$267,Parameters!$K$4,$E$25:$E$267,Parameters!$M$3,Calendrier!$C$25:$C$267,EC22))</f>
        <v>0</v>
      </c>
      <c r="JU22" s="50">
        <f>IF(ED22="","",COUNTIFS($D$25:$D$267,Parameters!$K$2,$E$25:$E$267,Parameters!$M$3,Calendrier!$C$25:$C$267,ED22)+ COUNTIFS($D$25:$D$267,Parameters!$K$3,$E$25:$E$267,Parameters!$M$3,Calendrier!$C$25:$C$267,ED22))</f>
        <v>0</v>
      </c>
      <c r="JV22" s="50">
        <f>IF(EE22="","",COUNTIFS($D$25:$D$267,Parameters!$K$2,$E$25:$E$267,Parameters!$M$3,Calendrier!$C$25:$C$267,EE22)+ COUNTIFS($D$25:$D$267,Parameters!$K$4,$E$25:$E$267,Parameters!$M$3,Calendrier!$C$25:$C$267,EE22))</f>
        <v>0</v>
      </c>
      <c r="JW22" s="50">
        <f>IF(EF22="","",COUNTIFS($D$25:$D$267,Parameters!$K$2,$E$25:$E$267,Parameters!$M$3,Calendrier!$C$25:$C$267,EF22)+ COUNTIFS($D$25:$D$267,Parameters!$K$3,$E$25:$E$267,Parameters!$M$3,Calendrier!$C$25:$C$267,EF22))</f>
        <v>0</v>
      </c>
      <c r="JX22" s="50">
        <f>IF(EG22="","",COUNTIFS($D$25:$D$267,Parameters!$K$2,$E$25:$E$267,Parameters!$M$3,Calendrier!$C$25:$C$267,EG22)+ COUNTIFS($D$25:$D$267,Parameters!$K$4,$E$25:$E$267,Parameters!$M$3,Calendrier!$C$25:$C$267,EG22))</f>
        <v>0</v>
      </c>
      <c r="JY22" s="50">
        <f>IF(EH22="","",COUNTIFS($D$25:$D$267,Parameters!$K$2,$E$25:$E$267,Parameters!$M$3,Calendrier!$C$25:$C$267,EH22)+ COUNTIFS($D$25:$D$267,Parameters!$K$3,$E$25:$E$267,Parameters!$M$3,Calendrier!$C$25:$C$267,EH22))</f>
        <v>0</v>
      </c>
      <c r="JZ22" s="50">
        <f>IF(EI22="","",COUNTIFS($D$25:$D$267,Parameters!$K$2,$E$25:$E$267,Parameters!$M$3,Calendrier!$C$25:$C$267,EI22)+ COUNTIFS($D$25:$D$267,Parameters!$K$4,$E$25:$E$267,Parameters!$M$3,Calendrier!$C$25:$C$267,EI22))</f>
        <v>0</v>
      </c>
      <c r="KA22" s="50">
        <f>IF(EJ22="","",COUNTIFS($D$25:$D$267,Parameters!$K$2,$E$25:$E$267,Parameters!$M$3,Calendrier!$C$25:$C$267,EJ22)+ COUNTIFS($D$25:$D$267,Parameters!$K$3,$E$25:$E$267,Parameters!$M$3,Calendrier!$C$25:$C$267,EJ22))</f>
        <v>0</v>
      </c>
      <c r="KB22" s="57">
        <f>IF(EK22="","",COUNTIFS($D$25:$D$267,Parameters!$K$2,$E$25:$E$267,Parameters!$M$3,Calendrier!$C$25:$C$267,EK22)+ COUNTIFS($D$25:$D$267,Parameters!$K$4,$E$25:$E$267,Parameters!$M$3,Calendrier!$C$25:$C$267,EK22))</f>
        <v>0</v>
      </c>
      <c r="KE22" s="49">
        <f>IF(EN22="","",COUNTIFS($D$25:$D$267,Parameters!$K$2,$E$25:$E$267,Parameters!$M$3,Calendrier!$C$25:$C$267,EN22)+ COUNTIFS($D$25:$D$267,Parameters!$K$3,$E$25:$E$267,Parameters!$M$3,Calendrier!$C$25:$C$267,EN22))</f>
        <v>0</v>
      </c>
      <c r="KF22" s="50">
        <f>IF(EO22="","",COUNTIFS($D$25:$D$267,Parameters!$K$2,$E$25:$E$267,Parameters!$M$3,Calendrier!$C$25:$C$267,EO22)+ COUNTIFS($D$25:$D$267,Parameters!$K$4,$E$25:$E$267,Parameters!$M$3,Calendrier!$C$25:$C$267,EO22))</f>
        <v>0</v>
      </c>
      <c r="KG22" s="50">
        <f>IF(EP22="","",COUNTIFS($D$25:$D$267,Parameters!$K$2,$E$25:$E$267,Parameters!$M$3,Calendrier!$C$25:$C$267,EP22)+ COUNTIFS($D$25:$D$267,Parameters!$K$3,$E$25:$E$267,Parameters!$M$3,Calendrier!$C$25:$C$267,EP22))</f>
        <v>0</v>
      </c>
      <c r="KH22" s="50">
        <f>IF(EQ22="","",COUNTIFS($D$25:$D$267,Parameters!$K$2,$E$25:$E$267,Parameters!$M$3,Calendrier!$C$25:$C$267,EQ22)+ COUNTIFS($D$25:$D$267,Parameters!$K$4,$E$25:$E$267,Parameters!$M$3,Calendrier!$C$25:$C$267,EQ22))</f>
        <v>0</v>
      </c>
      <c r="KI22" s="50">
        <f>IF(ER22="","",COUNTIFS($D$25:$D$267,Parameters!$K$2,$E$25:$E$267,Parameters!$M$3,Calendrier!$C$25:$C$267,ER22)+ COUNTIFS($D$25:$D$267,Parameters!$K$3,$E$25:$E$267,Parameters!$M$3,Calendrier!$C$25:$C$267,ER22))</f>
        <v>0</v>
      </c>
      <c r="KJ22" s="50">
        <f>IF(ES22="","",COUNTIFS($D$25:$D$267,Parameters!$K$2,$E$25:$E$267,Parameters!$M$3,Calendrier!$C$25:$C$267,ES22)+ COUNTIFS($D$25:$D$267,Parameters!$K$4,$E$25:$E$267,Parameters!$M$3,Calendrier!$C$25:$C$267,ES22))</f>
        <v>0</v>
      </c>
      <c r="KK22" s="50">
        <f>IF(ET22="","",COUNTIFS($D$25:$D$267,Parameters!$K$2,$E$25:$E$267,Parameters!$M$3,Calendrier!$C$25:$C$267,ET22)+ COUNTIFS($D$25:$D$267,Parameters!$K$3,$E$25:$E$267,Parameters!$M$3,Calendrier!$C$25:$C$267,ET22))</f>
        <v>0</v>
      </c>
      <c r="KL22" s="50">
        <f>IF(EU22="","",COUNTIFS($D$25:$D$267,Parameters!$K$2,$E$25:$E$267,Parameters!$M$3,Calendrier!$C$25:$C$267,EU22)+ COUNTIFS($D$25:$D$267,Parameters!$K$4,$E$25:$E$267,Parameters!$M$3,Calendrier!$C$25:$C$267,EU22))</f>
        <v>0</v>
      </c>
      <c r="KM22" s="50">
        <f>IF(EV22="","",COUNTIFS($D$25:$D$267,Parameters!$K$2,$E$25:$E$267,Parameters!$M$3,Calendrier!$C$25:$C$267,EV22)+ COUNTIFS($D$25:$D$267,Parameters!$K$3,$E$25:$E$267,Parameters!$M$3,Calendrier!$C$25:$C$267,EV22))</f>
        <v>0</v>
      </c>
      <c r="KN22" s="50">
        <f>IF(EW22="","",COUNTIFS($D$25:$D$267,Parameters!$K$2,$E$25:$E$267,Parameters!$M$3,Calendrier!$C$25:$C$267,EW22)+ COUNTIFS($D$25:$D$267,Parameters!$K$4,$E$25:$E$267,Parameters!$M$3,Calendrier!$C$25:$C$267,EW22))</f>
        <v>0</v>
      </c>
      <c r="KO22" s="50">
        <f>IF(EX22="","",COUNTIFS($D$25:$D$267,Parameters!$K$2,$E$25:$E$267,Parameters!$M$3,Calendrier!$C$25:$C$267,EX22)+ COUNTIFS($D$25:$D$267,Parameters!$K$3,$E$25:$E$267,Parameters!$M$3,Calendrier!$C$25:$C$267,EX22))</f>
        <v>0</v>
      </c>
      <c r="KP22" s="50">
        <f>IF(EY22="","",COUNTIFS($D$25:$D$267,Parameters!$K$2,$E$25:$E$267,Parameters!$M$3,Calendrier!$C$25:$C$267,EY22)+ COUNTIFS($D$25:$D$267,Parameters!$K$4,$E$25:$E$267,Parameters!$M$3,Calendrier!$C$25:$C$267,EY22))</f>
        <v>0</v>
      </c>
      <c r="KQ22" s="50">
        <f>IF(EZ22="","",COUNTIFS($D$25:$D$267,Parameters!$K$2,$E$25:$E$267,Parameters!$M$3,Calendrier!$C$25:$C$267,EZ22)+ COUNTIFS($D$25:$D$267,Parameters!$K$3,$E$25:$E$267,Parameters!$M$3,Calendrier!$C$25:$C$267,EZ22))</f>
        <v>0</v>
      </c>
      <c r="KR22" s="57">
        <f>IF(FA22="","",COUNTIFS($D$25:$D$267,Parameters!$K$2,$E$25:$E$267,Parameters!$M$3,Calendrier!$C$25:$C$267,FA22)+ COUNTIFS($D$25:$D$267,Parameters!$K$4,$E$25:$E$267,Parameters!$M$3,Calendrier!$C$25:$C$267,FA22))</f>
        <v>0</v>
      </c>
      <c r="KV22" s="49">
        <f>IF(DH22="","",COUNTIFS($D$25:$D$267,Parameters!$K$2,$E$25:$E$267,Parameters!$M$4,Calendrier!$C$25:$C$267,DH22)+ COUNTIFS($D$25:$D$267,Parameters!$K$3,$E$25:$E$267,Parameters!$M$4,Calendrier!$C$25:$C$267,DH22))</f>
        <v>0</v>
      </c>
      <c r="KW22" s="50">
        <f>IF(DI22="","",COUNTIFS($D$25:$D$267,Parameters!$K$2,$E$25:$E$267,Parameters!$M$4,Calendrier!$C$25:$C$267,DI22)+ COUNTIFS($D$25:$D$267,Parameters!$K$4,$E$25:$E$267,Parameters!$M$4,Calendrier!$C$25:$C$267,DI22))</f>
        <v>0</v>
      </c>
      <c r="KX22" s="50">
        <f>IF(DJ22="","",COUNTIFS($D$25:$D$267,Parameters!$K$2,$E$25:$E$267,Parameters!$M$4,Calendrier!$C$25:$C$267,DJ22)+ COUNTIFS($D$25:$D$267,Parameters!$K$3,$E$25:$E$267,Parameters!$M$4,Calendrier!$C$25:$C$267,DJ22))</f>
        <v>0</v>
      </c>
      <c r="KY22" s="50">
        <f>IF(DK22="","",COUNTIFS($D$25:$D$267,Parameters!$K$2,$E$25:$E$267,Parameters!$M$4,Calendrier!$C$25:$C$267,DK22)+ COUNTIFS($D$25:$D$267,Parameters!$K$4,$E$25:$E$267,Parameters!$M$4,Calendrier!$C$25:$C$267,DK22))</f>
        <v>0</v>
      </c>
      <c r="KZ22" s="50">
        <f>IF(DL22="","",COUNTIFS($D$25:$D$267,Parameters!$K$2,$E$25:$E$267,Parameters!$M$4,Calendrier!$C$25:$C$267,DL22)+ COUNTIFS($D$25:$D$267,Parameters!$K$3,$E$25:$E$267,Parameters!$M$4,Calendrier!$C$25:$C$267,DL22))</f>
        <v>0</v>
      </c>
      <c r="LA22" s="50">
        <f>IF(DM22="","",COUNTIFS($D$25:$D$267,Parameters!$K$2,$E$25:$E$267,Parameters!$M$4,Calendrier!$C$25:$C$267,DM22)+ COUNTIFS($D$25:$D$267,Parameters!$K$4,$E$25:$E$267,Parameters!$M$4,Calendrier!$C$25:$C$267,DM22))</f>
        <v>0</v>
      </c>
      <c r="LB22" s="50">
        <f>IF(DN22="","",COUNTIFS($D$25:$D$267,Parameters!$K$2,$E$25:$E$267,Parameters!$M$4,Calendrier!$C$25:$C$267,DN22)+ COUNTIFS($D$25:$D$267,Parameters!$K$3,$E$25:$E$267,Parameters!$M$4,Calendrier!$C$25:$C$267,DN22))</f>
        <v>0</v>
      </c>
      <c r="LC22" s="50">
        <f>IF(DO22="","",COUNTIFS($D$25:$D$267,Parameters!$K$2,$E$25:$E$267,Parameters!$M$4,Calendrier!$C$25:$C$267,DO22)+ COUNTIFS($D$25:$D$267,Parameters!$K$4,$E$25:$E$267,Parameters!$M$4,Calendrier!$C$25:$C$267,DO22))</f>
        <v>0</v>
      </c>
      <c r="LD22" s="50">
        <f>IF(DP22="","",COUNTIFS($D$25:$D$267,Parameters!$K$2,$E$25:$E$267,Parameters!$M$4,Calendrier!$C$25:$C$267,DP22)+ COUNTIFS($D$25:$D$267,Parameters!$K$3,$E$25:$E$267,Parameters!$M$4,Calendrier!$C$25:$C$267,DP22))</f>
        <v>0</v>
      </c>
      <c r="LE22" s="50">
        <f>IF(DQ22="","",COUNTIFS($D$25:$D$267,Parameters!$K$2,$E$25:$E$267,Parameters!$M$4,Calendrier!$C$25:$C$267,DQ22)+ COUNTIFS($D$25:$D$267,Parameters!$K$4,$E$25:$E$267,Parameters!$M$4,Calendrier!$C$25:$C$267,DQ22))</f>
        <v>0</v>
      </c>
      <c r="LF22" s="50">
        <f>IF(DR22="","",COUNTIFS($D$25:$D$267,Parameters!$K$2,$E$25:$E$267,Parameters!$M$4,Calendrier!$C$25:$C$267,DR22)+ COUNTIFS($D$25:$D$267,Parameters!$K$3,$E$25:$E$267,Parameters!$M$4,Calendrier!$C$25:$C$267,DR22))</f>
        <v>0</v>
      </c>
      <c r="LG22" s="50">
        <f>IF(DS22="","",COUNTIFS($D$25:$D$267,Parameters!$K$2,$E$25:$E$267,Parameters!$M$4,Calendrier!$C$25:$C$267,DS22)+ COUNTIFS($D$25:$D$267,Parameters!$K$4,$E$25:$E$267,Parameters!$M$4,Calendrier!$C$25:$C$267,DS22))</f>
        <v>0</v>
      </c>
      <c r="LH22" s="50">
        <f>IF(DT22="","",COUNTIFS($D$25:$D$267,Parameters!$K$2,$E$25:$E$267,Parameters!$M$4,Calendrier!$C$25:$C$267,DT22)+ COUNTIFS($D$25:$D$267,Parameters!$K$3,$E$25:$E$267,Parameters!$M$4,Calendrier!$C$25:$C$267,DT22))</f>
        <v>0</v>
      </c>
      <c r="LI22" s="57">
        <f>IF(DU22="","",COUNTIFS($D$25:$D$267,Parameters!$K$2,$E$25:$E$267,Parameters!$M$4,Calendrier!$C$25:$C$267,DU22)+ COUNTIFS($D$25:$D$267,Parameters!$K$4,$E$25:$E$267,Parameters!$M$4,Calendrier!$C$25:$C$267,DU22))</f>
        <v>0</v>
      </c>
      <c r="LL22" s="49">
        <f>IF(DX22="","",COUNTIFS($D$25:$D$267,Parameters!$K$2,$E$25:$E$267,Parameters!$M$4,Calendrier!$C$25:$C$267,DX22)+ COUNTIFS($D$25:$D$267,Parameters!$K$3,$E$25:$E$267,Parameters!$M$4,Calendrier!$C$25:$C$267,DX22))</f>
        <v>0</v>
      </c>
      <c r="LM22" s="50">
        <f>IF(DY22="","",COUNTIFS($D$25:$D$267,Parameters!$K$2,$E$25:$E$267,Parameters!$M$4,Calendrier!$C$25:$C$267,DY22)+ COUNTIFS($D$25:$D$267,Parameters!$K$4,$E$25:$E$267,Parameters!$M$4,Calendrier!$C$25:$C$267,DY22))</f>
        <v>0</v>
      </c>
      <c r="LN22" s="50">
        <f>IF(DZ22="","",COUNTIFS($D$25:$D$267,Parameters!$K$2,$E$25:$E$267,Parameters!$M$4,Calendrier!$C$25:$C$267,DZ22)+ COUNTIFS($D$25:$D$267,Parameters!$K$3,$E$25:$E$267,Parameters!$M$4,Calendrier!$C$25:$C$267,DZ22))</f>
        <v>0</v>
      </c>
      <c r="LO22" s="50">
        <f>IF(EA22="","",COUNTIFS($D$25:$D$267,Parameters!$K$2,$E$25:$E$267,Parameters!$M$4,Calendrier!$C$25:$C$267,EA22)+ COUNTIFS($D$25:$D$267,Parameters!$K$4,$E$25:$E$267,Parameters!$M$4,Calendrier!$C$25:$C$267,EA22))</f>
        <v>0</v>
      </c>
      <c r="LP22" s="50">
        <f>IF(EB22="","",COUNTIFS($D$25:$D$267,Parameters!$K$2,$E$25:$E$267,Parameters!$M$4,Calendrier!$C$25:$C$267,EB22)+ COUNTIFS($D$25:$D$267,Parameters!$K$3,$E$25:$E$267,Parameters!$M$4,Calendrier!$C$25:$C$267,EB22))</f>
        <v>0</v>
      </c>
      <c r="LQ22" s="50">
        <f>IF(EC22="","",COUNTIFS($D$25:$D$267,Parameters!$K$2,$E$25:$E$267,Parameters!$M$4,Calendrier!$C$25:$C$267,EC22)+ COUNTIFS($D$25:$D$267,Parameters!$K$4,$E$25:$E$267,Parameters!$M$4,Calendrier!$C$25:$C$267,EC22))</f>
        <v>0</v>
      </c>
      <c r="LR22" s="50">
        <f>IF(ED22="","",COUNTIFS($D$25:$D$267,Parameters!$K$2,$E$25:$E$267,Parameters!$M$4,Calendrier!$C$25:$C$267,ED22)+ COUNTIFS($D$25:$D$267,Parameters!$K$3,$E$25:$E$267,Parameters!$M$4,Calendrier!$C$25:$C$267,ED22))</f>
        <v>0</v>
      </c>
      <c r="LS22" s="50">
        <f>IF(EE22="","",COUNTIFS($D$25:$D$267,Parameters!$K$2,$E$25:$E$267,Parameters!$M$4,Calendrier!$C$25:$C$267,EE22)+ COUNTIFS($D$25:$D$267,Parameters!$K$4,$E$25:$E$267,Parameters!$M$4,Calendrier!$C$25:$C$267,EE22))</f>
        <v>0</v>
      </c>
      <c r="LT22" s="50">
        <f>IF(EF22="","",COUNTIFS($D$25:$D$267,Parameters!$K$2,$E$25:$E$267,Parameters!$M$4,Calendrier!$C$25:$C$267,EF22)+ COUNTIFS($D$25:$D$267,Parameters!$K$3,$E$25:$E$267,Parameters!$M$4,Calendrier!$C$25:$C$267,EF22))</f>
        <v>0</v>
      </c>
      <c r="LU22" s="50">
        <f>IF(EG22="","",COUNTIFS($D$25:$D$267,Parameters!$K$2,$E$25:$E$267,Parameters!$M$4,Calendrier!$C$25:$C$267,EG22)+ COUNTIFS($D$25:$D$267,Parameters!$K$4,$E$25:$E$267,Parameters!$M$4,Calendrier!$C$25:$C$267,EG22))</f>
        <v>0</v>
      </c>
      <c r="LV22" s="50">
        <f>IF(EH22="","",COUNTIFS($D$25:$D$267,Parameters!$K$2,$E$25:$E$267,Parameters!$M$4,Calendrier!$C$25:$C$267,EH22)+ COUNTIFS($D$25:$D$267,Parameters!$K$3,$E$25:$E$267,Parameters!$M$4,Calendrier!$C$25:$C$267,EH22))</f>
        <v>0</v>
      </c>
      <c r="LW22" s="50">
        <f>IF(EI22="","",COUNTIFS($D$25:$D$267,Parameters!$K$2,$E$25:$E$267,Parameters!$M$4,Calendrier!$C$25:$C$267,EI22)+ COUNTIFS($D$25:$D$267,Parameters!$K$4,$E$25:$E$267,Parameters!$M$4,Calendrier!$C$25:$C$267,EI22))</f>
        <v>0</v>
      </c>
      <c r="LX22" s="50">
        <f>IF(EJ22="","",COUNTIFS($D$25:$D$267,Parameters!$K$2,$E$25:$E$267,Parameters!$M$4,Calendrier!$C$25:$C$267,EJ22)+ COUNTIFS($D$25:$D$267,Parameters!$K$3,$E$25:$E$267,Parameters!$M$4,Calendrier!$C$25:$C$267,EJ22))</f>
        <v>0</v>
      </c>
      <c r="LY22" s="57">
        <f>IF(EK22="","",COUNTIFS($D$25:$D$267,Parameters!$K$2,$E$25:$E$267,Parameters!$M$4,Calendrier!$C$25:$C$267,EK22)+ COUNTIFS($D$25:$D$267,Parameters!$K$4,$E$25:$E$267,Parameters!$M$4,Calendrier!$C$25:$C$267,EK22))</f>
        <v>0</v>
      </c>
      <c r="MB22" s="49">
        <f>IF(EN22="","",COUNTIFS($D$25:$D$267,Parameters!$K$2,$E$25:$E$267,Parameters!$M$4,Calendrier!$C$25:$C$267,EN22)+ COUNTIFS($D$25:$D$267,Parameters!$K$3,$E$25:$E$267,Parameters!$M$4,Calendrier!$C$25:$C$267,EN22))</f>
        <v>0</v>
      </c>
      <c r="MC22" s="50">
        <f>IF(EO22="","",COUNTIFS($D$25:$D$267,Parameters!$K$2,$E$25:$E$267,Parameters!$M$4,Calendrier!$C$25:$C$267,EO22)+ COUNTIFS($D$25:$D$267,Parameters!$K$4,$E$25:$E$267,Parameters!$M$4,Calendrier!$C$25:$C$267,EO22))</f>
        <v>0</v>
      </c>
      <c r="MD22" s="50">
        <f>IF(EP22="","",COUNTIFS($D$25:$D$267,Parameters!$K$2,$E$25:$E$267,Parameters!$M$4,Calendrier!$C$25:$C$267,EP22)+ COUNTIFS($D$25:$D$267,Parameters!$K$3,$E$25:$E$267,Parameters!$M$4,Calendrier!$C$25:$C$267,EP22))</f>
        <v>0</v>
      </c>
      <c r="ME22" s="50">
        <f>IF(EQ22="","",COUNTIFS($D$25:$D$267,Parameters!$K$2,$E$25:$E$267,Parameters!$M$4,Calendrier!$C$25:$C$267,EQ22)+ COUNTIFS($D$25:$D$267,Parameters!$K$4,$E$25:$E$267,Parameters!$M$4,Calendrier!$C$25:$C$267,EQ22))</f>
        <v>0</v>
      </c>
      <c r="MF22" s="50">
        <f>IF(ER22="","",COUNTIFS($D$25:$D$267,Parameters!$K$2,$E$25:$E$267,Parameters!$M$4,Calendrier!$C$25:$C$267,ER22)+ COUNTIFS($D$25:$D$267,Parameters!$K$3,$E$25:$E$267,Parameters!$M$4,Calendrier!$C$25:$C$267,ER22))</f>
        <v>0</v>
      </c>
      <c r="MG22" s="50">
        <f>IF(ES22="","",COUNTIFS($D$25:$D$267,Parameters!$K$2,$E$25:$E$267,Parameters!$M$4,Calendrier!$C$25:$C$267,ES22)+ COUNTIFS($D$25:$D$267,Parameters!$K$4,$E$25:$E$267,Parameters!$M$4,Calendrier!$C$25:$C$267,ES22))</f>
        <v>0</v>
      </c>
      <c r="MH22" s="50">
        <f>IF(ET22="","",COUNTIFS($D$25:$D$267,Parameters!$K$2,$E$25:$E$267,Parameters!$M$4,Calendrier!$C$25:$C$267,ET22)+ COUNTIFS($D$25:$D$267,Parameters!$K$3,$E$25:$E$267,Parameters!$M$4,Calendrier!$C$25:$C$267,ET22))</f>
        <v>0</v>
      </c>
      <c r="MI22" s="50">
        <f>IF(EU22="","",COUNTIFS($D$25:$D$267,Parameters!$K$2,$E$25:$E$267,Parameters!$M$4,Calendrier!$C$25:$C$267,EU22)+ COUNTIFS($D$25:$D$267,Parameters!$K$4,$E$25:$E$267,Parameters!$M$4,Calendrier!$C$25:$C$267,EU22))</f>
        <v>0</v>
      </c>
      <c r="MJ22" s="50">
        <f>IF(EV22="","",COUNTIFS($D$25:$D$267,Parameters!$K$2,$E$25:$E$267,Parameters!$M$4,Calendrier!$C$25:$C$267,EV22)+ COUNTIFS($D$25:$D$267,Parameters!$K$3,$E$25:$E$267,Parameters!$M$4,Calendrier!$C$25:$C$267,EV22))</f>
        <v>0</v>
      </c>
      <c r="MK22" s="50">
        <f>IF(EW22="","",COUNTIFS($D$25:$D$267,Parameters!$K$2,$E$25:$E$267,Parameters!$M$4,Calendrier!$C$25:$C$267,EW22)+ COUNTIFS($D$25:$D$267,Parameters!$K$4,$E$25:$E$267,Parameters!$M$4,Calendrier!$C$25:$C$267,EW22))</f>
        <v>0</v>
      </c>
      <c r="ML22" s="50">
        <f>IF(EX22="","",COUNTIFS($D$25:$D$267,Parameters!$K$2,$E$25:$E$267,Parameters!$M$4,Calendrier!$C$25:$C$267,EX22)+ COUNTIFS($D$25:$D$267,Parameters!$K$3,$E$25:$E$267,Parameters!$M$4,Calendrier!$C$25:$C$267,EX22))</f>
        <v>0</v>
      </c>
      <c r="MM22" s="50">
        <f>IF(EY22="","",COUNTIFS($D$25:$D$267,Parameters!$K$2,$E$25:$E$267,Parameters!$M$4,Calendrier!$C$25:$C$267,EY22)+ COUNTIFS($D$25:$D$267,Parameters!$K$4,$E$25:$E$267,Parameters!$M$4,Calendrier!$C$25:$C$267,EY22))</f>
        <v>0</v>
      </c>
      <c r="MN22" s="50">
        <f>IF(EZ22="","",COUNTIFS($D$25:$D$267,Parameters!$K$2,$E$25:$E$267,Parameters!$M$4,Calendrier!$C$25:$C$267,EZ22)+ COUNTIFS($D$25:$D$267,Parameters!$K$3,$E$25:$E$267,Parameters!$M$4,Calendrier!$C$25:$C$267,EZ22))</f>
        <v>0</v>
      </c>
      <c r="MO22" s="57">
        <f>IF(FA22="","",COUNTIFS($D$25:$D$267,Parameters!$K$2,$E$25:$E$267,Parameters!$M$4,Calendrier!$C$25:$C$267,FA22)+ COUNTIFS($D$25:$D$267,Parameters!$K$4,$E$25:$E$267,Parameters!$M$4,Calendrier!$C$25:$C$267,FA22))</f>
        <v>0</v>
      </c>
      <c r="MS22" s="49">
        <f>IF(DH22="","",COUNTIFS($D$25:$D$267,Parameters!$K$2,$E$25:$E$267,Parameters!$M$5,Calendrier!$C$25:$C$267,DH22)+ COUNTIFS($D$25:$D$267,Parameters!$K$3,$E$25:$E$267,Parameters!$M$5,Calendrier!$C$25:$C$267,DH22))</f>
        <v>0</v>
      </c>
      <c r="MT22" s="50">
        <f>IF(DI22="","",COUNTIFS($D$25:$D$267,Parameters!$K$2,$E$25:$E$267,Parameters!$M$5,Calendrier!$C$25:$C$267,DI22)+ COUNTIFS($D$25:$D$267,Parameters!$K$4,$E$25:$E$267,Parameters!$M$5,Calendrier!$C$25:$C$267,DI22))</f>
        <v>0</v>
      </c>
      <c r="MU22" s="50">
        <f>IF(DJ22="","",COUNTIFS($D$25:$D$267,Parameters!$K$2,$E$25:$E$267,Parameters!$M$5,Calendrier!$C$25:$C$267,DJ22)+ COUNTIFS($D$25:$D$267,Parameters!$K$3,$E$25:$E$267,Parameters!$M$5,Calendrier!$C$25:$C$267,DJ22))</f>
        <v>0</v>
      </c>
      <c r="MV22" s="50">
        <f>IF(DK22="","",COUNTIFS($D$25:$D$267,Parameters!$K$2,$E$25:$E$267,Parameters!$M$5,Calendrier!$C$25:$C$267,DK22)+ COUNTIFS($D$25:$D$267,Parameters!$K$4,$E$25:$E$267,Parameters!$M$5,Calendrier!$C$25:$C$267,DK22))</f>
        <v>0</v>
      </c>
      <c r="MW22" s="50">
        <f>IF(DL22="","",COUNTIFS($D$25:$D$267,Parameters!$K$2,$E$25:$E$267,Parameters!$M$5,Calendrier!$C$25:$C$267,DL22)+ COUNTIFS($D$25:$D$267,Parameters!$K$3,$E$25:$E$267,Parameters!$M$5,Calendrier!$C$25:$C$267,DL22))</f>
        <v>0</v>
      </c>
      <c r="MX22" s="50">
        <f>IF(DM22="","",COUNTIFS($D$25:$D$267,Parameters!$K$2,$E$25:$E$267,Parameters!$M$5,Calendrier!$C$25:$C$267,DM22)+ COUNTIFS($D$25:$D$267,Parameters!$K$4,$E$25:$E$267,Parameters!$M$5,Calendrier!$C$25:$C$267,DM22))</f>
        <v>0</v>
      </c>
      <c r="MY22" s="50">
        <f>IF(DN22="","",COUNTIFS($D$25:$D$267,Parameters!$K$2,$E$25:$E$267,Parameters!$M$5,Calendrier!$C$25:$C$267,DN22)+ COUNTIFS($D$25:$D$267,Parameters!$K$3,$E$25:$E$267,Parameters!$M$5,Calendrier!$C$25:$C$267,DN22))</f>
        <v>0</v>
      </c>
      <c r="MZ22" s="50">
        <f>IF(DO22="","",COUNTIFS($D$25:$D$267,Parameters!$K$2,$E$25:$E$267,Parameters!$M$5,Calendrier!$C$25:$C$267,DO22)+ COUNTIFS($D$25:$D$267,Parameters!$K$4,$E$25:$E$267,Parameters!$M$5,Calendrier!$C$25:$C$267,DO22))</f>
        <v>0</v>
      </c>
      <c r="NA22" s="50">
        <f>IF(DP22="","",COUNTIFS($D$25:$D$267,Parameters!$K$2,$E$25:$E$267,Parameters!$M$5,Calendrier!$C$25:$C$267,DP22)+ COUNTIFS($D$25:$D$267,Parameters!$K$3,$E$25:$E$267,Parameters!$M$5,Calendrier!$C$25:$C$267,DP22))</f>
        <v>0</v>
      </c>
      <c r="NB22" s="50">
        <f>IF(DQ22="","",COUNTIFS($D$25:$D$267,Parameters!$K$2,$E$25:$E$267,Parameters!$M$5,Calendrier!$C$25:$C$267,DQ22)+ COUNTIFS($D$25:$D$267,Parameters!$K$4,$E$25:$E$267,Parameters!$M$5,Calendrier!$C$25:$C$267,DQ22))</f>
        <v>0</v>
      </c>
      <c r="NC22" s="50">
        <f>IF(DR22="","",COUNTIFS($D$25:$D$267,Parameters!$K$2,$E$25:$E$267,Parameters!$M$5,Calendrier!$C$25:$C$267,DR22)+ COUNTIFS($D$25:$D$267,Parameters!$K$3,$E$25:$E$267,Parameters!$M$5,Calendrier!$C$25:$C$267,DR22))</f>
        <v>0</v>
      </c>
      <c r="ND22" s="50">
        <f>IF(DS22="","",COUNTIFS($D$25:$D$267,Parameters!$K$2,$E$25:$E$267,Parameters!$M$5,Calendrier!$C$25:$C$267,DS22)+ COUNTIFS($D$25:$D$267,Parameters!$K$4,$E$25:$E$267,Parameters!$M$5,Calendrier!$C$25:$C$267,DS22))</f>
        <v>0</v>
      </c>
      <c r="NE22" s="50">
        <f>IF(DT22="","",COUNTIFS($D$25:$D$267,Parameters!$K$2,$E$25:$E$267,Parameters!$M$5,Calendrier!$C$25:$C$267,DT22)+ COUNTIFS($D$25:$D$267,Parameters!$K$3,$E$25:$E$267,Parameters!$M$5,Calendrier!$C$25:$C$267,DT22))</f>
        <v>0</v>
      </c>
      <c r="NF22" s="57">
        <f>IF(DU22="","",COUNTIFS($D$25:$D$267,Parameters!$K$2,$E$25:$E$267,Parameters!$M$5,Calendrier!$C$25:$C$267,DU22)+ COUNTIFS($D$25:$D$267,Parameters!$K$4,$E$25:$E$267,Parameters!$M$5,Calendrier!$C$25:$C$267,DU22))</f>
        <v>0</v>
      </c>
      <c r="NI22" s="49">
        <f>IF(DX22="","",COUNTIFS($D$25:$D$267,Parameters!$K$2,$E$25:$E$267,Parameters!$M$5,Calendrier!$C$25:$C$267,DX22)+ COUNTIFS($D$25:$D$267,Parameters!$K$3,$E$25:$E$267,Parameters!$M$5,Calendrier!$C$25:$C$267,DX22))</f>
        <v>0</v>
      </c>
      <c r="NJ22" s="50">
        <f>IF(DY22="","",COUNTIFS($D$25:$D$267,Parameters!$K$2,$E$25:$E$267,Parameters!$M$5,Calendrier!$C$25:$C$267,DY22)+ COUNTIFS($D$25:$D$267,Parameters!$K$4,$E$25:$E$267,Parameters!$M$5,Calendrier!$C$25:$C$267,DY22))</f>
        <v>0</v>
      </c>
      <c r="NK22" s="50">
        <f>IF(DZ22="","",COUNTIFS($D$25:$D$267,Parameters!$K$2,$E$25:$E$267,Parameters!$M$5,Calendrier!$C$25:$C$267,DZ22)+ COUNTIFS($D$25:$D$267,Parameters!$K$3,$E$25:$E$267,Parameters!$M$5,Calendrier!$C$25:$C$267,DZ22))</f>
        <v>0</v>
      </c>
      <c r="NL22" s="50">
        <f>IF(EA22="","",COUNTIFS($D$25:$D$267,Parameters!$K$2,$E$25:$E$267,Parameters!$M$5,Calendrier!$C$25:$C$267,EA22)+ COUNTIFS($D$25:$D$267,Parameters!$K$4,$E$25:$E$267,Parameters!$M$5,Calendrier!$C$25:$C$267,EA22))</f>
        <v>0</v>
      </c>
      <c r="NM22" s="50">
        <f>IF(EB22="","",COUNTIFS($D$25:$D$267,Parameters!$K$2,$E$25:$E$267,Parameters!$M$5,Calendrier!$C$25:$C$267,EB22)+ COUNTIFS($D$25:$D$267,Parameters!$K$3,$E$25:$E$267,Parameters!$M$5,Calendrier!$C$25:$C$267,EB22))</f>
        <v>0</v>
      </c>
      <c r="NN22" s="50">
        <f>IF(EC22="","",COUNTIFS($D$25:$D$267,Parameters!$K$2,$E$25:$E$267,Parameters!$M$5,Calendrier!$C$25:$C$267,EC22)+ COUNTIFS($D$25:$D$267,Parameters!$K$4,$E$25:$E$267,Parameters!$M$5,Calendrier!$C$25:$C$267,EC22))</f>
        <v>0</v>
      </c>
      <c r="NO22" s="50">
        <f>IF(ED22="","",COUNTIFS($D$25:$D$267,Parameters!$K$2,$E$25:$E$267,Parameters!$M$5,Calendrier!$C$25:$C$267,ED22)+ COUNTIFS($D$25:$D$267,Parameters!$K$3,$E$25:$E$267,Parameters!$M$5,Calendrier!$C$25:$C$267,ED22))</f>
        <v>0</v>
      </c>
      <c r="NP22" s="50">
        <f>IF(EE22="","",COUNTIFS($D$25:$D$267,Parameters!$K$2,$E$25:$E$267,Parameters!$M$5,Calendrier!$C$25:$C$267,EE22)+ COUNTIFS($D$25:$D$267,Parameters!$K$4,$E$25:$E$267,Parameters!$M$5,Calendrier!$C$25:$C$267,EE22))</f>
        <v>0</v>
      </c>
      <c r="NQ22" s="50">
        <f>IF(EF22="","",COUNTIFS($D$25:$D$267,Parameters!$K$2,$E$25:$E$267,Parameters!$M$5,Calendrier!$C$25:$C$267,EF22)+ COUNTIFS($D$25:$D$267,Parameters!$K$3,$E$25:$E$267,Parameters!$M$5,Calendrier!$C$25:$C$267,EF22))</f>
        <v>0</v>
      </c>
      <c r="NR22" s="50">
        <f>IF(EG22="","",COUNTIFS($D$25:$D$267,Parameters!$K$2,$E$25:$E$267,Parameters!$M$5,Calendrier!$C$25:$C$267,EG22)+ COUNTIFS($D$25:$D$267,Parameters!$K$4,$E$25:$E$267,Parameters!$M$5,Calendrier!$C$25:$C$267,EG22))</f>
        <v>0</v>
      </c>
      <c r="NS22" s="50">
        <f>IF(EH22="","",COUNTIFS($D$25:$D$267,Parameters!$K$2,$E$25:$E$267,Parameters!$M$5,Calendrier!$C$25:$C$267,EH22)+ COUNTIFS($D$25:$D$267,Parameters!$K$3,$E$25:$E$267,Parameters!$M$5,Calendrier!$C$25:$C$267,EH22))</f>
        <v>0</v>
      </c>
      <c r="NT22" s="50">
        <f>IF(EI22="","",COUNTIFS($D$25:$D$267,Parameters!$K$2,$E$25:$E$267,Parameters!$M$5,Calendrier!$C$25:$C$267,EI22)+ COUNTIFS($D$25:$D$267,Parameters!$K$4,$E$25:$E$267,Parameters!$M$5,Calendrier!$C$25:$C$267,EI22))</f>
        <v>0</v>
      </c>
      <c r="NU22" s="50">
        <f>IF(EJ22="","",COUNTIFS($D$25:$D$267,Parameters!$K$2,$E$25:$E$267,Parameters!$M$5,Calendrier!$C$25:$C$267,EJ22)+ COUNTIFS($D$25:$D$267,Parameters!$K$3,$E$25:$E$267,Parameters!$M$5,Calendrier!$C$25:$C$267,EJ22))</f>
        <v>0</v>
      </c>
      <c r="NV22" s="57">
        <f>IF(EK22="","",COUNTIFS($D$25:$D$267,Parameters!$K$2,$E$25:$E$267,Parameters!$M$5,Calendrier!$C$25:$C$267,EK22)+ COUNTIFS($D$25:$D$267,Parameters!$K$4,$E$25:$E$267,Parameters!$M$5,Calendrier!$C$25:$C$267,EK22))</f>
        <v>0</v>
      </c>
      <c r="NY22" s="49">
        <f>IF(EN22="","",COUNTIFS($D$25:$D$267,Parameters!$K$2,$E$25:$E$267,Parameters!$M$5,Calendrier!$C$25:$C$267,EN22)+ COUNTIFS($D$25:$D$267,Parameters!$K$3,$E$25:$E$267,Parameters!$M$5,Calendrier!$C$25:$C$267,EN22))</f>
        <v>0</v>
      </c>
      <c r="NZ22" s="50">
        <f>IF(EO22="","",COUNTIFS($D$25:$D$267,Parameters!$K$2,$E$25:$E$267,Parameters!$M$5,Calendrier!$C$25:$C$267,EO22)+ COUNTIFS($D$25:$D$267,Parameters!$K$4,$E$25:$E$267,Parameters!$M$5,Calendrier!$C$25:$C$267,EO22))</f>
        <v>0</v>
      </c>
      <c r="OA22" s="50">
        <f>IF(EP22="","",COUNTIFS($D$25:$D$267,Parameters!$K$2,$E$25:$E$267,Parameters!$M$5,Calendrier!$C$25:$C$267,EP22)+ COUNTIFS($D$25:$D$267,Parameters!$K$3,$E$25:$E$267,Parameters!$M$5,Calendrier!$C$25:$C$267,EP22))</f>
        <v>0</v>
      </c>
      <c r="OB22" s="50">
        <f>IF(EQ22="","",COUNTIFS($D$25:$D$267,Parameters!$K$2,$E$25:$E$267,Parameters!$M$5,Calendrier!$C$25:$C$267,EQ22)+ COUNTIFS($D$25:$D$267,Parameters!$K$4,$E$25:$E$267,Parameters!$M$5,Calendrier!$C$25:$C$267,EQ22))</f>
        <v>0</v>
      </c>
      <c r="OC22" s="50">
        <f>IF(ER22="","",COUNTIFS($D$25:$D$267,Parameters!$K$2,$E$25:$E$267,Parameters!$M$5,Calendrier!$C$25:$C$267,ER22)+ COUNTIFS($D$25:$D$267,Parameters!$K$3,$E$25:$E$267,Parameters!$M$5,Calendrier!$C$25:$C$267,ER22))</f>
        <v>0</v>
      </c>
      <c r="OD22" s="50">
        <f>IF(ES22="","",COUNTIFS($D$25:$D$267,Parameters!$K$2,$E$25:$E$267,Parameters!$M$5,Calendrier!$C$25:$C$267,ES22)+ COUNTIFS($D$25:$D$267,Parameters!$K$4,$E$25:$E$267,Parameters!$M$5,Calendrier!$C$25:$C$267,ES22))</f>
        <v>0</v>
      </c>
      <c r="OE22" s="50">
        <f>IF(ET22="","",COUNTIFS($D$25:$D$267,Parameters!$K$2,$E$25:$E$267,Parameters!$M$5,Calendrier!$C$25:$C$267,ET22)+ COUNTIFS($D$25:$D$267,Parameters!$K$3,$E$25:$E$267,Parameters!$M$5,Calendrier!$C$25:$C$267,ET22))</f>
        <v>0</v>
      </c>
      <c r="OF22" s="50">
        <f>IF(EU22="","",COUNTIFS($D$25:$D$267,Parameters!$K$2,$E$25:$E$267,Parameters!$M$5,Calendrier!$C$25:$C$267,EU22)+ COUNTIFS($D$25:$D$267,Parameters!$K$4,$E$25:$E$267,Parameters!$M$5,Calendrier!$C$25:$C$267,EU22))</f>
        <v>0</v>
      </c>
      <c r="OG22" s="50">
        <f>IF(EV22="","",COUNTIFS($D$25:$D$267,Parameters!$K$2,$E$25:$E$267,Parameters!$M$5,Calendrier!$C$25:$C$267,EV22)+ COUNTIFS($D$25:$D$267,Parameters!$K$3,$E$25:$E$267,Parameters!$M$5,Calendrier!$C$25:$C$267,EV22))</f>
        <v>0</v>
      </c>
      <c r="OH22" s="50">
        <f>IF(EW22="","",COUNTIFS($D$25:$D$267,Parameters!$K$2,$E$25:$E$267,Parameters!$M$5,Calendrier!$C$25:$C$267,EW22)+ COUNTIFS($D$25:$D$267,Parameters!$K$4,$E$25:$E$267,Parameters!$M$5,Calendrier!$C$25:$C$267,EW22))</f>
        <v>0</v>
      </c>
      <c r="OI22" s="50">
        <f>IF(EX22="","",COUNTIFS($D$25:$D$267,Parameters!$K$2,$E$25:$E$267,Parameters!$M$5,Calendrier!$C$25:$C$267,EX22)+ COUNTIFS($D$25:$D$267,Parameters!$K$3,$E$25:$E$267,Parameters!$M$5,Calendrier!$C$25:$C$267,EX22))</f>
        <v>0</v>
      </c>
      <c r="OJ22" s="50">
        <f>IF(EY22="","",COUNTIFS($D$25:$D$267,Parameters!$K$2,$E$25:$E$267,Parameters!$M$5,Calendrier!$C$25:$C$267,EY22)+ COUNTIFS($D$25:$D$267,Parameters!$K$4,$E$25:$E$267,Parameters!$M$5,Calendrier!$C$25:$C$267,EY22))</f>
        <v>0</v>
      </c>
      <c r="OK22" s="50">
        <f>IF(EZ22="","",COUNTIFS($D$25:$D$267,Parameters!$K$2,$E$25:$E$267,Parameters!$M$5,Calendrier!$C$25:$C$267,EZ22)+ COUNTIFS($D$25:$D$267,Parameters!$K$3,$E$25:$E$267,Parameters!$M$5,Calendrier!$C$25:$C$267,EZ22))</f>
        <v>0</v>
      </c>
      <c r="OL22" s="57">
        <f>IF(FA22="","",COUNTIFS($D$25:$D$267,Parameters!$K$2,$E$25:$E$267,Parameters!$M$5,Calendrier!$C$25:$C$267,FA22)+ COUNTIFS($D$25:$D$267,Parameters!$K$4,$E$25:$E$267,Parameters!$M$5,Calendrier!$C$25:$C$267,FA22))</f>
        <v>0</v>
      </c>
      <c r="OP22" s="49">
        <f>IF(DH22="","",COUNTIFS(Parameters!$Y:$Y,$BF$4,Parameters!$X:$X,DH22))</f>
        <v>0</v>
      </c>
      <c r="OQ22" s="50">
        <f>IF(DI22="","",COUNTIFS(Parameters!$Y:$Y,$BF$4,Parameters!$X:$X,DI22))</f>
        <v>0</v>
      </c>
      <c r="OR22" s="50">
        <f>IF(DJ22="","",COUNTIFS(Parameters!$Y:$Y,$BF$4,Parameters!$X:$X,DJ22))</f>
        <v>0</v>
      </c>
      <c r="OS22" s="50">
        <f>IF(DK22="","",COUNTIFS(Parameters!$Y:$Y,$BF$4,Parameters!$X:$X,DK22))</f>
        <v>0</v>
      </c>
      <c r="OT22" s="50">
        <f>IF(DL22="","",COUNTIFS(Parameters!$Y:$Y,$BF$4,Parameters!$X:$X,DL22))</f>
        <v>0</v>
      </c>
      <c r="OU22" s="50">
        <f>IF(DM22="","",COUNTIFS(Parameters!$Y:$Y,$BF$4,Parameters!$X:$X,DM22))</f>
        <v>0</v>
      </c>
      <c r="OV22" s="50">
        <f>IF(DN22="","",COUNTIFS(Parameters!$Y:$Y,$BF$4,Parameters!$X:$X,DN22))</f>
        <v>0</v>
      </c>
      <c r="OW22" s="50">
        <f>IF(DO22="","",COUNTIFS(Parameters!$Y:$Y,$BF$4,Parameters!$X:$X,DO22))</f>
        <v>0</v>
      </c>
      <c r="OX22" s="50">
        <f>IF(DP22="","",COUNTIFS(Parameters!$Y:$Y,$BF$4,Parameters!$X:$X,DP22))</f>
        <v>0</v>
      </c>
      <c r="OY22" s="50">
        <f>IF(DQ22="","",COUNTIFS(Parameters!$Y:$Y,$BF$4,Parameters!$X:$X,DQ22))</f>
        <v>0</v>
      </c>
      <c r="OZ22" s="50">
        <f>IF(DR22="","",COUNTIFS(Parameters!$Y:$Y,$BF$4,Parameters!$X:$X,DR22))</f>
        <v>0</v>
      </c>
      <c r="PA22" s="50">
        <f>IF(DS22="","",COUNTIFS(Parameters!$Y:$Y,$BF$4,Parameters!$X:$X,DS22))</f>
        <v>0</v>
      </c>
      <c r="PB22" s="50">
        <f>IF(DT22="","",COUNTIFS(Parameters!$Y:$Y,$BF$4,Parameters!$X:$X,DT22))</f>
        <v>0</v>
      </c>
      <c r="PC22" s="57">
        <f>IF(DU22="","",COUNTIFS(Parameters!$Y:$Y,$BF$4,Parameters!$X:$X,DU22))</f>
        <v>0</v>
      </c>
      <c r="PF22" s="49">
        <f>IF(DX22="","",COUNTIFS(Parameters!$Y:$Y,$BF$4,Parameters!$X:$X,DX22))</f>
        <v>0</v>
      </c>
      <c r="PG22" s="50">
        <f>IF(DY22="","",COUNTIFS(Parameters!$Y:$Y,$BF$4,Parameters!$X:$X,DY22))</f>
        <v>0</v>
      </c>
      <c r="PH22" s="50">
        <f>IF(DZ22="","",COUNTIFS(Parameters!$Y:$Y,$BF$4,Parameters!$X:$X,DZ22))</f>
        <v>0</v>
      </c>
      <c r="PI22" s="50">
        <f>IF(EA22="","",COUNTIFS(Parameters!$Y:$Y,$BF$4,Parameters!$X:$X,EA22))</f>
        <v>0</v>
      </c>
      <c r="PJ22" s="50">
        <f>IF(EB22="","",COUNTIFS(Parameters!$Y:$Y,$BF$4,Parameters!$X:$X,EB22))</f>
        <v>0</v>
      </c>
      <c r="PK22" s="50">
        <f>IF(EC22="","",COUNTIFS(Parameters!$Y:$Y,$BF$4,Parameters!$X:$X,EC22))</f>
        <v>0</v>
      </c>
      <c r="PL22" s="50">
        <f>IF(ED22="","",COUNTIFS(Parameters!$Y:$Y,$BF$4,Parameters!$X:$X,ED22))</f>
        <v>0</v>
      </c>
      <c r="PM22" s="50">
        <f>IF(EE22="","",COUNTIFS(Parameters!$Y:$Y,$BF$4,Parameters!$X:$X,EE22))</f>
        <v>0</v>
      </c>
      <c r="PN22" s="50">
        <f>IF(EF22="","",COUNTIFS(Parameters!$Y:$Y,$BF$4,Parameters!$X:$X,EF22))</f>
        <v>0</v>
      </c>
      <c r="PO22" s="50">
        <f>IF(EG22="","",COUNTIFS(Parameters!$Y:$Y,$BF$4,Parameters!$X:$X,EG22))</f>
        <v>0</v>
      </c>
      <c r="PP22" s="50">
        <f>IF(EH22="","",COUNTIFS(Parameters!$Y:$Y,$BF$4,Parameters!$X:$X,EH22))</f>
        <v>0</v>
      </c>
      <c r="PQ22" s="50">
        <f>IF(EI22="","",COUNTIFS(Parameters!$Y:$Y,$BF$4,Parameters!$X:$X,EI22))</f>
        <v>0</v>
      </c>
      <c r="PR22" s="50">
        <f>IF(EJ22="","",COUNTIFS(Parameters!$Y:$Y,$BF$4,Parameters!$X:$X,EJ22))</f>
        <v>0</v>
      </c>
      <c r="PS22" s="57">
        <f>IF(EK22="","",COUNTIFS(Parameters!$Y:$Y,$BF$4,Parameters!$X:$X,EK22))</f>
        <v>0</v>
      </c>
      <c r="PV22" s="49">
        <f>IF(EN22="","",COUNTIFS(Parameters!$Y:$Y,$BF$4,Parameters!$X:$X,EN22))</f>
        <v>0</v>
      </c>
      <c r="PW22" s="50">
        <f>IF(EO22="","",COUNTIFS(Parameters!$Y:$Y,$BF$4,Parameters!$X:$X,EO22))</f>
        <v>0</v>
      </c>
      <c r="PX22" s="50">
        <f>IF(EP22="","",COUNTIFS(Parameters!$Y:$Y,$BF$4,Parameters!$X:$X,EP22))</f>
        <v>0</v>
      </c>
      <c r="PY22" s="50">
        <f>IF(EQ22="","",COUNTIFS(Parameters!$Y:$Y,$BF$4,Parameters!$X:$X,EQ22))</f>
        <v>0</v>
      </c>
      <c r="PZ22" s="50">
        <f>IF(ER22="","",COUNTIFS(Parameters!$Y:$Y,$BF$4,Parameters!$X:$X,ER22))</f>
        <v>0</v>
      </c>
      <c r="QA22" s="50">
        <f>IF(ES22="","",COUNTIFS(Parameters!$Y:$Y,$BF$4,Parameters!$X:$X,ES22))</f>
        <v>0</v>
      </c>
      <c r="QB22" s="50">
        <f>IF(ET22="","",COUNTIFS(Parameters!$Y:$Y,$BF$4,Parameters!$X:$X,ET22))</f>
        <v>0</v>
      </c>
      <c r="QC22" s="50">
        <f>IF(EU22="","",COUNTIFS(Parameters!$Y:$Y,$BF$4,Parameters!$X:$X,EU22))</f>
        <v>0</v>
      </c>
      <c r="QD22" s="50">
        <f>IF(EV22="","",COUNTIFS(Parameters!$Y:$Y,$BF$4,Parameters!$X:$X,EV22))</f>
        <v>0</v>
      </c>
      <c r="QE22" s="50">
        <f>IF(EW22="","",COUNTIFS(Parameters!$Y:$Y,$BF$4,Parameters!$X:$X,EW22))</f>
        <v>0</v>
      </c>
      <c r="QF22" s="50">
        <f>IF(EX22="","",COUNTIFS(Parameters!$Y:$Y,$BF$4,Parameters!$X:$X,EX22))</f>
        <v>0</v>
      </c>
      <c r="QG22" s="50">
        <f>IF(EY22="","",COUNTIFS(Parameters!$Y:$Y,$BF$4,Parameters!$X:$X,EY22))</f>
        <v>0</v>
      </c>
      <c r="QH22" s="50">
        <f>IF(EZ22="","",COUNTIFS(Parameters!$Y:$Y,$BF$4,Parameters!$X:$X,EZ22))</f>
        <v>0</v>
      </c>
      <c r="QI22" s="57">
        <f>IF(FA22="","",COUNTIFS(Parameters!$Y:$Y,$BF$4,Parameters!$X:$X,FA22))</f>
        <v>0</v>
      </c>
      <c r="QN22" s="49">
        <f>IF(DH22="","",COUNTIFS($D$25:$D$267,Parameters!$K$2,$E$25:$E$267,Parameters!$M$6,Calendrier!$C$25:$C$267,DH22)+ COUNTIFS($D$25:$D$267,Parameters!$K$3,$E$25:$E$267,Parameters!$M$6,Calendrier!$C$25:$C$267,DH22))</f>
        <v>0</v>
      </c>
      <c r="QO22" s="50">
        <f>IF(DI22="","",COUNTIFS($D$25:$D$267,Parameters!$K$2,$E$25:$E$267,Parameters!$M$6,Calendrier!$C$25:$C$267,DI22)+ COUNTIFS($D$25:$D$267,Parameters!$K$4,$E$25:$E$267,Parameters!$M$6,Calendrier!$C$25:$C$267,DI22))</f>
        <v>0</v>
      </c>
      <c r="QP22" s="50">
        <f>IF(DJ22="","",COUNTIFS($D$25:$D$267,Parameters!$K$2,$E$25:$E$267,Parameters!$M$6,Calendrier!$C$25:$C$267,DJ22)+ COUNTIFS($D$25:$D$267,Parameters!$K$3,$E$25:$E$267,Parameters!$M$6,Calendrier!$C$25:$C$267,DJ22))</f>
        <v>0</v>
      </c>
      <c r="QQ22" s="50">
        <f>IF(DK22="","",COUNTIFS($D$25:$D$267,Parameters!$K$2,$E$25:$E$267,Parameters!$M$6,Calendrier!$C$25:$C$267,DK22)+ COUNTIFS($D$25:$D$267,Parameters!$K$4,$E$25:$E$267,Parameters!$M$6,Calendrier!$C$25:$C$267,DK22))</f>
        <v>0</v>
      </c>
      <c r="QR22" s="50">
        <f>IF(DL22="","",COUNTIFS($D$25:$D$267,Parameters!$K$2,$E$25:$E$267,Parameters!$M$6,Calendrier!$C$25:$C$267,DL22)+ COUNTIFS($D$25:$D$267,Parameters!$K$3,$E$25:$E$267,Parameters!$M$6,Calendrier!$C$25:$C$267,DL22))</f>
        <v>0</v>
      </c>
      <c r="QS22" s="50">
        <f>IF(DM22="","",COUNTIFS($D$25:$D$267,Parameters!$K$2,$E$25:$E$267,Parameters!$M$6,Calendrier!$C$25:$C$267,DM22)+ COUNTIFS($D$25:$D$267,Parameters!$K$4,$E$25:$E$267,Parameters!$M$6,Calendrier!$C$25:$C$267,DM22))</f>
        <v>0</v>
      </c>
      <c r="QT22" s="50">
        <f>IF(DN22="","",COUNTIFS($D$25:$D$267,Parameters!$K$2,$E$25:$E$267,Parameters!$M$6,Calendrier!$C$25:$C$267,DN22)+ COUNTIFS($D$25:$D$267,Parameters!$K$3,$E$25:$E$267,Parameters!$M$6,Calendrier!$C$25:$C$267,DN22))</f>
        <v>0</v>
      </c>
      <c r="QU22" s="50">
        <f>IF(DO22="","",COUNTIFS($D$25:$D$267,Parameters!$K$2,$E$25:$E$267,Parameters!$M$6,Calendrier!$C$25:$C$267,DO22)+ COUNTIFS($D$25:$D$267,Parameters!$K$4,$E$25:$E$267,Parameters!$M$6,Calendrier!$C$25:$C$267,DO22))</f>
        <v>0</v>
      </c>
      <c r="QV22" s="50">
        <f>IF(DP22="","",COUNTIFS($D$25:$D$267,Parameters!$K$2,$E$25:$E$267,Parameters!$M$6,Calendrier!$C$25:$C$267,DP22)+ COUNTIFS($D$25:$D$267,Parameters!$K$3,$E$25:$E$267,Parameters!$M$6,Calendrier!$C$25:$C$267,DP22))</f>
        <v>0</v>
      </c>
      <c r="QW22" s="50">
        <f>IF(DQ22="","",COUNTIFS($D$25:$D$267,Parameters!$K$2,$E$25:$E$267,Parameters!$M$6,Calendrier!$C$25:$C$267,DQ22)+ COUNTIFS($D$25:$D$267,Parameters!$K$4,$E$25:$E$267,Parameters!$M$6,Calendrier!$C$25:$C$267,DQ22))</f>
        <v>0</v>
      </c>
      <c r="QX22" s="50">
        <f>IF(DR22="","",COUNTIFS($D$25:$D$267,Parameters!$K$2,$E$25:$E$267,Parameters!$M$6,Calendrier!$C$25:$C$267,DR22)+ COUNTIFS($D$25:$D$267,Parameters!$K$3,$E$25:$E$267,Parameters!$M$6,Calendrier!$C$25:$C$267,DR22))</f>
        <v>0</v>
      </c>
      <c r="QY22" s="50">
        <f>IF(DS22="","",COUNTIFS($D$25:$D$267,Parameters!$K$2,$E$25:$E$267,Parameters!$M$6,Calendrier!$C$25:$C$267,DS22)+ COUNTIFS($D$25:$D$267,Parameters!$K$4,$E$25:$E$267,Parameters!$M$6,Calendrier!$C$25:$C$267,DS22))</f>
        <v>0</v>
      </c>
      <c r="QZ22" s="50">
        <f>IF(DT22="","",COUNTIFS($D$25:$D$267,Parameters!$K$2,$E$25:$E$267,Parameters!$M$6,Calendrier!$C$25:$C$267,DT22)+ COUNTIFS($D$25:$D$267,Parameters!$K$3,$E$25:$E$267,Parameters!$M$6,Calendrier!$C$25:$C$267,DT22))</f>
        <v>0</v>
      </c>
      <c r="RA22" s="57">
        <f>IF(DU22="","",COUNTIFS($D$25:$D$267,Parameters!$K$2,$E$25:$E$267,Parameters!$M$6,Calendrier!$C$25:$C$267,DU22)+ COUNTIFS($D$25:$D$267,Parameters!$K$4,$E$25:$E$267,Parameters!$M$6,Calendrier!$C$25:$C$267,DU22))</f>
        <v>0</v>
      </c>
      <c r="RD22" s="49">
        <f>IF(DX22="","",COUNTIFS($D$25:$D$267,Parameters!$K$2,$E$25:$E$267,Parameters!$M$6,Calendrier!$C$25:$C$267,DX22)+ COUNTIFS($D$25:$D$267,Parameters!$K$3,$E$25:$E$267,Parameters!$M$6,Calendrier!$C$25:$C$267,DX22))</f>
        <v>0</v>
      </c>
      <c r="RE22" s="50">
        <f>IF(DY22="","",COUNTIFS($D$25:$D$267,Parameters!$K$2,$E$25:$E$267,Parameters!$M$6,Calendrier!$C$25:$C$267,DY22)+ COUNTIFS($D$25:$D$267,Parameters!$K$4,$E$25:$E$267,Parameters!$M$6,Calendrier!$C$25:$C$267,DY22))</f>
        <v>0</v>
      </c>
      <c r="RF22" s="50">
        <f>IF(DZ22="","",COUNTIFS($D$25:$D$267,Parameters!$K$2,$E$25:$E$267,Parameters!$M$6,Calendrier!$C$25:$C$267,DZ22)+ COUNTIFS($D$25:$D$267,Parameters!$K$3,$E$25:$E$267,Parameters!$M$6,Calendrier!$C$25:$C$267,DZ22))</f>
        <v>0</v>
      </c>
      <c r="RG22" s="50">
        <f>IF(EA22="","",COUNTIFS($D$25:$D$267,Parameters!$K$2,$E$25:$E$267,Parameters!$M$6,Calendrier!$C$25:$C$267,EA22)+ COUNTIFS($D$25:$D$267,Parameters!$K$4,$E$25:$E$267,Parameters!$M$6,Calendrier!$C$25:$C$267,EA22))</f>
        <v>0</v>
      </c>
      <c r="RH22" s="50">
        <f>IF(EB22="","",COUNTIFS($D$25:$D$267,Parameters!$K$2,$E$25:$E$267,Parameters!$M$6,Calendrier!$C$25:$C$267,EB22)+ COUNTIFS($D$25:$D$267,Parameters!$K$3,$E$25:$E$267,Parameters!$M$6,Calendrier!$C$25:$C$267,EB22))</f>
        <v>0</v>
      </c>
      <c r="RI22" s="50">
        <f>IF(EC22="","",COUNTIFS($D$25:$D$267,Parameters!$K$2,$E$25:$E$267,Parameters!$M$6,Calendrier!$C$25:$C$267,EC22)+ COUNTIFS($D$25:$D$267,Parameters!$K$4,$E$25:$E$267,Parameters!$M$6,Calendrier!$C$25:$C$267,EC22))</f>
        <v>0</v>
      </c>
      <c r="RJ22" s="50">
        <f>IF(ED22="","",COUNTIFS($D$25:$D$267,Parameters!$K$2,$E$25:$E$267,Parameters!$M$6,Calendrier!$C$25:$C$267,ED22)+ COUNTIFS($D$25:$D$267,Parameters!$K$3,$E$25:$E$267,Parameters!$M$6,Calendrier!$C$25:$C$267,ED22))</f>
        <v>0</v>
      </c>
      <c r="RK22" s="50">
        <f>IF(EE22="","",COUNTIFS($D$25:$D$267,Parameters!$K$2,$E$25:$E$267,Parameters!$M$6,Calendrier!$C$25:$C$267,EE22)+ COUNTIFS($D$25:$D$267,Parameters!$K$4,$E$25:$E$267,Parameters!$M$6,Calendrier!$C$25:$C$267,EE22))</f>
        <v>0</v>
      </c>
      <c r="RL22" s="50">
        <f>IF(EF22="","",COUNTIFS($D$25:$D$267,Parameters!$K$2,$E$25:$E$267,Parameters!$M$6,Calendrier!$C$25:$C$267,EF22)+ COUNTIFS($D$25:$D$267,Parameters!$K$3,$E$25:$E$267,Parameters!$M$6,Calendrier!$C$25:$C$267,EF22))</f>
        <v>0</v>
      </c>
      <c r="RM22" s="50">
        <f>IF(EG22="","",COUNTIFS($D$25:$D$267,Parameters!$K$2,$E$25:$E$267,Parameters!$M$6,Calendrier!$C$25:$C$267,EG22)+ COUNTIFS($D$25:$D$267,Parameters!$K$4,$E$25:$E$267,Parameters!$M$6,Calendrier!$C$25:$C$267,EG22))</f>
        <v>0</v>
      </c>
      <c r="RN22" s="50">
        <f>IF(EH22="","",COUNTIFS($D$25:$D$267,Parameters!$K$2,$E$25:$E$267,Parameters!$M$6,Calendrier!$C$25:$C$267,EH22)+ COUNTIFS($D$25:$D$267,Parameters!$K$3,$E$25:$E$267,Parameters!$M$6,Calendrier!$C$25:$C$267,EH22))</f>
        <v>0</v>
      </c>
      <c r="RO22" s="50">
        <f>IF(EI22="","",COUNTIFS($D$25:$D$267,Parameters!$K$2,$E$25:$E$267,Parameters!$M$6,Calendrier!$C$25:$C$267,EI22)+ COUNTIFS($D$25:$D$267,Parameters!$K$4,$E$25:$E$267,Parameters!$M$6,Calendrier!$C$25:$C$267,EI22))</f>
        <v>0</v>
      </c>
      <c r="RP22" s="50">
        <f>IF(EJ22="","",COUNTIFS($D$25:$D$267,Parameters!$K$2,$E$25:$E$267,Parameters!$M$6,Calendrier!$C$25:$C$267,EJ22)+ COUNTIFS($D$25:$D$267,Parameters!$K$3,$E$25:$E$267,Parameters!$M$6,Calendrier!$C$25:$C$267,EJ22))</f>
        <v>0</v>
      </c>
      <c r="RQ22" s="57">
        <f>IF(EK22="","",COUNTIFS($D$25:$D$267,Parameters!$K$2,$E$25:$E$267,Parameters!$M$6,Calendrier!$C$25:$C$267,EK22)+ COUNTIFS($D$25:$D$267,Parameters!$K$4,$E$25:$E$267,Parameters!$M$6,Calendrier!$C$25:$C$267,EK22))</f>
        <v>0</v>
      </c>
      <c r="RT22" s="49">
        <f>IF(EN22="","",COUNTIFS($D$25:$D$267,Parameters!$K$2,$E$25:$E$267,Parameters!$M$6,Calendrier!$C$25:$C$267,EN22)+ COUNTIFS($D$25:$D$267,Parameters!$K$3,$E$25:$E$267,Parameters!$M$6,Calendrier!$C$25:$C$267,EN22))</f>
        <v>0</v>
      </c>
      <c r="RU22" s="50">
        <f>IF(EO22="","",COUNTIFS($D$25:$D$267,Parameters!$K$2,$E$25:$E$267,Parameters!$M$6,Calendrier!$C$25:$C$267,EO22)+ COUNTIFS($D$25:$D$267,Parameters!$K$4,$E$25:$E$267,Parameters!$M$6,Calendrier!$C$25:$C$267,EO22))</f>
        <v>0</v>
      </c>
      <c r="RV22" s="50">
        <f>IF(EP22="","",COUNTIFS($D$25:$D$267,Parameters!$K$2,$E$25:$E$267,Parameters!$M$6,Calendrier!$C$25:$C$267,EP22)+ COUNTIFS($D$25:$D$267,Parameters!$K$3,$E$25:$E$267,Parameters!$M$6,Calendrier!$C$25:$C$267,EP22))</f>
        <v>0</v>
      </c>
      <c r="RW22" s="50">
        <f>IF(EQ22="","",COUNTIFS($D$25:$D$267,Parameters!$K$2,$E$25:$E$267,Parameters!$M$6,Calendrier!$C$25:$C$267,EQ22)+ COUNTIFS($D$25:$D$267,Parameters!$K$4,$E$25:$E$267,Parameters!$M$6,Calendrier!$C$25:$C$267,EQ22))</f>
        <v>0</v>
      </c>
      <c r="RX22" s="50">
        <f>IF(ER22="","",COUNTIFS($D$25:$D$267,Parameters!$K$2,$E$25:$E$267,Parameters!$M$6,Calendrier!$C$25:$C$267,ER22)+ COUNTIFS($D$25:$D$267,Parameters!$K$3,$E$25:$E$267,Parameters!$M$6,Calendrier!$C$25:$C$267,ER22))</f>
        <v>0</v>
      </c>
      <c r="RY22" s="50">
        <f>IF(ES22="","",COUNTIFS($D$25:$D$267,Parameters!$K$2,$E$25:$E$267,Parameters!$M$6,Calendrier!$C$25:$C$267,ES22)+ COUNTIFS($D$25:$D$267,Parameters!$K$4,$E$25:$E$267,Parameters!$M$6,Calendrier!$C$25:$C$267,ES22))</f>
        <v>0</v>
      </c>
      <c r="RZ22" s="50">
        <f>IF(ET22="","",COUNTIFS($D$25:$D$267,Parameters!$K$2,$E$25:$E$267,Parameters!$M$6,Calendrier!$C$25:$C$267,ET22)+ COUNTIFS($D$25:$D$267,Parameters!$K$3,$E$25:$E$267,Parameters!$M$6,Calendrier!$C$25:$C$267,ET22))</f>
        <v>0</v>
      </c>
      <c r="SA22" s="50">
        <f>IF(EU22="","",COUNTIFS($D$25:$D$267,Parameters!$K$2,$E$25:$E$267,Parameters!$M$6,Calendrier!$C$25:$C$267,EU22)+ COUNTIFS($D$25:$D$267,Parameters!$K$4,$E$25:$E$267,Parameters!$M$6,Calendrier!$C$25:$C$267,EU22))</f>
        <v>0</v>
      </c>
      <c r="SB22" s="50">
        <f>IF(EV22="","",COUNTIFS($D$25:$D$267,Parameters!$K$2,$E$25:$E$267,Parameters!$M$6,Calendrier!$C$25:$C$267,EV22)+ COUNTIFS($D$25:$D$267,Parameters!$K$3,$E$25:$E$267,Parameters!$M$6,Calendrier!$C$25:$C$267,EV22))</f>
        <v>0</v>
      </c>
      <c r="SC22" s="50">
        <f>IF(EW22="","",COUNTIFS($D$25:$D$267,Parameters!$K$2,$E$25:$E$267,Parameters!$M$6,Calendrier!$C$25:$C$267,EW22)+ COUNTIFS($D$25:$D$267,Parameters!$K$4,$E$25:$E$267,Parameters!$M$6,Calendrier!$C$25:$C$267,EW22))</f>
        <v>0</v>
      </c>
      <c r="SD22" s="50">
        <f>IF(EX22="","",COUNTIFS($D$25:$D$267,Parameters!$K$2,$E$25:$E$267,Parameters!$M$6,Calendrier!$C$25:$C$267,EX22)+ COUNTIFS($D$25:$D$267,Parameters!$K$3,$E$25:$E$267,Parameters!$M$6,Calendrier!$C$25:$C$267,EX22))</f>
        <v>0</v>
      </c>
      <c r="SE22" s="50">
        <f>IF(EY22="","",COUNTIFS($D$25:$D$267,Parameters!$K$2,$E$25:$E$267,Parameters!$M$6,Calendrier!$C$25:$C$267,EY22)+ COUNTIFS($D$25:$D$267,Parameters!$K$4,$E$25:$E$267,Parameters!$M$6,Calendrier!$C$25:$C$267,EY22))</f>
        <v>0</v>
      </c>
      <c r="SF22" s="50">
        <f>IF(EZ22="","",COUNTIFS($D$25:$D$267,Parameters!$K$2,$E$25:$E$267,Parameters!$M$6,Calendrier!$C$25:$C$267,EZ22)+ COUNTIFS($D$25:$D$267,Parameters!$K$3,$E$25:$E$267,Parameters!$M$6,Calendrier!$C$25:$C$267,EZ22))</f>
        <v>0</v>
      </c>
      <c r="SG22" s="57">
        <f>IF(FA22="","",COUNTIFS($D$25:$D$267,Parameters!$K$2,$E$25:$E$267,Parameters!$M$6,Calendrier!$C$25:$C$267,FA22)+ COUNTIFS($D$25:$D$267,Parameters!$K$4,$E$25:$E$267,Parameters!$M$6,Calendrier!$C$25:$C$267,FA22))</f>
        <v>0</v>
      </c>
      <c r="SL22" s="49">
        <f>IF(DH22="","",COUNTIFS($D$25:$D$267,Parameters!$K$2,$E$25:$E$267,Parameters!$M$7,Calendrier!$C$25:$C$267,DH22)+ COUNTIFS($D$25:$D$267,Parameters!$K$3,$E$25:$E$267,Parameters!$M$7,Calendrier!$C$25:$C$267,DH22))</f>
        <v>0</v>
      </c>
      <c r="SM22" s="50">
        <f>IF(DI22="","",COUNTIFS($D$25:$D$267,Parameters!$K$2,$E$25:$E$267,Parameters!$M$7,Calendrier!$C$25:$C$267,DI22)+ COUNTIFS($D$25:$D$267,Parameters!$K$4,$E$25:$E$267,Parameters!$M$7,Calendrier!$C$25:$C$267,DI22))</f>
        <v>0</v>
      </c>
      <c r="SN22" s="50">
        <f>IF(DJ22="","",COUNTIFS($D$25:$D$267,Parameters!$K$2,$E$25:$E$267,Parameters!$M$7,Calendrier!$C$25:$C$267,DJ22)+ COUNTIFS($D$25:$D$267,Parameters!$K$3,$E$25:$E$267,Parameters!$M$7,Calendrier!$C$25:$C$267,DJ22))</f>
        <v>0</v>
      </c>
      <c r="SO22" s="50">
        <f>IF(DK22="","",COUNTIFS($D$25:$D$267,Parameters!$K$2,$E$25:$E$267,Parameters!$M$7,Calendrier!$C$25:$C$267,DK22)+ COUNTIFS($D$25:$D$267,Parameters!$K$4,$E$25:$E$267,Parameters!$M$7,Calendrier!$C$25:$C$267,DK22))</f>
        <v>0</v>
      </c>
      <c r="SP22" s="50">
        <f>IF(DL22="","",COUNTIFS($D$25:$D$267,Parameters!$K$2,$E$25:$E$267,Parameters!$M$7,Calendrier!$C$25:$C$267,DL22)+ COUNTIFS($D$25:$D$267,Parameters!$K$3,$E$25:$E$267,Parameters!$M$7,Calendrier!$C$25:$C$267,DL22))</f>
        <v>0</v>
      </c>
      <c r="SQ22" s="50">
        <f>IF(DM22="","",COUNTIFS($D$25:$D$267,Parameters!$K$2,$E$25:$E$267,Parameters!$M$7,Calendrier!$C$25:$C$267,DM22)+ COUNTIFS($D$25:$D$267,Parameters!$K$4,$E$25:$E$267,Parameters!$M$7,Calendrier!$C$25:$C$267,DM22))</f>
        <v>0</v>
      </c>
      <c r="SR22" s="50">
        <f>IF(DN22="","",COUNTIFS($D$25:$D$267,Parameters!$K$2,$E$25:$E$267,Parameters!$M$7,Calendrier!$C$25:$C$267,DN22)+ COUNTIFS($D$25:$D$267,Parameters!$K$3,$E$25:$E$267,Parameters!$M$7,Calendrier!$C$25:$C$267,DN22))</f>
        <v>0</v>
      </c>
      <c r="SS22" s="50">
        <f>IF(DO22="","",COUNTIFS($D$25:$D$267,Parameters!$K$2,$E$25:$E$267,Parameters!$M$7,Calendrier!$C$25:$C$267,DO22)+ COUNTIFS($D$25:$D$267,Parameters!$K$4,$E$25:$E$267,Parameters!$M$7,Calendrier!$C$25:$C$267,DO22))</f>
        <v>0</v>
      </c>
      <c r="ST22" s="50">
        <f>IF(DP22="","",COUNTIFS($D$25:$D$267,Parameters!$K$2,$E$25:$E$267,Parameters!$M$7,Calendrier!$C$25:$C$267,DP22)+ COUNTIFS($D$25:$D$267,Parameters!$K$3,$E$25:$E$267,Parameters!$M$7,Calendrier!$C$25:$C$267,DP22))</f>
        <v>0</v>
      </c>
      <c r="SU22" s="50">
        <f>IF(DQ22="","",COUNTIFS($D$25:$D$267,Parameters!$K$2,$E$25:$E$267,Parameters!$M$7,Calendrier!$C$25:$C$267,DQ22)+ COUNTIFS($D$25:$D$267,Parameters!$K$4,$E$25:$E$267,Parameters!$M$7,Calendrier!$C$25:$C$267,DQ22))</f>
        <v>0</v>
      </c>
      <c r="SV22" s="50">
        <f>IF(DR22="","",COUNTIFS($D$25:$D$267,Parameters!$K$2,$E$25:$E$267,Parameters!$M$7,Calendrier!$C$25:$C$267,DR22)+ COUNTIFS($D$25:$D$267,Parameters!$K$3,$E$25:$E$267,Parameters!$M$7,Calendrier!$C$25:$C$267,DR22))</f>
        <v>0</v>
      </c>
      <c r="SW22" s="50">
        <f>IF(DS22="","",COUNTIFS($D$25:$D$267,Parameters!$K$2,$E$25:$E$267,Parameters!$M$7,Calendrier!$C$25:$C$267,DS22)+ COUNTIFS($D$25:$D$267,Parameters!$K$4,$E$25:$E$267,Parameters!$M$7,Calendrier!$C$25:$C$267,DS22))</f>
        <v>0</v>
      </c>
      <c r="SX22" s="50">
        <f>IF(DT22="","",COUNTIFS($D$25:$D$267,Parameters!$K$2,$E$25:$E$267,Parameters!$M$7,Calendrier!$C$25:$C$267,DT22)+ COUNTIFS($D$25:$D$267,Parameters!$K$3,$E$25:$E$267,Parameters!$M$7,Calendrier!$C$25:$C$267,DT22))</f>
        <v>0</v>
      </c>
      <c r="SY22" s="57">
        <f>IF(DU22="","",COUNTIFS($D$25:$D$267,Parameters!$K$2,$E$25:$E$267,Parameters!$M$7,Calendrier!$C$25:$C$267,DU22)+ COUNTIFS($D$25:$D$267,Parameters!$K$4,$E$25:$E$267,Parameters!$M$7,Calendrier!$C$25:$C$267,DU22))</f>
        <v>0</v>
      </c>
      <c r="TB22" s="49">
        <f>IF(DX22="","",COUNTIFS($D$25:$D$267,Parameters!$K$2,$E$25:$E$267,Parameters!$M$7,Calendrier!$C$25:$C$267,DX22)+ COUNTIFS($D$25:$D$267,Parameters!$K$3,$E$25:$E$267,Parameters!$M$7,Calendrier!$C$25:$C$267,DX22))</f>
        <v>0</v>
      </c>
      <c r="TC22" s="50">
        <f>IF(DY22="","",COUNTIFS($D$25:$D$267,Parameters!$K$2,$E$25:$E$267,Parameters!$M$7,Calendrier!$C$25:$C$267,DY22)+ COUNTIFS($D$25:$D$267,Parameters!$K$4,$E$25:$E$267,Parameters!$M$7,Calendrier!$C$25:$C$267,DY22))</f>
        <v>0</v>
      </c>
      <c r="TD22" s="50">
        <f>IF(DZ22="","",COUNTIFS($D$25:$D$267,Parameters!$K$2,$E$25:$E$267,Parameters!$M$7,Calendrier!$C$25:$C$267,DZ22)+ COUNTIFS($D$25:$D$267,Parameters!$K$3,$E$25:$E$267,Parameters!$M$7,Calendrier!$C$25:$C$267,DZ22))</f>
        <v>0</v>
      </c>
      <c r="TE22" s="50">
        <f>IF(EA22="","",COUNTIFS($D$25:$D$267,Parameters!$K$2,$E$25:$E$267,Parameters!$M$7,Calendrier!$C$25:$C$267,EA22)+ COUNTIFS($D$25:$D$267,Parameters!$K$4,$E$25:$E$267,Parameters!$M$7,Calendrier!$C$25:$C$267,EA22))</f>
        <v>0</v>
      </c>
      <c r="TF22" s="50">
        <f>IF(EB22="","",COUNTIFS($D$25:$D$267,Parameters!$K$2,$E$25:$E$267,Parameters!$M$7,Calendrier!$C$25:$C$267,EB22)+ COUNTIFS($D$25:$D$267,Parameters!$K$3,$E$25:$E$267,Parameters!$M$7,Calendrier!$C$25:$C$267,EB22))</f>
        <v>0</v>
      </c>
      <c r="TG22" s="50">
        <f>IF(EC22="","",COUNTIFS($D$25:$D$267,Parameters!$K$2,$E$25:$E$267,Parameters!$M$7,Calendrier!$C$25:$C$267,EC22)+ COUNTIFS($D$25:$D$267,Parameters!$K$4,$E$25:$E$267,Parameters!$M$7,Calendrier!$C$25:$C$267,EC22))</f>
        <v>0</v>
      </c>
      <c r="TH22" s="50">
        <f>IF(ED22="","",COUNTIFS($D$25:$D$267,Parameters!$K$2,$E$25:$E$267,Parameters!$M$7,Calendrier!$C$25:$C$267,ED22)+ COUNTIFS($D$25:$D$267,Parameters!$K$3,$E$25:$E$267,Parameters!$M$7,Calendrier!$C$25:$C$267,ED22))</f>
        <v>0</v>
      </c>
      <c r="TI22" s="50">
        <f>IF(EE22="","",COUNTIFS($D$25:$D$267,Parameters!$K$2,$E$25:$E$267,Parameters!$M$7,Calendrier!$C$25:$C$267,EE22)+ COUNTIFS($D$25:$D$267,Parameters!$K$4,$E$25:$E$267,Parameters!$M$7,Calendrier!$C$25:$C$267,EE22))</f>
        <v>0</v>
      </c>
      <c r="TJ22" s="50">
        <f>IF(EF22="","",COUNTIFS($D$25:$D$267,Parameters!$K$2,$E$25:$E$267,Parameters!$M$7,Calendrier!$C$25:$C$267,EF22)+ COUNTIFS($D$25:$D$267,Parameters!$K$3,$E$25:$E$267,Parameters!$M$7,Calendrier!$C$25:$C$267,EF22))</f>
        <v>0</v>
      </c>
      <c r="TK22" s="50">
        <f>IF(EG22="","",COUNTIFS($D$25:$D$267,Parameters!$K$2,$E$25:$E$267,Parameters!$M$7,Calendrier!$C$25:$C$267,EG22)+ COUNTIFS($D$25:$D$267,Parameters!$K$4,$E$25:$E$267,Parameters!$M$7,Calendrier!$C$25:$C$267,EG22))</f>
        <v>0</v>
      </c>
      <c r="TL22" s="50">
        <f>IF(EH22="","",COUNTIFS($D$25:$D$267,Parameters!$K$2,$E$25:$E$267,Parameters!$M$7,Calendrier!$C$25:$C$267,EH22)+ COUNTIFS($D$25:$D$267,Parameters!$K$3,$E$25:$E$267,Parameters!$M$7,Calendrier!$C$25:$C$267,EH22))</f>
        <v>0</v>
      </c>
      <c r="TM22" s="50">
        <f>IF(EI22="","",COUNTIFS($D$25:$D$267,Parameters!$K$2,$E$25:$E$267,Parameters!$M$7,Calendrier!$C$25:$C$267,EI22)+ COUNTIFS($D$25:$D$267,Parameters!$K$4,$E$25:$E$267,Parameters!$M$7,Calendrier!$C$25:$C$267,EI22))</f>
        <v>0</v>
      </c>
      <c r="TN22" s="50">
        <f>IF(EJ22="","",COUNTIFS($D$25:$D$267,Parameters!$K$2,$E$25:$E$267,Parameters!$M$7,Calendrier!$C$25:$C$267,EJ22)+ COUNTIFS($D$25:$D$267,Parameters!$K$3,$E$25:$E$267,Parameters!$M$7,Calendrier!$C$25:$C$267,EJ22))</f>
        <v>0</v>
      </c>
      <c r="TO22" s="57">
        <f>IF(EK22="","",COUNTIFS($D$25:$D$267,Parameters!$K$2,$E$25:$E$267,Parameters!$M$7,Calendrier!$C$25:$C$267,EK22)+ COUNTIFS($D$25:$D$267,Parameters!$K$4,$E$25:$E$267,Parameters!$M$7,Calendrier!$C$25:$C$267,EK22))</f>
        <v>0</v>
      </c>
      <c r="TR22" s="49">
        <f>IF(EN22="","",COUNTIFS($D$25:$D$267,Parameters!$K$2,$E$25:$E$267,Parameters!$M$7,Calendrier!$C$25:$C$267,EN22)+ COUNTIFS($D$25:$D$267,Parameters!$K$3,$E$25:$E$267,Parameters!$M$7,Calendrier!$C$25:$C$267,EN22))</f>
        <v>0</v>
      </c>
      <c r="TS22" s="50">
        <f>IF(EO22="","",COUNTIFS($D$25:$D$267,Parameters!$K$2,$E$25:$E$267,Parameters!$M$7,Calendrier!$C$25:$C$267,EO22)+ COUNTIFS($D$25:$D$267,Parameters!$K$4,$E$25:$E$267,Parameters!$M$7,Calendrier!$C$25:$C$267,EO22))</f>
        <v>0</v>
      </c>
      <c r="TT22" s="50">
        <f>IF(EP22="","",COUNTIFS($D$25:$D$267,Parameters!$K$2,$E$25:$E$267,Parameters!$M$7,Calendrier!$C$25:$C$267,EP22)+ COUNTIFS($D$25:$D$267,Parameters!$K$3,$E$25:$E$267,Parameters!$M$7,Calendrier!$C$25:$C$267,EP22))</f>
        <v>0</v>
      </c>
      <c r="TU22" s="50">
        <f>IF(EQ22="","",COUNTIFS($D$25:$D$267,Parameters!$K$2,$E$25:$E$267,Parameters!$M$7,Calendrier!$C$25:$C$267,EQ22)+ COUNTIFS($D$25:$D$267,Parameters!$K$4,$E$25:$E$267,Parameters!$M$7,Calendrier!$C$25:$C$267,EQ22))</f>
        <v>0</v>
      </c>
      <c r="TV22" s="50">
        <f>IF(ER22="","",COUNTIFS($D$25:$D$267,Parameters!$K$2,$E$25:$E$267,Parameters!$M$7,Calendrier!$C$25:$C$267,ER22)+ COUNTIFS($D$25:$D$267,Parameters!$K$3,$E$25:$E$267,Parameters!$M$7,Calendrier!$C$25:$C$267,ER22))</f>
        <v>0</v>
      </c>
      <c r="TW22" s="50">
        <f>IF(ES22="","",COUNTIFS($D$25:$D$267,Parameters!$K$2,$E$25:$E$267,Parameters!$M$7,Calendrier!$C$25:$C$267,ES22)+ COUNTIFS($D$25:$D$267,Parameters!$K$4,$E$25:$E$267,Parameters!$M$7,Calendrier!$C$25:$C$267,ES22))</f>
        <v>0</v>
      </c>
      <c r="TX22" s="50">
        <f>IF(ET22="","",COUNTIFS($D$25:$D$267,Parameters!$K$2,$E$25:$E$267,Parameters!$M$7,Calendrier!$C$25:$C$267,ET22)+ COUNTIFS($D$25:$D$267,Parameters!$K$3,$E$25:$E$267,Parameters!$M$7,Calendrier!$C$25:$C$267,ET22))</f>
        <v>0</v>
      </c>
      <c r="TY22" s="50">
        <f>IF(EU22="","",COUNTIFS($D$25:$D$267,Parameters!$K$2,$E$25:$E$267,Parameters!$M$7,Calendrier!$C$25:$C$267,EU22)+ COUNTIFS($D$25:$D$267,Parameters!$K$4,$E$25:$E$267,Parameters!$M$7,Calendrier!$C$25:$C$267,EU22))</f>
        <v>0</v>
      </c>
      <c r="TZ22" s="50">
        <f>IF(EV22="","",COUNTIFS($D$25:$D$267,Parameters!$K$2,$E$25:$E$267,Parameters!$M$7,Calendrier!$C$25:$C$267,EV22)+ COUNTIFS($D$25:$D$267,Parameters!$K$3,$E$25:$E$267,Parameters!$M$7,Calendrier!$C$25:$C$267,EV22))</f>
        <v>0</v>
      </c>
      <c r="UA22" s="50">
        <f>IF(EW22="","",COUNTIFS($D$25:$D$267,Parameters!$K$2,$E$25:$E$267,Parameters!$M$7,Calendrier!$C$25:$C$267,EW22)+ COUNTIFS($D$25:$D$267,Parameters!$K$4,$E$25:$E$267,Parameters!$M$7,Calendrier!$C$25:$C$267,EW22))</f>
        <v>0</v>
      </c>
      <c r="UB22" s="50">
        <f>IF(EX22="","",COUNTIFS($D$25:$D$267,Parameters!$K$2,$E$25:$E$267,Parameters!$M$7,Calendrier!$C$25:$C$267,EX22)+ COUNTIFS($D$25:$D$267,Parameters!$K$3,$E$25:$E$267,Parameters!$M$7,Calendrier!$C$25:$C$267,EX22))</f>
        <v>0</v>
      </c>
      <c r="UC22" s="50">
        <f>IF(EY22="","",COUNTIFS($D$25:$D$267,Parameters!$K$2,$E$25:$E$267,Parameters!$M$7,Calendrier!$C$25:$C$267,EY22)+ COUNTIFS($D$25:$D$267,Parameters!$K$4,$E$25:$E$267,Parameters!$M$7,Calendrier!$C$25:$C$267,EY22))</f>
        <v>0</v>
      </c>
      <c r="UD22" s="50">
        <f>IF(EZ22="","",COUNTIFS($D$25:$D$267,Parameters!$K$2,$E$25:$E$267,Parameters!$M$7,Calendrier!$C$25:$C$267,EZ22)+ COUNTIFS($D$25:$D$267,Parameters!$K$3,$E$25:$E$267,Parameters!$M$7,Calendrier!$C$25:$C$267,EZ22))</f>
        <v>0</v>
      </c>
      <c r="UE22" s="57">
        <f>IF(FA22="","",COUNTIFS($D$25:$D$267,Parameters!$K$2,$E$25:$E$267,Parameters!$M$7,Calendrier!$C$25:$C$267,FA22)+ COUNTIFS($D$25:$D$267,Parameters!$K$4,$E$25:$E$267,Parameters!$M$7,Calendrier!$C$25:$C$267,FA22))</f>
        <v>0</v>
      </c>
    </row>
    <row r="23" spans="2:551" x14ac:dyDescent="0.3">
      <c r="B23" s="92" t="s">
        <v>75</v>
      </c>
      <c r="C23" s="93"/>
      <c r="D23" s="93"/>
      <c r="E23" s="93"/>
      <c r="F23" s="75"/>
      <c r="G23" s="76"/>
      <c r="K23" s="31"/>
      <c r="L23" s="22">
        <f>IF(X22&lt;&gt;"",IF(X22&lt;$Z$18,X22+1,""),"")</f>
        <v>27</v>
      </c>
      <c r="M23" s="23"/>
      <c r="N23" s="22">
        <f t="shared" ref="N23:X24" si="275">IF(L23&lt;&gt;"",IF(L23&lt;$Z$18,L23+1,""),"")</f>
        <v>28</v>
      </c>
      <c r="O23" s="23"/>
      <c r="P23" s="22">
        <f t="shared" si="275"/>
        <v>29</v>
      </c>
      <c r="Q23" s="23"/>
      <c r="R23" s="22">
        <f t="shared" si="275"/>
        <v>30</v>
      </c>
      <c r="S23" s="23"/>
      <c r="T23" s="22" t="str">
        <f t="shared" si="275"/>
        <v/>
      </c>
      <c r="U23" s="23"/>
      <c r="V23" s="22" t="str">
        <f t="shared" si="275"/>
        <v/>
      </c>
      <c r="W23" s="23"/>
      <c r="X23" s="22" t="str">
        <f t="shared" si="275"/>
        <v/>
      </c>
      <c r="Y23" s="23"/>
      <c r="Z23" s="31"/>
      <c r="AA23" s="31"/>
      <c r="AB23" s="22">
        <f>IF(AN22&lt;&gt;"",IF(AN22&lt;$AP$18,AN22+1,""),"")</f>
        <v>25</v>
      </c>
      <c r="AC23" s="23"/>
      <c r="AD23" s="22">
        <f t="shared" ref="AD23:AN24" si="276">IF(AB23&lt;&gt;"",IF(AB23&lt;$AP$18,AB23+1,""),"")</f>
        <v>26</v>
      </c>
      <c r="AE23" s="23"/>
      <c r="AF23" s="22">
        <f t="shared" si="276"/>
        <v>27</v>
      </c>
      <c r="AG23" s="23"/>
      <c r="AH23" s="22">
        <f t="shared" si="276"/>
        <v>28</v>
      </c>
      <c r="AI23" s="23"/>
      <c r="AJ23" s="22">
        <f t="shared" si="276"/>
        <v>29</v>
      </c>
      <c r="AK23" s="23"/>
      <c r="AL23" s="22">
        <f t="shared" si="276"/>
        <v>30</v>
      </c>
      <c r="AM23" s="23"/>
      <c r="AN23" s="22">
        <f t="shared" si="276"/>
        <v>31</v>
      </c>
      <c r="AO23" s="23"/>
      <c r="AP23" s="31"/>
      <c r="AQ23" s="31"/>
      <c r="AR23" s="22">
        <f>IF(BD22&lt;&gt;"",IF(BD22&lt;$BF$18,BD22+1,""),"")</f>
        <v>29</v>
      </c>
      <c r="AS23" s="23"/>
      <c r="AT23" s="22">
        <f t="shared" ref="AT23:BD24" si="277">IF(AR23&lt;&gt;"",IF(AR23&lt;$BF$18,AR23+1,""),"")</f>
        <v>30</v>
      </c>
      <c r="AU23" s="23"/>
      <c r="AV23" s="22" t="str">
        <f t="shared" si="277"/>
        <v/>
      </c>
      <c r="AW23" s="23"/>
      <c r="AX23" s="22" t="str">
        <f t="shared" si="277"/>
        <v/>
      </c>
      <c r="AY23" s="23"/>
      <c r="AZ23" s="22" t="str">
        <f t="shared" si="277"/>
        <v/>
      </c>
      <c r="BA23" s="23"/>
      <c r="BB23" s="22" t="str">
        <f t="shared" si="277"/>
        <v/>
      </c>
      <c r="BC23" s="23"/>
      <c r="BD23" s="22" t="str">
        <f t="shared" si="277"/>
        <v/>
      </c>
      <c r="BE23" s="23"/>
      <c r="BF23" s="31"/>
      <c r="BG23" s="31"/>
      <c r="BJ23" s="42"/>
      <c r="BK23" s="6">
        <v>4</v>
      </c>
      <c r="BL23" s="6">
        <v>4</v>
      </c>
      <c r="BM23" s="6">
        <v>4</v>
      </c>
      <c r="BN23" s="6">
        <v>4</v>
      </c>
      <c r="BO23" s="6">
        <v>4</v>
      </c>
      <c r="BP23" s="6">
        <v>4</v>
      </c>
      <c r="BQ23" s="6">
        <v>4</v>
      </c>
      <c r="BR23" s="6">
        <v>4</v>
      </c>
      <c r="BS23" s="6">
        <v>4</v>
      </c>
      <c r="BT23" s="6">
        <v>4</v>
      </c>
      <c r="BU23" s="6">
        <v>4</v>
      </c>
      <c r="BV23" s="6">
        <v>4</v>
      </c>
      <c r="BW23" s="6">
        <v>4</v>
      </c>
      <c r="CA23" s="6">
        <v>5</v>
      </c>
      <c r="CB23" s="6">
        <v>5</v>
      </c>
      <c r="CC23" s="6">
        <v>5</v>
      </c>
      <c r="CD23" s="6">
        <v>5</v>
      </c>
      <c r="CE23" s="6">
        <v>5</v>
      </c>
      <c r="CF23" s="6">
        <v>5</v>
      </c>
      <c r="CG23" s="6">
        <v>5</v>
      </c>
      <c r="CH23" s="6">
        <v>5</v>
      </c>
      <c r="CI23" s="6">
        <v>5</v>
      </c>
      <c r="CJ23" s="6">
        <v>5</v>
      </c>
      <c r="CK23" s="6">
        <v>5</v>
      </c>
      <c r="CL23" s="6">
        <v>5</v>
      </c>
      <c r="CM23" s="6">
        <v>5</v>
      </c>
      <c r="CQ23" s="6">
        <v>6</v>
      </c>
      <c r="CR23" s="6">
        <v>6</v>
      </c>
      <c r="CS23" s="6">
        <v>6</v>
      </c>
      <c r="CT23" s="6">
        <v>6</v>
      </c>
      <c r="CU23" s="6">
        <v>6</v>
      </c>
      <c r="CV23" s="6">
        <v>6</v>
      </c>
      <c r="CW23" s="6">
        <v>6</v>
      </c>
      <c r="CX23" s="6">
        <v>6</v>
      </c>
      <c r="CY23" s="6">
        <v>6</v>
      </c>
      <c r="CZ23" s="6">
        <v>6</v>
      </c>
      <c r="DA23" s="6">
        <v>6</v>
      </c>
      <c r="DB23" s="6">
        <v>6</v>
      </c>
      <c r="DC23" s="6">
        <v>6</v>
      </c>
      <c r="DG23" s="42"/>
      <c r="DH23" s="43">
        <f t="shared" si="198"/>
        <v>46139</v>
      </c>
      <c r="DI23" s="44">
        <f t="shared" ref="DI23" si="278">DH23</f>
        <v>46139</v>
      </c>
      <c r="DJ23" s="44">
        <f t="shared" si="161"/>
        <v>46140</v>
      </c>
      <c r="DK23" s="44">
        <f t="shared" ref="DK23" si="279">DJ23</f>
        <v>46140</v>
      </c>
      <c r="DL23" s="44">
        <f t="shared" si="163"/>
        <v>46141</v>
      </c>
      <c r="DM23" s="44">
        <f t="shared" ref="DM23" si="280">DL23</f>
        <v>46141</v>
      </c>
      <c r="DN23" s="44">
        <f t="shared" si="165"/>
        <v>46142</v>
      </c>
      <c r="DO23" s="44">
        <f t="shared" ref="DO23" si="281">DN23</f>
        <v>46142</v>
      </c>
      <c r="DP23" s="44" t="str">
        <f t="shared" si="167"/>
        <v/>
      </c>
      <c r="DQ23" s="44" t="str">
        <f t="shared" ref="DQ23" si="282">DP23</f>
        <v/>
      </c>
      <c r="DR23" s="44" t="str">
        <f t="shared" si="169"/>
        <v/>
      </c>
      <c r="DS23" s="44" t="str">
        <f t="shared" ref="DS23" si="283">DR23</f>
        <v/>
      </c>
      <c r="DT23" s="44" t="str">
        <f t="shared" si="171"/>
        <v/>
      </c>
      <c r="DU23" s="45" t="str">
        <f t="shared" si="172"/>
        <v/>
      </c>
      <c r="DX23" s="43">
        <f t="shared" si="205"/>
        <v>46167</v>
      </c>
      <c r="DY23" s="44">
        <f t="shared" ref="DY23" si="284">DX23</f>
        <v>46167</v>
      </c>
      <c r="DZ23" s="44">
        <f t="shared" si="173"/>
        <v>46168</v>
      </c>
      <c r="EA23" s="44">
        <f t="shared" ref="EA23" si="285">DZ23</f>
        <v>46168</v>
      </c>
      <c r="EB23" s="44">
        <f t="shared" si="175"/>
        <v>46169</v>
      </c>
      <c r="EC23" s="44">
        <f t="shared" ref="EC23" si="286">EB23</f>
        <v>46169</v>
      </c>
      <c r="ED23" s="44">
        <f t="shared" si="177"/>
        <v>46170</v>
      </c>
      <c r="EE23" s="44">
        <f t="shared" ref="EE23" si="287">ED23</f>
        <v>46170</v>
      </c>
      <c r="EF23" s="44">
        <f t="shared" si="179"/>
        <v>46171</v>
      </c>
      <c r="EG23" s="44">
        <f t="shared" ref="EG23" si="288">EF23</f>
        <v>46171</v>
      </c>
      <c r="EH23" s="44">
        <f t="shared" si="181"/>
        <v>46172</v>
      </c>
      <c r="EI23" s="44">
        <f t="shared" ref="EI23" si="289">EH23</f>
        <v>46172</v>
      </c>
      <c r="EJ23" s="44">
        <f t="shared" si="183"/>
        <v>46173</v>
      </c>
      <c r="EK23" s="45">
        <f t="shared" si="184"/>
        <v>46173</v>
      </c>
      <c r="EN23" s="43">
        <f t="shared" si="212"/>
        <v>46202</v>
      </c>
      <c r="EO23" s="44">
        <f t="shared" ref="EO23" si="290">EN23</f>
        <v>46202</v>
      </c>
      <c r="EP23" s="44">
        <f t="shared" si="185"/>
        <v>46203</v>
      </c>
      <c r="EQ23" s="44">
        <f t="shared" ref="EQ23" si="291">EP23</f>
        <v>46203</v>
      </c>
      <c r="ER23" s="44" t="str">
        <f t="shared" si="187"/>
        <v/>
      </c>
      <c r="ES23" s="44" t="str">
        <f t="shared" ref="ES23" si="292">ER23</f>
        <v/>
      </c>
      <c r="ET23" s="44" t="str">
        <f t="shared" si="189"/>
        <v/>
      </c>
      <c r="EU23" s="44" t="str">
        <f t="shared" ref="EU23" si="293">ET23</f>
        <v/>
      </c>
      <c r="EV23" s="44" t="str">
        <f t="shared" si="191"/>
        <v/>
      </c>
      <c r="EW23" s="44" t="str">
        <f t="shared" ref="EW23" si="294">EV23</f>
        <v/>
      </c>
      <c r="EX23" s="44" t="str">
        <f t="shared" si="193"/>
        <v/>
      </c>
      <c r="EY23" s="44" t="str">
        <f t="shared" ref="EY23" si="295">EX23</f>
        <v/>
      </c>
      <c r="EZ23" s="44" t="str">
        <f t="shared" si="195"/>
        <v/>
      </c>
      <c r="FA23" s="45" t="str">
        <f t="shared" si="196"/>
        <v/>
      </c>
      <c r="FE23" s="49">
        <f>COUNTIFS(Parameters!$S:$S,$D$4,Parameters!$Q:$Q,DH23)</f>
        <v>0</v>
      </c>
      <c r="FF23" s="50">
        <f>COUNTIFS(Parameters!$S:$S,$D$4,Parameters!$Q:$Q,DI23)</f>
        <v>0</v>
      </c>
      <c r="FG23" s="50">
        <f>COUNTIFS(Parameters!$S:$S,$D$4,Parameters!$Q:$Q,DJ23)</f>
        <v>0</v>
      </c>
      <c r="FH23" s="50">
        <f>COUNTIFS(Parameters!$S:$S,$D$4,Parameters!$Q:$Q,DK23)</f>
        <v>0</v>
      </c>
      <c r="FI23" s="50">
        <f>COUNTIFS(Parameters!$S:$S,$D$4,Parameters!$Q:$Q,DL23)</f>
        <v>0</v>
      </c>
      <c r="FJ23" s="50">
        <f>COUNTIFS(Parameters!$S:$S,$D$4,Parameters!$Q:$Q,DM23)</f>
        <v>0</v>
      </c>
      <c r="FK23" s="50">
        <f>COUNTIFS(Parameters!$S:$S,$D$4,Parameters!$Q:$Q,DN23)</f>
        <v>0</v>
      </c>
      <c r="FL23" s="50">
        <f>COUNTIFS(Parameters!$S:$S,$D$4,Parameters!$Q:$Q,DO23)</f>
        <v>0</v>
      </c>
      <c r="FM23" s="50">
        <f>COUNTIFS(Parameters!$S:$S,$D$4,Parameters!$Q:$Q,DP23)</f>
        <v>0</v>
      </c>
      <c r="FN23" s="50">
        <f>COUNTIFS(Parameters!$S:$S,$D$4,Parameters!$Q:$Q,DQ23)</f>
        <v>0</v>
      </c>
      <c r="FO23" s="50">
        <f>COUNTIFS(Parameters!$S:$S,$D$4,Parameters!$Q:$Q,DR23)</f>
        <v>0</v>
      </c>
      <c r="FP23" s="50">
        <f>COUNTIFS(Parameters!$S:$S,$D$4,Parameters!$Q:$Q,DS23)</f>
        <v>0</v>
      </c>
      <c r="FQ23" s="50">
        <f>COUNTIFS(Parameters!$S:$S,$D$4,Parameters!$Q:$Q,DT23)</f>
        <v>0</v>
      </c>
      <c r="FR23" s="57">
        <f>COUNTIFS(Parameters!$S:$S,$D$4,Parameters!$Q:$Q,DU23)</f>
        <v>0</v>
      </c>
      <c r="FU23" s="49">
        <f>COUNTIFS(Parameters!$S:$S,$D$4,Parameters!$Q:$Q,DX23)</f>
        <v>1</v>
      </c>
      <c r="FV23" s="50">
        <f>COUNTIFS(Parameters!$S:$S,$D$4,Parameters!$Q:$Q,DY23)</f>
        <v>1</v>
      </c>
      <c r="FW23" s="50">
        <f>COUNTIFS(Parameters!$S:$S,$D$4,Parameters!$Q:$Q,DZ23)</f>
        <v>0</v>
      </c>
      <c r="FX23" s="50">
        <f>COUNTIFS(Parameters!$S:$S,$D$4,Parameters!$Q:$Q,EA23)</f>
        <v>0</v>
      </c>
      <c r="FY23" s="50">
        <f>COUNTIFS(Parameters!$S:$S,$D$4,Parameters!$Q:$Q,EB23)</f>
        <v>0</v>
      </c>
      <c r="FZ23" s="50">
        <f>COUNTIFS(Parameters!$S:$S,$D$4,Parameters!$Q:$Q,EC23)</f>
        <v>0</v>
      </c>
      <c r="GA23" s="50">
        <f>COUNTIFS(Parameters!$S:$S,$D$4,Parameters!$Q:$Q,ED23)</f>
        <v>0</v>
      </c>
      <c r="GB23" s="50">
        <f>COUNTIFS(Parameters!$S:$S,$D$4,Parameters!$Q:$Q,EE23)</f>
        <v>0</v>
      </c>
      <c r="GC23" s="50">
        <f>COUNTIFS(Parameters!$S:$S,$D$4,Parameters!$Q:$Q,EF23)</f>
        <v>0</v>
      </c>
      <c r="GD23" s="50">
        <f>COUNTIFS(Parameters!$S:$S,$D$4,Parameters!$Q:$Q,EG23)</f>
        <v>0</v>
      </c>
      <c r="GE23" s="50">
        <f>COUNTIFS(Parameters!$S:$S,$D$4,Parameters!$Q:$Q,EH23)</f>
        <v>0</v>
      </c>
      <c r="GF23" s="50">
        <f>COUNTIFS(Parameters!$S:$S,$D$4,Parameters!$Q:$Q,EI23)</f>
        <v>0</v>
      </c>
      <c r="GG23" s="50">
        <f>COUNTIFS(Parameters!$S:$S,$D$4,Parameters!$Q:$Q,EJ23)</f>
        <v>0</v>
      </c>
      <c r="GH23" s="57">
        <f>COUNTIFS(Parameters!$S:$S,$D$4,Parameters!$Q:$Q,EK23)</f>
        <v>0</v>
      </c>
      <c r="GK23" s="49">
        <f>COUNTIFS(Parameters!$S:$S,$D$4,Parameters!$Q:$Q,EN23)</f>
        <v>0</v>
      </c>
      <c r="GL23" s="50">
        <f>COUNTIFS(Parameters!$S:$S,$D$4,Parameters!$Q:$Q,EO23)</f>
        <v>0</v>
      </c>
      <c r="GM23" s="50">
        <f>COUNTIFS(Parameters!$S:$S,$D$4,Parameters!$Q:$Q,EP23)</f>
        <v>0</v>
      </c>
      <c r="GN23" s="50">
        <f>COUNTIFS(Parameters!$S:$S,$D$4,Parameters!$Q:$Q,EQ23)</f>
        <v>0</v>
      </c>
      <c r="GO23" s="50">
        <f>COUNTIFS(Parameters!$S:$S,$D$4,Parameters!$Q:$Q,ER23)</f>
        <v>0</v>
      </c>
      <c r="GP23" s="50">
        <f>COUNTIFS(Parameters!$S:$S,$D$4,Parameters!$Q:$Q,ES23)</f>
        <v>0</v>
      </c>
      <c r="GQ23" s="50">
        <f>COUNTIFS(Parameters!$S:$S,$D$4,Parameters!$Q:$Q,ET23)</f>
        <v>0</v>
      </c>
      <c r="GR23" s="50">
        <f>COUNTIFS(Parameters!$S:$S,$D$4,Parameters!$Q:$Q,EU23)</f>
        <v>0</v>
      </c>
      <c r="GS23" s="50">
        <f>COUNTIFS(Parameters!$S:$S,$D$4,Parameters!$Q:$Q,EV23)</f>
        <v>0</v>
      </c>
      <c r="GT23" s="50">
        <f>COUNTIFS(Parameters!$S:$S,$D$4,Parameters!$Q:$Q,EW23)</f>
        <v>0</v>
      </c>
      <c r="GU23" s="50">
        <f>COUNTIFS(Parameters!$S:$S,$D$4,Parameters!$Q:$Q,EX23)</f>
        <v>0</v>
      </c>
      <c r="GV23" s="50">
        <f>COUNTIFS(Parameters!$S:$S,$D$4,Parameters!$Q:$Q,EY23)</f>
        <v>0</v>
      </c>
      <c r="GW23" s="50">
        <f>COUNTIFS(Parameters!$S:$S,$D$4,Parameters!$Q:$Q,EZ23)</f>
        <v>0</v>
      </c>
      <c r="GX23" s="57">
        <f>COUNTIFS(Parameters!$S:$S,$D$4,Parameters!$Q:$Q,FA23)</f>
        <v>0</v>
      </c>
      <c r="HB23" s="49">
        <f>IF(DH23="","",COUNTIFS($D$25:$D$267,Parameters!$K$2,$E$25:$E$267,Parameters!$M$2,Calendrier!$C$25:$C$267,DH23)+ COUNTIFS($D$25:$D$267,Parameters!$K$3,$E$25:$E$267,Parameters!$M$2,Calendrier!$C$25:$C$267,DH23))</f>
        <v>0</v>
      </c>
      <c r="HC23" s="50">
        <f>IF(DI23="","",COUNTIFS($D$25:$D$267,Parameters!$K$2,$E$25:$E$267,Parameters!$M$2,Calendrier!$C$25:$C$267,DI23)+ COUNTIFS($D$25:$D$267,Parameters!$K$4,$E$25:$E$267,Parameters!$M$2,Calendrier!$C$25:$C$267,DI23))</f>
        <v>0</v>
      </c>
      <c r="HD23" s="50">
        <f>IF(DJ23="","",COUNTIFS($D$25:$D$267,Parameters!$K$2,$E$25:$E$267,Parameters!$M$2,Calendrier!$C$25:$C$267,DJ23)+ COUNTIFS($D$25:$D$267,Parameters!$K$3,$E$25:$E$267,Parameters!$M$2,Calendrier!$C$25:$C$267,DJ23))</f>
        <v>0</v>
      </c>
      <c r="HE23" s="50">
        <f>IF(DK23="","",COUNTIFS($D$25:$D$267,Parameters!$K$2,$E$25:$E$267,Parameters!$M$2,Calendrier!$C$25:$C$267,DK23)+ COUNTIFS($D$25:$D$267,Parameters!$K$4,$E$25:$E$267,Parameters!$M$2,Calendrier!$C$25:$C$267,DK23))</f>
        <v>0</v>
      </c>
      <c r="HF23" s="50">
        <f>IF(DL23="","",COUNTIFS($D$25:$D$267,Parameters!$K$2,$E$25:$E$267,Parameters!$M$2,Calendrier!$C$25:$C$267,DL23)+ COUNTIFS($D$25:$D$267,Parameters!$K$3,$E$25:$E$267,Parameters!$M$2,Calendrier!$C$25:$C$267,DL23))</f>
        <v>0</v>
      </c>
      <c r="HG23" s="50">
        <f>IF(DM23="","",COUNTIFS($D$25:$D$267,Parameters!$K$2,$E$25:$E$267,Parameters!$M$2,Calendrier!$C$25:$C$267,DM23)+ COUNTIFS($D$25:$D$267,Parameters!$K$4,$E$25:$E$267,Parameters!$M$2,Calendrier!$C$25:$C$267,DM23))</f>
        <v>0</v>
      </c>
      <c r="HH23" s="50">
        <f>IF(DN23="","",COUNTIFS($D$25:$D$267,Parameters!$K$2,$E$25:$E$267,Parameters!$M$2,Calendrier!$C$25:$C$267,DN23)+ COUNTIFS($D$25:$D$267,Parameters!$K$3,$E$25:$E$267,Parameters!$M$2,Calendrier!$C$25:$C$267,DN23))</f>
        <v>0</v>
      </c>
      <c r="HI23" s="50">
        <f>IF(DO23="","",COUNTIFS($D$25:$D$267,Parameters!$K$2,$E$25:$E$267,Parameters!$M$2,Calendrier!$C$25:$C$267,DO23)+ COUNTIFS($D$25:$D$267,Parameters!$K$4,$E$25:$E$267,Parameters!$M$2,Calendrier!$C$25:$C$267,DO23))</f>
        <v>0</v>
      </c>
      <c r="HJ23" s="50" t="str">
        <f>IF(DP23="","",COUNTIFS($D$25:$D$267,Parameters!$K$2,$E$25:$E$267,Parameters!$M$2,Calendrier!$C$25:$C$267,DP23)+ COUNTIFS($D$25:$D$267,Parameters!$K$3,$E$25:$E$267,Parameters!$M$2,Calendrier!$C$25:$C$267,DP23))</f>
        <v/>
      </c>
      <c r="HK23" s="50" t="str">
        <f>IF(DQ23="","",COUNTIFS($D$25:$D$267,Parameters!$K$2,$E$25:$E$267,Parameters!$M$2,Calendrier!$C$25:$C$267,DQ23)+ COUNTIFS($D$25:$D$267,Parameters!$K$4,$E$25:$E$267,Parameters!$M$2,Calendrier!$C$25:$C$267,DQ23))</f>
        <v/>
      </c>
      <c r="HL23" s="50" t="str">
        <f>IF(DR23="","",COUNTIFS($D$25:$D$267,Parameters!$K$2,$E$25:$E$267,Parameters!$M$2,Calendrier!$C$25:$C$267,DR23)+ COUNTIFS($D$25:$D$267,Parameters!$K$3,$E$25:$E$267,Parameters!$M$2,Calendrier!$C$25:$C$267,DR23))</f>
        <v/>
      </c>
      <c r="HM23" s="50" t="str">
        <f>IF(DS23="","",COUNTIFS($D$25:$D$267,Parameters!$K$2,$E$25:$E$267,Parameters!$M$2,Calendrier!$C$25:$C$267,DS23)+ COUNTIFS($D$25:$D$267,Parameters!$K$4,$E$25:$E$267,Parameters!$M$2,Calendrier!$C$25:$C$267,DS23))</f>
        <v/>
      </c>
      <c r="HN23" s="50" t="str">
        <f>IF(DT23="","",COUNTIFS($D$25:$D$267,Parameters!$K$2,$E$25:$E$267,Parameters!$M$2,Calendrier!$C$25:$C$267,DT23)+ COUNTIFS($D$25:$D$267,Parameters!$K$3,$E$25:$E$267,Parameters!$M$2,Calendrier!$C$25:$C$267,DT23))</f>
        <v/>
      </c>
      <c r="HO23" s="57" t="str">
        <f>IF(DU23="","",COUNTIFS($D$25:$D$267,Parameters!$K$2,$E$25:$E$267,Parameters!$M$2,Calendrier!$C$25:$C$267,DU23)+ COUNTIFS($D$25:$D$267,Parameters!$K$4,$E$25:$E$267,Parameters!$M$2,Calendrier!$C$25:$C$267,DU23))</f>
        <v/>
      </c>
      <c r="HR23" s="49">
        <f>IF(DX23="","",COUNTIFS($D$25:$D$267,Parameters!$K$2,$E$25:$E$267,Parameters!$M$2,Calendrier!$C$25:$C$267,DX23)+ COUNTIFS($D$25:$D$267,Parameters!$K$3,$E$25:$E$267,Parameters!$M$2,Calendrier!$C$25:$C$267,DX23))</f>
        <v>0</v>
      </c>
      <c r="HS23" s="50">
        <f>IF(DY23="","",COUNTIFS($D$25:$D$267,Parameters!$K$2,$E$25:$E$267,Parameters!$M$2,Calendrier!$C$25:$C$267,DY23)+ COUNTIFS($D$25:$D$267,Parameters!$K$4,$E$25:$E$267,Parameters!$M$2,Calendrier!$C$25:$C$267,DY23))</f>
        <v>0</v>
      </c>
      <c r="HT23" s="50">
        <f>IF(DZ23="","",COUNTIFS($D$25:$D$267,Parameters!$K$2,$E$25:$E$267,Parameters!$M$2,Calendrier!$C$25:$C$267,DZ23)+ COUNTIFS($D$25:$D$267,Parameters!$K$3,$E$25:$E$267,Parameters!$M$2,Calendrier!$C$25:$C$267,DZ23))</f>
        <v>0</v>
      </c>
      <c r="HU23" s="50">
        <f>IF(EA23="","",COUNTIFS($D$25:$D$267,Parameters!$K$2,$E$25:$E$267,Parameters!$M$2,Calendrier!$C$25:$C$267,EA23)+ COUNTIFS($D$25:$D$267,Parameters!$K$4,$E$25:$E$267,Parameters!$M$2,Calendrier!$C$25:$C$267,EA23))</f>
        <v>0</v>
      </c>
      <c r="HV23" s="50">
        <f>IF(EB23="","",COUNTIFS($D$25:$D$267,Parameters!$K$2,$E$25:$E$267,Parameters!$M$2,Calendrier!$C$25:$C$267,EB23)+ COUNTIFS($D$25:$D$267,Parameters!$K$3,$E$25:$E$267,Parameters!$M$2,Calendrier!$C$25:$C$267,EB23))</f>
        <v>0</v>
      </c>
      <c r="HW23" s="50">
        <f>IF(EC23="","",COUNTIFS($D$25:$D$267,Parameters!$K$2,$E$25:$E$267,Parameters!$M$2,Calendrier!$C$25:$C$267,EC23)+ COUNTIFS($D$25:$D$267,Parameters!$K$4,$E$25:$E$267,Parameters!$M$2,Calendrier!$C$25:$C$267,EC23))</f>
        <v>0</v>
      </c>
      <c r="HX23" s="50">
        <f>IF(ED23="","",COUNTIFS($D$25:$D$267,Parameters!$K$2,$E$25:$E$267,Parameters!$M$2,Calendrier!$C$25:$C$267,ED23)+ COUNTIFS($D$25:$D$267,Parameters!$K$3,$E$25:$E$267,Parameters!$M$2,Calendrier!$C$25:$C$267,ED23))</f>
        <v>0</v>
      </c>
      <c r="HY23" s="50">
        <f>IF(EE23="","",COUNTIFS($D$25:$D$267,Parameters!$K$2,$E$25:$E$267,Parameters!$M$2,Calendrier!$C$25:$C$267,EE23)+ COUNTIFS($D$25:$D$267,Parameters!$K$4,$E$25:$E$267,Parameters!$M$2,Calendrier!$C$25:$C$267,EE23))</f>
        <v>0</v>
      </c>
      <c r="HZ23" s="50">
        <f>IF(EF23="","",COUNTIFS($D$25:$D$267,Parameters!$K$2,$E$25:$E$267,Parameters!$M$2,Calendrier!$C$25:$C$267,EF23)+ COUNTIFS($D$25:$D$267,Parameters!$K$3,$E$25:$E$267,Parameters!$M$2,Calendrier!$C$25:$C$267,EF23))</f>
        <v>0</v>
      </c>
      <c r="IA23" s="50">
        <f>IF(EG23="","",COUNTIFS($D$25:$D$267,Parameters!$K$2,$E$25:$E$267,Parameters!$M$2,Calendrier!$C$25:$C$267,EG23)+ COUNTIFS($D$25:$D$267,Parameters!$K$4,$E$25:$E$267,Parameters!$M$2,Calendrier!$C$25:$C$267,EG23))</f>
        <v>0</v>
      </c>
      <c r="IB23" s="50">
        <f>IF(EH23="","",COUNTIFS($D$25:$D$267,Parameters!$K$2,$E$25:$E$267,Parameters!$M$2,Calendrier!$C$25:$C$267,EH23)+ COUNTIFS($D$25:$D$267,Parameters!$K$3,$E$25:$E$267,Parameters!$M$2,Calendrier!$C$25:$C$267,EH23))</f>
        <v>0</v>
      </c>
      <c r="IC23" s="50">
        <f>IF(EI23="","",COUNTIFS($D$25:$D$267,Parameters!$K$2,$E$25:$E$267,Parameters!$M$2,Calendrier!$C$25:$C$267,EI23)+ COUNTIFS($D$25:$D$267,Parameters!$K$4,$E$25:$E$267,Parameters!$M$2,Calendrier!$C$25:$C$267,EI23))</f>
        <v>0</v>
      </c>
      <c r="ID23" s="50">
        <f>IF(EJ23="","",COUNTIFS($D$25:$D$267,Parameters!$K$2,$E$25:$E$267,Parameters!$M$2,Calendrier!$C$25:$C$267,EJ23)+ COUNTIFS($D$25:$D$267,Parameters!$K$3,$E$25:$E$267,Parameters!$M$2,Calendrier!$C$25:$C$267,EJ23))</f>
        <v>0</v>
      </c>
      <c r="IE23" s="57">
        <f>IF(EK23="","",COUNTIFS($D$25:$D$267,Parameters!$K$2,$E$25:$E$267,Parameters!$M$2,Calendrier!$C$25:$C$267,EK23)+ COUNTIFS($D$25:$D$267,Parameters!$K$4,$E$25:$E$267,Parameters!$M$2,Calendrier!$C$25:$C$267,EK23))</f>
        <v>0</v>
      </c>
      <c r="IH23" s="49">
        <f>IF(EN23="","",COUNTIFS($D$25:$D$267,Parameters!$K$2,$E$25:$E$267,Parameters!$M$2,Calendrier!$C$25:$C$267,EN23)+ COUNTIFS($D$25:$D$267,Parameters!$K$3,$E$25:$E$267,Parameters!$M$2,Calendrier!$C$25:$C$267,EN23))</f>
        <v>0</v>
      </c>
      <c r="II23" s="50">
        <f>IF(EO23="","",COUNTIFS($D$25:$D$267,Parameters!$K$2,$E$25:$E$267,Parameters!$M$2,Calendrier!$C$25:$C$267,EO23)+ COUNTIFS($D$25:$D$267,Parameters!$K$4,$E$25:$E$267,Parameters!$M$2,Calendrier!$C$25:$C$267,EO23))</f>
        <v>0</v>
      </c>
      <c r="IJ23" s="50">
        <f>IF(EP23="","",COUNTIFS($D$25:$D$267,Parameters!$K$2,$E$25:$E$267,Parameters!$M$2,Calendrier!$C$25:$C$267,EP23)+ COUNTIFS($D$25:$D$267,Parameters!$K$3,$E$25:$E$267,Parameters!$M$2,Calendrier!$C$25:$C$267,EP23))</f>
        <v>0</v>
      </c>
      <c r="IK23" s="50">
        <f>IF(EQ23="","",COUNTIFS($D$25:$D$267,Parameters!$K$2,$E$25:$E$267,Parameters!$M$2,Calendrier!$C$25:$C$267,EQ23)+ COUNTIFS($D$25:$D$267,Parameters!$K$4,$E$25:$E$267,Parameters!$M$2,Calendrier!$C$25:$C$267,EQ23))</f>
        <v>0</v>
      </c>
      <c r="IL23" s="50" t="str">
        <f>IF(ER23="","",COUNTIFS($D$25:$D$267,Parameters!$K$2,$E$25:$E$267,Parameters!$M$2,Calendrier!$C$25:$C$267,ER23)+ COUNTIFS($D$25:$D$267,Parameters!$K$3,$E$25:$E$267,Parameters!$M$2,Calendrier!$C$25:$C$267,ER23))</f>
        <v/>
      </c>
      <c r="IM23" s="50" t="str">
        <f>IF(ES23="","",COUNTIFS($D$25:$D$267,Parameters!$K$2,$E$25:$E$267,Parameters!$M$2,Calendrier!$C$25:$C$267,ES23)+ COUNTIFS($D$25:$D$267,Parameters!$K$4,$E$25:$E$267,Parameters!$M$2,Calendrier!$C$25:$C$267,ES23))</f>
        <v/>
      </c>
      <c r="IN23" s="50" t="str">
        <f>IF(ET23="","",COUNTIFS($D$25:$D$267,Parameters!$K$2,$E$25:$E$267,Parameters!$M$2,Calendrier!$C$25:$C$267,ET23)+ COUNTIFS($D$25:$D$267,Parameters!$K$3,$E$25:$E$267,Parameters!$M$2,Calendrier!$C$25:$C$267,ET23))</f>
        <v/>
      </c>
      <c r="IO23" s="50" t="str">
        <f>IF(EU23="","",COUNTIFS($D$25:$D$267,Parameters!$K$2,$E$25:$E$267,Parameters!$M$2,Calendrier!$C$25:$C$267,EU23)+ COUNTIFS($D$25:$D$267,Parameters!$K$4,$E$25:$E$267,Parameters!$M$2,Calendrier!$C$25:$C$267,EU23))</f>
        <v/>
      </c>
      <c r="IP23" s="50" t="str">
        <f>IF(EV23="","",COUNTIFS($D$25:$D$267,Parameters!$K$2,$E$25:$E$267,Parameters!$M$2,Calendrier!$C$25:$C$267,EV23)+ COUNTIFS($D$25:$D$267,Parameters!$K$3,$E$25:$E$267,Parameters!$M$2,Calendrier!$C$25:$C$267,EV23))</f>
        <v/>
      </c>
      <c r="IQ23" s="50" t="str">
        <f>IF(EW23="","",COUNTIFS($D$25:$D$267,Parameters!$K$2,$E$25:$E$267,Parameters!$M$2,Calendrier!$C$25:$C$267,EW23)+ COUNTIFS($D$25:$D$267,Parameters!$K$4,$E$25:$E$267,Parameters!$M$2,Calendrier!$C$25:$C$267,EW23))</f>
        <v/>
      </c>
      <c r="IR23" s="50" t="str">
        <f>IF(EX23="","",COUNTIFS($D$25:$D$267,Parameters!$K$2,$E$25:$E$267,Parameters!$M$2,Calendrier!$C$25:$C$267,EX23)+ COUNTIFS($D$25:$D$267,Parameters!$K$3,$E$25:$E$267,Parameters!$M$2,Calendrier!$C$25:$C$267,EX23))</f>
        <v/>
      </c>
      <c r="IS23" s="50" t="str">
        <f>IF(EY23="","",COUNTIFS($D$25:$D$267,Parameters!$K$2,$E$25:$E$267,Parameters!$M$2,Calendrier!$C$25:$C$267,EY23)+ COUNTIFS($D$25:$D$267,Parameters!$K$4,$E$25:$E$267,Parameters!$M$2,Calendrier!$C$25:$C$267,EY23))</f>
        <v/>
      </c>
      <c r="IT23" s="50" t="str">
        <f>IF(EZ23="","",COUNTIFS($D$25:$D$267,Parameters!$K$2,$E$25:$E$267,Parameters!$M$2,Calendrier!$C$25:$C$267,EZ23)+ COUNTIFS($D$25:$D$267,Parameters!$K$3,$E$25:$E$267,Parameters!$M$2,Calendrier!$C$25:$C$267,EZ23))</f>
        <v/>
      </c>
      <c r="IU23" s="57" t="str">
        <f>IF(FA23="","",COUNTIFS($D$25:$D$267,Parameters!$K$2,$E$25:$E$267,Parameters!$M$2,Calendrier!$C$25:$C$267,FA23)+ COUNTIFS($D$25:$D$267,Parameters!$K$4,$E$25:$E$267,Parameters!$M$2,Calendrier!$C$25:$C$267,FA23))</f>
        <v/>
      </c>
      <c r="IY23" s="49">
        <f>IF(DH23="","",COUNTIFS($D$25:$D$267,Parameters!$K$2,$E$25:$E$267,Parameters!$M$3,Calendrier!$C$25:$C$267,DH23)+ COUNTIFS($D$25:$D$267,Parameters!$K$3,$E$25:$E$267,Parameters!$M$3,Calendrier!$C$25:$C$267,DH23))</f>
        <v>0</v>
      </c>
      <c r="IZ23" s="50">
        <f>IF(DI23="","",COUNTIFS($D$25:$D$267,Parameters!$K$2,$E$25:$E$267,Parameters!$M$3,Calendrier!$C$25:$C$267,DI23)+ COUNTIFS($D$25:$D$267,Parameters!$K$4,$E$25:$E$267,Parameters!$M$3,Calendrier!$C$25:$C$267,DI23))</f>
        <v>0</v>
      </c>
      <c r="JA23" s="50">
        <f>IF(DJ23="","",COUNTIFS($D$25:$D$267,Parameters!$K$2,$E$25:$E$267,Parameters!$M$3,Calendrier!$C$25:$C$267,DJ23)+ COUNTIFS($D$25:$D$267,Parameters!$K$3,$E$25:$E$267,Parameters!$M$3,Calendrier!$C$25:$C$267,DJ23))</f>
        <v>0</v>
      </c>
      <c r="JB23" s="50">
        <f>IF(DK23="","",COUNTIFS($D$25:$D$267,Parameters!$K$2,$E$25:$E$267,Parameters!$M$3,Calendrier!$C$25:$C$267,DK23)+ COUNTIFS($D$25:$D$267,Parameters!$K$4,$E$25:$E$267,Parameters!$M$3,Calendrier!$C$25:$C$267,DK23))</f>
        <v>0</v>
      </c>
      <c r="JC23" s="50">
        <f>IF(DL23="","",COUNTIFS($D$25:$D$267,Parameters!$K$2,$E$25:$E$267,Parameters!$M$3,Calendrier!$C$25:$C$267,DL23)+ COUNTIFS($D$25:$D$267,Parameters!$K$3,$E$25:$E$267,Parameters!$M$3,Calendrier!$C$25:$C$267,DL23))</f>
        <v>0</v>
      </c>
      <c r="JD23" s="50">
        <f>IF(DM23="","",COUNTIFS($D$25:$D$267,Parameters!$K$2,$E$25:$E$267,Parameters!$M$3,Calendrier!$C$25:$C$267,DM23)+ COUNTIFS($D$25:$D$267,Parameters!$K$4,$E$25:$E$267,Parameters!$M$3,Calendrier!$C$25:$C$267,DM23))</f>
        <v>0</v>
      </c>
      <c r="JE23" s="50">
        <f>IF(DN23="","",COUNTIFS($D$25:$D$267,Parameters!$K$2,$E$25:$E$267,Parameters!$M$3,Calendrier!$C$25:$C$267,DN23)+ COUNTIFS($D$25:$D$267,Parameters!$K$3,$E$25:$E$267,Parameters!$M$3,Calendrier!$C$25:$C$267,DN23))</f>
        <v>0</v>
      </c>
      <c r="JF23" s="50">
        <f>IF(DO23="","",COUNTIFS($D$25:$D$267,Parameters!$K$2,$E$25:$E$267,Parameters!$M$3,Calendrier!$C$25:$C$267,DO23)+ COUNTIFS($D$25:$D$267,Parameters!$K$4,$E$25:$E$267,Parameters!$M$3,Calendrier!$C$25:$C$267,DO23))</f>
        <v>0</v>
      </c>
      <c r="JG23" s="50" t="str">
        <f>IF(DP23="","",COUNTIFS($D$25:$D$267,Parameters!$K$2,$E$25:$E$267,Parameters!$M$3,Calendrier!$C$25:$C$267,DP23)+ COUNTIFS($D$25:$D$267,Parameters!$K$3,$E$25:$E$267,Parameters!$M$3,Calendrier!$C$25:$C$267,DP23))</f>
        <v/>
      </c>
      <c r="JH23" s="50" t="str">
        <f>IF(DQ23="","",COUNTIFS($D$25:$D$267,Parameters!$K$2,$E$25:$E$267,Parameters!$M$3,Calendrier!$C$25:$C$267,DQ23)+ COUNTIFS($D$25:$D$267,Parameters!$K$4,$E$25:$E$267,Parameters!$M$3,Calendrier!$C$25:$C$267,DQ23))</f>
        <v/>
      </c>
      <c r="JI23" s="50" t="str">
        <f>IF(DR23="","",COUNTIFS($D$25:$D$267,Parameters!$K$2,$E$25:$E$267,Parameters!$M$3,Calendrier!$C$25:$C$267,DR23)+ COUNTIFS($D$25:$D$267,Parameters!$K$3,$E$25:$E$267,Parameters!$M$3,Calendrier!$C$25:$C$267,DR23))</f>
        <v/>
      </c>
      <c r="JJ23" s="50" t="str">
        <f>IF(DS23="","",COUNTIFS($D$25:$D$267,Parameters!$K$2,$E$25:$E$267,Parameters!$M$3,Calendrier!$C$25:$C$267,DS23)+ COUNTIFS($D$25:$D$267,Parameters!$K$4,$E$25:$E$267,Parameters!$M$3,Calendrier!$C$25:$C$267,DS23))</f>
        <v/>
      </c>
      <c r="JK23" s="50" t="str">
        <f>IF(DT23="","",COUNTIFS($D$25:$D$267,Parameters!$K$2,$E$25:$E$267,Parameters!$M$3,Calendrier!$C$25:$C$267,DT23)+ COUNTIFS($D$25:$D$267,Parameters!$K$3,$E$25:$E$267,Parameters!$M$3,Calendrier!$C$25:$C$267,DT23))</f>
        <v/>
      </c>
      <c r="JL23" s="57" t="str">
        <f>IF(DU23="","",COUNTIFS($D$25:$D$267,Parameters!$K$2,$E$25:$E$267,Parameters!$M$3,Calendrier!$C$25:$C$267,DU23)+ COUNTIFS($D$25:$D$267,Parameters!$K$4,$E$25:$E$267,Parameters!$M$3,Calendrier!$C$25:$C$267,DU23))</f>
        <v/>
      </c>
      <c r="JO23" s="49">
        <f>IF(DX23="","",COUNTIFS($D$25:$D$267,Parameters!$K$2,$E$25:$E$267,Parameters!$M$3,Calendrier!$C$25:$C$267,DX23)+ COUNTIFS($D$25:$D$267,Parameters!$K$3,$E$25:$E$267,Parameters!$M$3,Calendrier!$C$25:$C$267,DX23))</f>
        <v>0</v>
      </c>
      <c r="JP23" s="50">
        <f>IF(DY23="","",COUNTIFS($D$25:$D$267,Parameters!$K$2,$E$25:$E$267,Parameters!$M$3,Calendrier!$C$25:$C$267,DY23)+ COUNTIFS($D$25:$D$267,Parameters!$K$4,$E$25:$E$267,Parameters!$M$3,Calendrier!$C$25:$C$267,DY23))</f>
        <v>0</v>
      </c>
      <c r="JQ23" s="50">
        <f>IF(DZ23="","",COUNTIFS($D$25:$D$267,Parameters!$K$2,$E$25:$E$267,Parameters!$M$3,Calendrier!$C$25:$C$267,DZ23)+ COUNTIFS($D$25:$D$267,Parameters!$K$3,$E$25:$E$267,Parameters!$M$3,Calendrier!$C$25:$C$267,DZ23))</f>
        <v>0</v>
      </c>
      <c r="JR23" s="50">
        <f>IF(EA23="","",COUNTIFS($D$25:$D$267,Parameters!$K$2,$E$25:$E$267,Parameters!$M$3,Calendrier!$C$25:$C$267,EA23)+ COUNTIFS($D$25:$D$267,Parameters!$K$4,$E$25:$E$267,Parameters!$M$3,Calendrier!$C$25:$C$267,EA23))</f>
        <v>0</v>
      </c>
      <c r="JS23" s="50">
        <f>IF(EB23="","",COUNTIFS($D$25:$D$267,Parameters!$K$2,$E$25:$E$267,Parameters!$M$3,Calendrier!$C$25:$C$267,EB23)+ COUNTIFS($D$25:$D$267,Parameters!$K$3,$E$25:$E$267,Parameters!$M$3,Calendrier!$C$25:$C$267,EB23))</f>
        <v>0</v>
      </c>
      <c r="JT23" s="50">
        <f>IF(EC23="","",COUNTIFS($D$25:$D$267,Parameters!$K$2,$E$25:$E$267,Parameters!$M$3,Calendrier!$C$25:$C$267,EC23)+ COUNTIFS($D$25:$D$267,Parameters!$K$4,$E$25:$E$267,Parameters!$M$3,Calendrier!$C$25:$C$267,EC23))</f>
        <v>0</v>
      </c>
      <c r="JU23" s="50">
        <f>IF(ED23="","",COUNTIFS($D$25:$D$267,Parameters!$K$2,$E$25:$E$267,Parameters!$M$3,Calendrier!$C$25:$C$267,ED23)+ COUNTIFS($D$25:$D$267,Parameters!$K$3,$E$25:$E$267,Parameters!$M$3,Calendrier!$C$25:$C$267,ED23))</f>
        <v>0</v>
      </c>
      <c r="JV23" s="50">
        <f>IF(EE23="","",COUNTIFS($D$25:$D$267,Parameters!$K$2,$E$25:$E$267,Parameters!$M$3,Calendrier!$C$25:$C$267,EE23)+ COUNTIFS($D$25:$D$267,Parameters!$K$4,$E$25:$E$267,Parameters!$M$3,Calendrier!$C$25:$C$267,EE23))</f>
        <v>0</v>
      </c>
      <c r="JW23" s="50">
        <f>IF(EF23="","",COUNTIFS($D$25:$D$267,Parameters!$K$2,$E$25:$E$267,Parameters!$M$3,Calendrier!$C$25:$C$267,EF23)+ COUNTIFS($D$25:$D$267,Parameters!$K$3,$E$25:$E$267,Parameters!$M$3,Calendrier!$C$25:$C$267,EF23))</f>
        <v>0</v>
      </c>
      <c r="JX23" s="50">
        <f>IF(EG23="","",COUNTIFS($D$25:$D$267,Parameters!$K$2,$E$25:$E$267,Parameters!$M$3,Calendrier!$C$25:$C$267,EG23)+ COUNTIFS($D$25:$D$267,Parameters!$K$4,$E$25:$E$267,Parameters!$M$3,Calendrier!$C$25:$C$267,EG23))</f>
        <v>0</v>
      </c>
      <c r="JY23" s="50">
        <f>IF(EH23="","",COUNTIFS($D$25:$D$267,Parameters!$K$2,$E$25:$E$267,Parameters!$M$3,Calendrier!$C$25:$C$267,EH23)+ COUNTIFS($D$25:$D$267,Parameters!$K$3,$E$25:$E$267,Parameters!$M$3,Calendrier!$C$25:$C$267,EH23))</f>
        <v>0</v>
      </c>
      <c r="JZ23" s="50">
        <f>IF(EI23="","",COUNTIFS($D$25:$D$267,Parameters!$K$2,$E$25:$E$267,Parameters!$M$3,Calendrier!$C$25:$C$267,EI23)+ COUNTIFS($D$25:$D$267,Parameters!$K$4,$E$25:$E$267,Parameters!$M$3,Calendrier!$C$25:$C$267,EI23))</f>
        <v>0</v>
      </c>
      <c r="KA23" s="50">
        <f>IF(EJ23="","",COUNTIFS($D$25:$D$267,Parameters!$K$2,$E$25:$E$267,Parameters!$M$3,Calendrier!$C$25:$C$267,EJ23)+ COUNTIFS($D$25:$D$267,Parameters!$K$3,$E$25:$E$267,Parameters!$M$3,Calendrier!$C$25:$C$267,EJ23))</f>
        <v>0</v>
      </c>
      <c r="KB23" s="57">
        <f>IF(EK23="","",COUNTIFS($D$25:$D$267,Parameters!$K$2,$E$25:$E$267,Parameters!$M$3,Calendrier!$C$25:$C$267,EK23)+ COUNTIFS($D$25:$D$267,Parameters!$K$4,$E$25:$E$267,Parameters!$M$3,Calendrier!$C$25:$C$267,EK23))</f>
        <v>0</v>
      </c>
      <c r="KE23" s="49">
        <f>IF(EN23="","",COUNTIFS($D$25:$D$267,Parameters!$K$2,$E$25:$E$267,Parameters!$M$3,Calendrier!$C$25:$C$267,EN23)+ COUNTIFS($D$25:$D$267,Parameters!$K$3,$E$25:$E$267,Parameters!$M$3,Calendrier!$C$25:$C$267,EN23))</f>
        <v>0</v>
      </c>
      <c r="KF23" s="50">
        <f>IF(EO23="","",COUNTIFS($D$25:$D$267,Parameters!$K$2,$E$25:$E$267,Parameters!$M$3,Calendrier!$C$25:$C$267,EO23)+ COUNTIFS($D$25:$D$267,Parameters!$K$4,$E$25:$E$267,Parameters!$M$3,Calendrier!$C$25:$C$267,EO23))</f>
        <v>0</v>
      </c>
      <c r="KG23" s="50">
        <f>IF(EP23="","",COUNTIFS($D$25:$D$267,Parameters!$K$2,$E$25:$E$267,Parameters!$M$3,Calendrier!$C$25:$C$267,EP23)+ COUNTIFS($D$25:$D$267,Parameters!$K$3,$E$25:$E$267,Parameters!$M$3,Calendrier!$C$25:$C$267,EP23))</f>
        <v>0</v>
      </c>
      <c r="KH23" s="50">
        <f>IF(EQ23="","",COUNTIFS($D$25:$D$267,Parameters!$K$2,$E$25:$E$267,Parameters!$M$3,Calendrier!$C$25:$C$267,EQ23)+ COUNTIFS($D$25:$D$267,Parameters!$K$4,$E$25:$E$267,Parameters!$M$3,Calendrier!$C$25:$C$267,EQ23))</f>
        <v>0</v>
      </c>
      <c r="KI23" s="50" t="str">
        <f>IF(ER23="","",COUNTIFS($D$25:$D$267,Parameters!$K$2,$E$25:$E$267,Parameters!$M$3,Calendrier!$C$25:$C$267,ER23)+ COUNTIFS($D$25:$D$267,Parameters!$K$3,$E$25:$E$267,Parameters!$M$3,Calendrier!$C$25:$C$267,ER23))</f>
        <v/>
      </c>
      <c r="KJ23" s="50" t="str">
        <f>IF(ES23="","",COUNTIFS($D$25:$D$267,Parameters!$K$2,$E$25:$E$267,Parameters!$M$3,Calendrier!$C$25:$C$267,ES23)+ COUNTIFS($D$25:$D$267,Parameters!$K$4,$E$25:$E$267,Parameters!$M$3,Calendrier!$C$25:$C$267,ES23))</f>
        <v/>
      </c>
      <c r="KK23" s="50" t="str">
        <f>IF(ET23="","",COUNTIFS($D$25:$D$267,Parameters!$K$2,$E$25:$E$267,Parameters!$M$3,Calendrier!$C$25:$C$267,ET23)+ COUNTIFS($D$25:$D$267,Parameters!$K$3,$E$25:$E$267,Parameters!$M$3,Calendrier!$C$25:$C$267,ET23))</f>
        <v/>
      </c>
      <c r="KL23" s="50" t="str">
        <f>IF(EU23="","",COUNTIFS($D$25:$D$267,Parameters!$K$2,$E$25:$E$267,Parameters!$M$3,Calendrier!$C$25:$C$267,EU23)+ COUNTIFS($D$25:$D$267,Parameters!$K$4,$E$25:$E$267,Parameters!$M$3,Calendrier!$C$25:$C$267,EU23))</f>
        <v/>
      </c>
      <c r="KM23" s="50" t="str">
        <f>IF(EV23="","",COUNTIFS($D$25:$D$267,Parameters!$K$2,$E$25:$E$267,Parameters!$M$3,Calendrier!$C$25:$C$267,EV23)+ COUNTIFS($D$25:$D$267,Parameters!$K$3,$E$25:$E$267,Parameters!$M$3,Calendrier!$C$25:$C$267,EV23))</f>
        <v/>
      </c>
      <c r="KN23" s="50" t="str">
        <f>IF(EW23="","",COUNTIFS($D$25:$D$267,Parameters!$K$2,$E$25:$E$267,Parameters!$M$3,Calendrier!$C$25:$C$267,EW23)+ COUNTIFS($D$25:$D$267,Parameters!$K$4,$E$25:$E$267,Parameters!$M$3,Calendrier!$C$25:$C$267,EW23))</f>
        <v/>
      </c>
      <c r="KO23" s="50" t="str">
        <f>IF(EX23="","",COUNTIFS($D$25:$D$267,Parameters!$K$2,$E$25:$E$267,Parameters!$M$3,Calendrier!$C$25:$C$267,EX23)+ COUNTIFS($D$25:$D$267,Parameters!$K$3,$E$25:$E$267,Parameters!$M$3,Calendrier!$C$25:$C$267,EX23))</f>
        <v/>
      </c>
      <c r="KP23" s="50" t="str">
        <f>IF(EY23="","",COUNTIFS($D$25:$D$267,Parameters!$K$2,$E$25:$E$267,Parameters!$M$3,Calendrier!$C$25:$C$267,EY23)+ COUNTIFS($D$25:$D$267,Parameters!$K$4,$E$25:$E$267,Parameters!$M$3,Calendrier!$C$25:$C$267,EY23))</f>
        <v/>
      </c>
      <c r="KQ23" s="50" t="str">
        <f>IF(EZ23="","",COUNTIFS($D$25:$D$267,Parameters!$K$2,$E$25:$E$267,Parameters!$M$3,Calendrier!$C$25:$C$267,EZ23)+ COUNTIFS($D$25:$D$267,Parameters!$K$3,$E$25:$E$267,Parameters!$M$3,Calendrier!$C$25:$C$267,EZ23))</f>
        <v/>
      </c>
      <c r="KR23" s="57" t="str">
        <f>IF(FA23="","",COUNTIFS($D$25:$D$267,Parameters!$K$2,$E$25:$E$267,Parameters!$M$3,Calendrier!$C$25:$C$267,FA23)+ COUNTIFS($D$25:$D$267,Parameters!$K$4,$E$25:$E$267,Parameters!$M$3,Calendrier!$C$25:$C$267,FA23))</f>
        <v/>
      </c>
      <c r="KV23" s="49">
        <f>IF(DH23="","",COUNTIFS($D$25:$D$267,Parameters!$K$2,$E$25:$E$267,Parameters!$M$4,Calendrier!$C$25:$C$267,DH23)+ COUNTIFS($D$25:$D$267,Parameters!$K$3,$E$25:$E$267,Parameters!$M$4,Calendrier!$C$25:$C$267,DH23))</f>
        <v>0</v>
      </c>
      <c r="KW23" s="50">
        <f>IF(DI23="","",COUNTIFS($D$25:$D$267,Parameters!$K$2,$E$25:$E$267,Parameters!$M$4,Calendrier!$C$25:$C$267,DI23)+ COUNTIFS($D$25:$D$267,Parameters!$K$4,$E$25:$E$267,Parameters!$M$4,Calendrier!$C$25:$C$267,DI23))</f>
        <v>0</v>
      </c>
      <c r="KX23" s="50">
        <f>IF(DJ23="","",COUNTIFS($D$25:$D$267,Parameters!$K$2,$E$25:$E$267,Parameters!$M$4,Calendrier!$C$25:$C$267,DJ23)+ COUNTIFS($D$25:$D$267,Parameters!$K$3,$E$25:$E$267,Parameters!$M$4,Calendrier!$C$25:$C$267,DJ23))</f>
        <v>0</v>
      </c>
      <c r="KY23" s="50">
        <f>IF(DK23="","",COUNTIFS($D$25:$D$267,Parameters!$K$2,$E$25:$E$267,Parameters!$M$4,Calendrier!$C$25:$C$267,DK23)+ COUNTIFS($D$25:$D$267,Parameters!$K$4,$E$25:$E$267,Parameters!$M$4,Calendrier!$C$25:$C$267,DK23))</f>
        <v>0</v>
      </c>
      <c r="KZ23" s="50">
        <f>IF(DL23="","",COUNTIFS($D$25:$D$267,Parameters!$K$2,$E$25:$E$267,Parameters!$M$4,Calendrier!$C$25:$C$267,DL23)+ COUNTIFS($D$25:$D$267,Parameters!$K$3,$E$25:$E$267,Parameters!$M$4,Calendrier!$C$25:$C$267,DL23))</f>
        <v>0</v>
      </c>
      <c r="LA23" s="50">
        <f>IF(DM23="","",COUNTIFS($D$25:$D$267,Parameters!$K$2,$E$25:$E$267,Parameters!$M$4,Calendrier!$C$25:$C$267,DM23)+ COUNTIFS($D$25:$D$267,Parameters!$K$4,$E$25:$E$267,Parameters!$M$4,Calendrier!$C$25:$C$267,DM23))</f>
        <v>0</v>
      </c>
      <c r="LB23" s="50">
        <f>IF(DN23="","",COUNTIFS($D$25:$D$267,Parameters!$K$2,$E$25:$E$267,Parameters!$M$4,Calendrier!$C$25:$C$267,DN23)+ COUNTIFS($D$25:$D$267,Parameters!$K$3,$E$25:$E$267,Parameters!$M$4,Calendrier!$C$25:$C$267,DN23))</f>
        <v>0</v>
      </c>
      <c r="LC23" s="50">
        <f>IF(DO23="","",COUNTIFS($D$25:$D$267,Parameters!$K$2,$E$25:$E$267,Parameters!$M$4,Calendrier!$C$25:$C$267,DO23)+ COUNTIFS($D$25:$D$267,Parameters!$K$4,$E$25:$E$267,Parameters!$M$4,Calendrier!$C$25:$C$267,DO23))</f>
        <v>0</v>
      </c>
      <c r="LD23" s="50" t="str">
        <f>IF(DP23="","",COUNTIFS($D$25:$D$267,Parameters!$K$2,$E$25:$E$267,Parameters!$M$4,Calendrier!$C$25:$C$267,DP23)+ COUNTIFS($D$25:$D$267,Parameters!$K$3,$E$25:$E$267,Parameters!$M$4,Calendrier!$C$25:$C$267,DP23))</f>
        <v/>
      </c>
      <c r="LE23" s="50" t="str">
        <f>IF(DQ23="","",COUNTIFS($D$25:$D$267,Parameters!$K$2,$E$25:$E$267,Parameters!$M$4,Calendrier!$C$25:$C$267,DQ23)+ COUNTIFS($D$25:$D$267,Parameters!$K$4,$E$25:$E$267,Parameters!$M$4,Calendrier!$C$25:$C$267,DQ23))</f>
        <v/>
      </c>
      <c r="LF23" s="50" t="str">
        <f>IF(DR23="","",COUNTIFS($D$25:$D$267,Parameters!$K$2,$E$25:$E$267,Parameters!$M$4,Calendrier!$C$25:$C$267,DR23)+ COUNTIFS($D$25:$D$267,Parameters!$K$3,$E$25:$E$267,Parameters!$M$4,Calendrier!$C$25:$C$267,DR23))</f>
        <v/>
      </c>
      <c r="LG23" s="50" t="str">
        <f>IF(DS23="","",COUNTIFS($D$25:$D$267,Parameters!$K$2,$E$25:$E$267,Parameters!$M$4,Calendrier!$C$25:$C$267,DS23)+ COUNTIFS($D$25:$D$267,Parameters!$K$4,$E$25:$E$267,Parameters!$M$4,Calendrier!$C$25:$C$267,DS23))</f>
        <v/>
      </c>
      <c r="LH23" s="50" t="str">
        <f>IF(DT23="","",COUNTIFS($D$25:$D$267,Parameters!$K$2,$E$25:$E$267,Parameters!$M$4,Calendrier!$C$25:$C$267,DT23)+ COUNTIFS($D$25:$D$267,Parameters!$K$3,$E$25:$E$267,Parameters!$M$4,Calendrier!$C$25:$C$267,DT23))</f>
        <v/>
      </c>
      <c r="LI23" s="57" t="str">
        <f>IF(DU23="","",COUNTIFS($D$25:$D$267,Parameters!$K$2,$E$25:$E$267,Parameters!$M$4,Calendrier!$C$25:$C$267,DU23)+ COUNTIFS($D$25:$D$267,Parameters!$K$4,$E$25:$E$267,Parameters!$M$4,Calendrier!$C$25:$C$267,DU23))</f>
        <v/>
      </c>
      <c r="LL23" s="49">
        <f>IF(DX23="","",COUNTIFS($D$25:$D$267,Parameters!$K$2,$E$25:$E$267,Parameters!$M$4,Calendrier!$C$25:$C$267,DX23)+ COUNTIFS($D$25:$D$267,Parameters!$K$3,$E$25:$E$267,Parameters!$M$4,Calendrier!$C$25:$C$267,DX23))</f>
        <v>0</v>
      </c>
      <c r="LM23" s="50">
        <f>IF(DY23="","",COUNTIFS($D$25:$D$267,Parameters!$K$2,$E$25:$E$267,Parameters!$M$4,Calendrier!$C$25:$C$267,DY23)+ COUNTIFS($D$25:$D$267,Parameters!$K$4,$E$25:$E$267,Parameters!$M$4,Calendrier!$C$25:$C$267,DY23))</f>
        <v>0</v>
      </c>
      <c r="LN23" s="50">
        <f>IF(DZ23="","",COUNTIFS($D$25:$D$267,Parameters!$K$2,$E$25:$E$267,Parameters!$M$4,Calendrier!$C$25:$C$267,DZ23)+ COUNTIFS($D$25:$D$267,Parameters!$K$3,$E$25:$E$267,Parameters!$M$4,Calendrier!$C$25:$C$267,DZ23))</f>
        <v>0</v>
      </c>
      <c r="LO23" s="50">
        <f>IF(EA23="","",COUNTIFS($D$25:$D$267,Parameters!$K$2,$E$25:$E$267,Parameters!$M$4,Calendrier!$C$25:$C$267,EA23)+ COUNTIFS($D$25:$D$267,Parameters!$K$4,$E$25:$E$267,Parameters!$M$4,Calendrier!$C$25:$C$267,EA23))</f>
        <v>0</v>
      </c>
      <c r="LP23" s="50">
        <f>IF(EB23="","",COUNTIFS($D$25:$D$267,Parameters!$K$2,$E$25:$E$267,Parameters!$M$4,Calendrier!$C$25:$C$267,EB23)+ COUNTIFS($D$25:$D$267,Parameters!$K$3,$E$25:$E$267,Parameters!$M$4,Calendrier!$C$25:$C$267,EB23))</f>
        <v>0</v>
      </c>
      <c r="LQ23" s="50">
        <f>IF(EC23="","",COUNTIFS($D$25:$D$267,Parameters!$K$2,$E$25:$E$267,Parameters!$M$4,Calendrier!$C$25:$C$267,EC23)+ COUNTIFS($D$25:$D$267,Parameters!$K$4,$E$25:$E$267,Parameters!$M$4,Calendrier!$C$25:$C$267,EC23))</f>
        <v>0</v>
      </c>
      <c r="LR23" s="50">
        <f>IF(ED23="","",COUNTIFS($D$25:$D$267,Parameters!$K$2,$E$25:$E$267,Parameters!$M$4,Calendrier!$C$25:$C$267,ED23)+ COUNTIFS($D$25:$D$267,Parameters!$K$3,$E$25:$E$267,Parameters!$M$4,Calendrier!$C$25:$C$267,ED23))</f>
        <v>0</v>
      </c>
      <c r="LS23" s="50">
        <f>IF(EE23="","",COUNTIFS($D$25:$D$267,Parameters!$K$2,$E$25:$E$267,Parameters!$M$4,Calendrier!$C$25:$C$267,EE23)+ COUNTIFS($D$25:$D$267,Parameters!$K$4,$E$25:$E$267,Parameters!$M$4,Calendrier!$C$25:$C$267,EE23))</f>
        <v>0</v>
      </c>
      <c r="LT23" s="50">
        <f>IF(EF23="","",COUNTIFS($D$25:$D$267,Parameters!$K$2,$E$25:$E$267,Parameters!$M$4,Calendrier!$C$25:$C$267,EF23)+ COUNTIFS($D$25:$D$267,Parameters!$K$3,$E$25:$E$267,Parameters!$M$4,Calendrier!$C$25:$C$267,EF23))</f>
        <v>0</v>
      </c>
      <c r="LU23" s="50">
        <f>IF(EG23="","",COUNTIFS($D$25:$D$267,Parameters!$K$2,$E$25:$E$267,Parameters!$M$4,Calendrier!$C$25:$C$267,EG23)+ COUNTIFS($D$25:$D$267,Parameters!$K$4,$E$25:$E$267,Parameters!$M$4,Calendrier!$C$25:$C$267,EG23))</f>
        <v>0</v>
      </c>
      <c r="LV23" s="50">
        <f>IF(EH23="","",COUNTIFS($D$25:$D$267,Parameters!$K$2,$E$25:$E$267,Parameters!$M$4,Calendrier!$C$25:$C$267,EH23)+ COUNTIFS($D$25:$D$267,Parameters!$K$3,$E$25:$E$267,Parameters!$M$4,Calendrier!$C$25:$C$267,EH23))</f>
        <v>0</v>
      </c>
      <c r="LW23" s="50">
        <f>IF(EI23="","",COUNTIFS($D$25:$D$267,Parameters!$K$2,$E$25:$E$267,Parameters!$M$4,Calendrier!$C$25:$C$267,EI23)+ COUNTIFS($D$25:$D$267,Parameters!$K$4,$E$25:$E$267,Parameters!$M$4,Calendrier!$C$25:$C$267,EI23))</f>
        <v>0</v>
      </c>
      <c r="LX23" s="50">
        <f>IF(EJ23="","",COUNTIFS($D$25:$D$267,Parameters!$K$2,$E$25:$E$267,Parameters!$M$4,Calendrier!$C$25:$C$267,EJ23)+ COUNTIFS($D$25:$D$267,Parameters!$K$3,$E$25:$E$267,Parameters!$M$4,Calendrier!$C$25:$C$267,EJ23))</f>
        <v>0</v>
      </c>
      <c r="LY23" s="57">
        <f>IF(EK23="","",COUNTIFS($D$25:$D$267,Parameters!$K$2,$E$25:$E$267,Parameters!$M$4,Calendrier!$C$25:$C$267,EK23)+ COUNTIFS($D$25:$D$267,Parameters!$K$4,$E$25:$E$267,Parameters!$M$4,Calendrier!$C$25:$C$267,EK23))</f>
        <v>0</v>
      </c>
      <c r="MB23" s="49">
        <f>IF(EN23="","",COUNTIFS($D$25:$D$267,Parameters!$K$2,$E$25:$E$267,Parameters!$M$4,Calendrier!$C$25:$C$267,EN23)+ COUNTIFS($D$25:$D$267,Parameters!$K$3,$E$25:$E$267,Parameters!$M$4,Calendrier!$C$25:$C$267,EN23))</f>
        <v>0</v>
      </c>
      <c r="MC23" s="50">
        <f>IF(EO23="","",COUNTIFS($D$25:$D$267,Parameters!$K$2,$E$25:$E$267,Parameters!$M$4,Calendrier!$C$25:$C$267,EO23)+ COUNTIFS($D$25:$D$267,Parameters!$K$4,$E$25:$E$267,Parameters!$M$4,Calendrier!$C$25:$C$267,EO23))</f>
        <v>0</v>
      </c>
      <c r="MD23" s="50">
        <f>IF(EP23="","",COUNTIFS($D$25:$D$267,Parameters!$K$2,$E$25:$E$267,Parameters!$M$4,Calendrier!$C$25:$C$267,EP23)+ COUNTIFS($D$25:$D$267,Parameters!$K$3,$E$25:$E$267,Parameters!$M$4,Calendrier!$C$25:$C$267,EP23))</f>
        <v>0</v>
      </c>
      <c r="ME23" s="50">
        <f>IF(EQ23="","",COUNTIFS($D$25:$D$267,Parameters!$K$2,$E$25:$E$267,Parameters!$M$4,Calendrier!$C$25:$C$267,EQ23)+ COUNTIFS($D$25:$D$267,Parameters!$K$4,$E$25:$E$267,Parameters!$M$4,Calendrier!$C$25:$C$267,EQ23))</f>
        <v>0</v>
      </c>
      <c r="MF23" s="50" t="str">
        <f>IF(ER23="","",COUNTIFS($D$25:$D$267,Parameters!$K$2,$E$25:$E$267,Parameters!$M$4,Calendrier!$C$25:$C$267,ER23)+ COUNTIFS($D$25:$D$267,Parameters!$K$3,$E$25:$E$267,Parameters!$M$4,Calendrier!$C$25:$C$267,ER23))</f>
        <v/>
      </c>
      <c r="MG23" s="50" t="str">
        <f>IF(ES23="","",COUNTIFS($D$25:$D$267,Parameters!$K$2,$E$25:$E$267,Parameters!$M$4,Calendrier!$C$25:$C$267,ES23)+ COUNTIFS($D$25:$D$267,Parameters!$K$4,$E$25:$E$267,Parameters!$M$4,Calendrier!$C$25:$C$267,ES23))</f>
        <v/>
      </c>
      <c r="MH23" s="50" t="str">
        <f>IF(ET23="","",COUNTIFS($D$25:$D$267,Parameters!$K$2,$E$25:$E$267,Parameters!$M$4,Calendrier!$C$25:$C$267,ET23)+ COUNTIFS($D$25:$D$267,Parameters!$K$3,$E$25:$E$267,Parameters!$M$4,Calendrier!$C$25:$C$267,ET23))</f>
        <v/>
      </c>
      <c r="MI23" s="50" t="str">
        <f>IF(EU23="","",COUNTIFS($D$25:$D$267,Parameters!$K$2,$E$25:$E$267,Parameters!$M$4,Calendrier!$C$25:$C$267,EU23)+ COUNTIFS($D$25:$D$267,Parameters!$K$4,$E$25:$E$267,Parameters!$M$4,Calendrier!$C$25:$C$267,EU23))</f>
        <v/>
      </c>
      <c r="MJ23" s="50" t="str">
        <f>IF(EV23="","",COUNTIFS($D$25:$D$267,Parameters!$K$2,$E$25:$E$267,Parameters!$M$4,Calendrier!$C$25:$C$267,EV23)+ COUNTIFS($D$25:$D$267,Parameters!$K$3,$E$25:$E$267,Parameters!$M$4,Calendrier!$C$25:$C$267,EV23))</f>
        <v/>
      </c>
      <c r="MK23" s="50" t="str">
        <f>IF(EW23="","",COUNTIFS($D$25:$D$267,Parameters!$K$2,$E$25:$E$267,Parameters!$M$4,Calendrier!$C$25:$C$267,EW23)+ COUNTIFS($D$25:$D$267,Parameters!$K$4,$E$25:$E$267,Parameters!$M$4,Calendrier!$C$25:$C$267,EW23))</f>
        <v/>
      </c>
      <c r="ML23" s="50" t="str">
        <f>IF(EX23="","",COUNTIFS($D$25:$D$267,Parameters!$K$2,$E$25:$E$267,Parameters!$M$4,Calendrier!$C$25:$C$267,EX23)+ COUNTIFS($D$25:$D$267,Parameters!$K$3,$E$25:$E$267,Parameters!$M$4,Calendrier!$C$25:$C$267,EX23))</f>
        <v/>
      </c>
      <c r="MM23" s="50" t="str">
        <f>IF(EY23="","",COUNTIFS($D$25:$D$267,Parameters!$K$2,$E$25:$E$267,Parameters!$M$4,Calendrier!$C$25:$C$267,EY23)+ COUNTIFS($D$25:$D$267,Parameters!$K$4,$E$25:$E$267,Parameters!$M$4,Calendrier!$C$25:$C$267,EY23))</f>
        <v/>
      </c>
      <c r="MN23" s="50" t="str">
        <f>IF(EZ23="","",COUNTIFS($D$25:$D$267,Parameters!$K$2,$E$25:$E$267,Parameters!$M$4,Calendrier!$C$25:$C$267,EZ23)+ COUNTIFS($D$25:$D$267,Parameters!$K$3,$E$25:$E$267,Parameters!$M$4,Calendrier!$C$25:$C$267,EZ23))</f>
        <v/>
      </c>
      <c r="MO23" s="57" t="str">
        <f>IF(FA23="","",COUNTIFS($D$25:$D$267,Parameters!$K$2,$E$25:$E$267,Parameters!$M$4,Calendrier!$C$25:$C$267,FA23)+ COUNTIFS($D$25:$D$267,Parameters!$K$4,$E$25:$E$267,Parameters!$M$4,Calendrier!$C$25:$C$267,FA23))</f>
        <v/>
      </c>
      <c r="MS23" s="49">
        <f>IF(DH23="","",COUNTIFS($D$25:$D$267,Parameters!$K$2,$E$25:$E$267,Parameters!$M$5,Calendrier!$C$25:$C$267,DH23)+ COUNTIFS($D$25:$D$267,Parameters!$K$3,$E$25:$E$267,Parameters!$M$5,Calendrier!$C$25:$C$267,DH23))</f>
        <v>0</v>
      </c>
      <c r="MT23" s="50">
        <f>IF(DI23="","",COUNTIFS($D$25:$D$267,Parameters!$K$2,$E$25:$E$267,Parameters!$M$5,Calendrier!$C$25:$C$267,DI23)+ COUNTIFS($D$25:$D$267,Parameters!$K$4,$E$25:$E$267,Parameters!$M$5,Calendrier!$C$25:$C$267,DI23))</f>
        <v>0</v>
      </c>
      <c r="MU23" s="50">
        <f>IF(DJ23="","",COUNTIFS($D$25:$D$267,Parameters!$K$2,$E$25:$E$267,Parameters!$M$5,Calendrier!$C$25:$C$267,DJ23)+ COUNTIFS($D$25:$D$267,Parameters!$K$3,$E$25:$E$267,Parameters!$M$5,Calendrier!$C$25:$C$267,DJ23))</f>
        <v>0</v>
      </c>
      <c r="MV23" s="50">
        <f>IF(DK23="","",COUNTIFS($D$25:$D$267,Parameters!$K$2,$E$25:$E$267,Parameters!$M$5,Calendrier!$C$25:$C$267,DK23)+ COUNTIFS($D$25:$D$267,Parameters!$K$4,$E$25:$E$267,Parameters!$M$5,Calendrier!$C$25:$C$267,DK23))</f>
        <v>0</v>
      </c>
      <c r="MW23" s="50">
        <f>IF(DL23="","",COUNTIFS($D$25:$D$267,Parameters!$K$2,$E$25:$E$267,Parameters!$M$5,Calendrier!$C$25:$C$267,DL23)+ COUNTIFS($D$25:$D$267,Parameters!$K$3,$E$25:$E$267,Parameters!$M$5,Calendrier!$C$25:$C$267,DL23))</f>
        <v>0</v>
      </c>
      <c r="MX23" s="50">
        <f>IF(DM23="","",COUNTIFS($D$25:$D$267,Parameters!$K$2,$E$25:$E$267,Parameters!$M$5,Calendrier!$C$25:$C$267,DM23)+ COUNTIFS($D$25:$D$267,Parameters!$K$4,$E$25:$E$267,Parameters!$M$5,Calendrier!$C$25:$C$267,DM23))</f>
        <v>0</v>
      </c>
      <c r="MY23" s="50">
        <f>IF(DN23="","",COUNTIFS($D$25:$D$267,Parameters!$K$2,$E$25:$E$267,Parameters!$M$5,Calendrier!$C$25:$C$267,DN23)+ COUNTIFS($D$25:$D$267,Parameters!$K$3,$E$25:$E$267,Parameters!$M$5,Calendrier!$C$25:$C$267,DN23))</f>
        <v>0</v>
      </c>
      <c r="MZ23" s="50">
        <f>IF(DO23="","",COUNTIFS($D$25:$D$267,Parameters!$K$2,$E$25:$E$267,Parameters!$M$5,Calendrier!$C$25:$C$267,DO23)+ COUNTIFS($D$25:$D$267,Parameters!$K$4,$E$25:$E$267,Parameters!$M$5,Calendrier!$C$25:$C$267,DO23))</f>
        <v>0</v>
      </c>
      <c r="NA23" s="50" t="str">
        <f>IF(DP23="","",COUNTIFS($D$25:$D$267,Parameters!$K$2,$E$25:$E$267,Parameters!$M$5,Calendrier!$C$25:$C$267,DP23)+ COUNTIFS($D$25:$D$267,Parameters!$K$3,$E$25:$E$267,Parameters!$M$5,Calendrier!$C$25:$C$267,DP23))</f>
        <v/>
      </c>
      <c r="NB23" s="50" t="str">
        <f>IF(DQ23="","",COUNTIFS($D$25:$D$267,Parameters!$K$2,$E$25:$E$267,Parameters!$M$5,Calendrier!$C$25:$C$267,DQ23)+ COUNTIFS($D$25:$D$267,Parameters!$K$4,$E$25:$E$267,Parameters!$M$5,Calendrier!$C$25:$C$267,DQ23))</f>
        <v/>
      </c>
      <c r="NC23" s="50" t="str">
        <f>IF(DR23="","",COUNTIFS($D$25:$D$267,Parameters!$K$2,$E$25:$E$267,Parameters!$M$5,Calendrier!$C$25:$C$267,DR23)+ COUNTIFS($D$25:$D$267,Parameters!$K$3,$E$25:$E$267,Parameters!$M$5,Calendrier!$C$25:$C$267,DR23))</f>
        <v/>
      </c>
      <c r="ND23" s="50" t="str">
        <f>IF(DS23="","",COUNTIFS($D$25:$D$267,Parameters!$K$2,$E$25:$E$267,Parameters!$M$5,Calendrier!$C$25:$C$267,DS23)+ COUNTIFS($D$25:$D$267,Parameters!$K$4,$E$25:$E$267,Parameters!$M$5,Calendrier!$C$25:$C$267,DS23))</f>
        <v/>
      </c>
      <c r="NE23" s="50" t="str">
        <f>IF(DT23="","",COUNTIFS($D$25:$D$267,Parameters!$K$2,$E$25:$E$267,Parameters!$M$5,Calendrier!$C$25:$C$267,DT23)+ COUNTIFS($D$25:$D$267,Parameters!$K$3,$E$25:$E$267,Parameters!$M$5,Calendrier!$C$25:$C$267,DT23))</f>
        <v/>
      </c>
      <c r="NF23" s="57" t="str">
        <f>IF(DU23="","",COUNTIFS($D$25:$D$267,Parameters!$K$2,$E$25:$E$267,Parameters!$M$5,Calendrier!$C$25:$C$267,DU23)+ COUNTIFS($D$25:$D$267,Parameters!$K$4,$E$25:$E$267,Parameters!$M$5,Calendrier!$C$25:$C$267,DU23))</f>
        <v/>
      </c>
      <c r="NI23" s="49">
        <f>IF(DX23="","",COUNTIFS($D$25:$D$267,Parameters!$K$2,$E$25:$E$267,Parameters!$M$5,Calendrier!$C$25:$C$267,DX23)+ COUNTIFS($D$25:$D$267,Parameters!$K$3,$E$25:$E$267,Parameters!$M$5,Calendrier!$C$25:$C$267,DX23))</f>
        <v>0</v>
      </c>
      <c r="NJ23" s="50">
        <f>IF(DY23="","",COUNTIFS($D$25:$D$267,Parameters!$K$2,$E$25:$E$267,Parameters!$M$5,Calendrier!$C$25:$C$267,DY23)+ COUNTIFS($D$25:$D$267,Parameters!$K$4,$E$25:$E$267,Parameters!$M$5,Calendrier!$C$25:$C$267,DY23))</f>
        <v>0</v>
      </c>
      <c r="NK23" s="50">
        <f>IF(DZ23="","",COUNTIFS($D$25:$D$267,Parameters!$K$2,$E$25:$E$267,Parameters!$M$5,Calendrier!$C$25:$C$267,DZ23)+ COUNTIFS($D$25:$D$267,Parameters!$K$3,$E$25:$E$267,Parameters!$M$5,Calendrier!$C$25:$C$267,DZ23))</f>
        <v>0</v>
      </c>
      <c r="NL23" s="50">
        <f>IF(EA23="","",COUNTIFS($D$25:$D$267,Parameters!$K$2,$E$25:$E$267,Parameters!$M$5,Calendrier!$C$25:$C$267,EA23)+ COUNTIFS($D$25:$D$267,Parameters!$K$4,$E$25:$E$267,Parameters!$M$5,Calendrier!$C$25:$C$267,EA23))</f>
        <v>0</v>
      </c>
      <c r="NM23" s="50">
        <f>IF(EB23="","",COUNTIFS($D$25:$D$267,Parameters!$K$2,$E$25:$E$267,Parameters!$M$5,Calendrier!$C$25:$C$267,EB23)+ COUNTIFS($D$25:$D$267,Parameters!$K$3,$E$25:$E$267,Parameters!$M$5,Calendrier!$C$25:$C$267,EB23))</f>
        <v>0</v>
      </c>
      <c r="NN23" s="50">
        <f>IF(EC23="","",COUNTIFS($D$25:$D$267,Parameters!$K$2,$E$25:$E$267,Parameters!$M$5,Calendrier!$C$25:$C$267,EC23)+ COUNTIFS($D$25:$D$267,Parameters!$K$4,$E$25:$E$267,Parameters!$M$5,Calendrier!$C$25:$C$267,EC23))</f>
        <v>0</v>
      </c>
      <c r="NO23" s="50">
        <f>IF(ED23="","",COUNTIFS($D$25:$D$267,Parameters!$K$2,$E$25:$E$267,Parameters!$M$5,Calendrier!$C$25:$C$267,ED23)+ COUNTIFS($D$25:$D$267,Parameters!$K$3,$E$25:$E$267,Parameters!$M$5,Calendrier!$C$25:$C$267,ED23))</f>
        <v>0</v>
      </c>
      <c r="NP23" s="50">
        <f>IF(EE23="","",COUNTIFS($D$25:$D$267,Parameters!$K$2,$E$25:$E$267,Parameters!$M$5,Calendrier!$C$25:$C$267,EE23)+ COUNTIFS($D$25:$D$267,Parameters!$K$4,$E$25:$E$267,Parameters!$M$5,Calendrier!$C$25:$C$267,EE23))</f>
        <v>0</v>
      </c>
      <c r="NQ23" s="50">
        <f>IF(EF23="","",COUNTIFS($D$25:$D$267,Parameters!$K$2,$E$25:$E$267,Parameters!$M$5,Calendrier!$C$25:$C$267,EF23)+ COUNTIFS($D$25:$D$267,Parameters!$K$3,$E$25:$E$267,Parameters!$M$5,Calendrier!$C$25:$C$267,EF23))</f>
        <v>0</v>
      </c>
      <c r="NR23" s="50">
        <f>IF(EG23="","",COUNTIFS($D$25:$D$267,Parameters!$K$2,$E$25:$E$267,Parameters!$M$5,Calendrier!$C$25:$C$267,EG23)+ COUNTIFS($D$25:$D$267,Parameters!$K$4,$E$25:$E$267,Parameters!$M$5,Calendrier!$C$25:$C$267,EG23))</f>
        <v>0</v>
      </c>
      <c r="NS23" s="50">
        <f>IF(EH23="","",COUNTIFS($D$25:$D$267,Parameters!$K$2,$E$25:$E$267,Parameters!$M$5,Calendrier!$C$25:$C$267,EH23)+ COUNTIFS($D$25:$D$267,Parameters!$K$3,$E$25:$E$267,Parameters!$M$5,Calendrier!$C$25:$C$267,EH23))</f>
        <v>0</v>
      </c>
      <c r="NT23" s="50">
        <f>IF(EI23="","",COUNTIFS($D$25:$D$267,Parameters!$K$2,$E$25:$E$267,Parameters!$M$5,Calendrier!$C$25:$C$267,EI23)+ COUNTIFS($D$25:$D$267,Parameters!$K$4,$E$25:$E$267,Parameters!$M$5,Calendrier!$C$25:$C$267,EI23))</f>
        <v>0</v>
      </c>
      <c r="NU23" s="50">
        <f>IF(EJ23="","",COUNTIFS($D$25:$D$267,Parameters!$K$2,$E$25:$E$267,Parameters!$M$5,Calendrier!$C$25:$C$267,EJ23)+ COUNTIFS($D$25:$D$267,Parameters!$K$3,$E$25:$E$267,Parameters!$M$5,Calendrier!$C$25:$C$267,EJ23))</f>
        <v>0</v>
      </c>
      <c r="NV23" s="57">
        <f>IF(EK23="","",COUNTIFS($D$25:$D$267,Parameters!$K$2,$E$25:$E$267,Parameters!$M$5,Calendrier!$C$25:$C$267,EK23)+ COUNTIFS($D$25:$D$267,Parameters!$K$4,$E$25:$E$267,Parameters!$M$5,Calendrier!$C$25:$C$267,EK23))</f>
        <v>0</v>
      </c>
      <c r="NY23" s="49">
        <f>IF(EN23="","",COUNTIFS($D$25:$D$267,Parameters!$K$2,$E$25:$E$267,Parameters!$M$5,Calendrier!$C$25:$C$267,EN23)+ COUNTIFS($D$25:$D$267,Parameters!$K$3,$E$25:$E$267,Parameters!$M$5,Calendrier!$C$25:$C$267,EN23))</f>
        <v>0</v>
      </c>
      <c r="NZ23" s="50">
        <f>IF(EO23="","",COUNTIFS($D$25:$D$267,Parameters!$K$2,$E$25:$E$267,Parameters!$M$5,Calendrier!$C$25:$C$267,EO23)+ COUNTIFS($D$25:$D$267,Parameters!$K$4,$E$25:$E$267,Parameters!$M$5,Calendrier!$C$25:$C$267,EO23))</f>
        <v>0</v>
      </c>
      <c r="OA23" s="50">
        <f>IF(EP23="","",COUNTIFS($D$25:$D$267,Parameters!$K$2,$E$25:$E$267,Parameters!$M$5,Calendrier!$C$25:$C$267,EP23)+ COUNTIFS($D$25:$D$267,Parameters!$K$3,$E$25:$E$267,Parameters!$M$5,Calendrier!$C$25:$C$267,EP23))</f>
        <v>0</v>
      </c>
      <c r="OB23" s="50">
        <f>IF(EQ23="","",COUNTIFS($D$25:$D$267,Parameters!$K$2,$E$25:$E$267,Parameters!$M$5,Calendrier!$C$25:$C$267,EQ23)+ COUNTIFS($D$25:$D$267,Parameters!$K$4,$E$25:$E$267,Parameters!$M$5,Calendrier!$C$25:$C$267,EQ23))</f>
        <v>0</v>
      </c>
      <c r="OC23" s="50" t="str">
        <f>IF(ER23="","",COUNTIFS($D$25:$D$267,Parameters!$K$2,$E$25:$E$267,Parameters!$M$5,Calendrier!$C$25:$C$267,ER23)+ COUNTIFS($D$25:$D$267,Parameters!$K$3,$E$25:$E$267,Parameters!$M$5,Calendrier!$C$25:$C$267,ER23))</f>
        <v/>
      </c>
      <c r="OD23" s="50" t="str">
        <f>IF(ES23="","",COUNTIFS($D$25:$D$267,Parameters!$K$2,$E$25:$E$267,Parameters!$M$5,Calendrier!$C$25:$C$267,ES23)+ COUNTIFS($D$25:$D$267,Parameters!$K$4,$E$25:$E$267,Parameters!$M$5,Calendrier!$C$25:$C$267,ES23))</f>
        <v/>
      </c>
      <c r="OE23" s="50" t="str">
        <f>IF(ET23="","",COUNTIFS($D$25:$D$267,Parameters!$K$2,$E$25:$E$267,Parameters!$M$5,Calendrier!$C$25:$C$267,ET23)+ COUNTIFS($D$25:$D$267,Parameters!$K$3,$E$25:$E$267,Parameters!$M$5,Calendrier!$C$25:$C$267,ET23))</f>
        <v/>
      </c>
      <c r="OF23" s="50" t="str">
        <f>IF(EU23="","",COUNTIFS($D$25:$D$267,Parameters!$K$2,$E$25:$E$267,Parameters!$M$5,Calendrier!$C$25:$C$267,EU23)+ COUNTIFS($D$25:$D$267,Parameters!$K$4,$E$25:$E$267,Parameters!$M$5,Calendrier!$C$25:$C$267,EU23))</f>
        <v/>
      </c>
      <c r="OG23" s="50" t="str">
        <f>IF(EV23="","",COUNTIFS($D$25:$D$267,Parameters!$K$2,$E$25:$E$267,Parameters!$M$5,Calendrier!$C$25:$C$267,EV23)+ COUNTIFS($D$25:$D$267,Parameters!$K$3,$E$25:$E$267,Parameters!$M$5,Calendrier!$C$25:$C$267,EV23))</f>
        <v/>
      </c>
      <c r="OH23" s="50" t="str">
        <f>IF(EW23="","",COUNTIFS($D$25:$D$267,Parameters!$K$2,$E$25:$E$267,Parameters!$M$5,Calendrier!$C$25:$C$267,EW23)+ COUNTIFS($D$25:$D$267,Parameters!$K$4,$E$25:$E$267,Parameters!$M$5,Calendrier!$C$25:$C$267,EW23))</f>
        <v/>
      </c>
      <c r="OI23" s="50" t="str">
        <f>IF(EX23="","",COUNTIFS($D$25:$D$267,Parameters!$K$2,$E$25:$E$267,Parameters!$M$5,Calendrier!$C$25:$C$267,EX23)+ COUNTIFS($D$25:$D$267,Parameters!$K$3,$E$25:$E$267,Parameters!$M$5,Calendrier!$C$25:$C$267,EX23))</f>
        <v/>
      </c>
      <c r="OJ23" s="50" t="str">
        <f>IF(EY23="","",COUNTIFS($D$25:$D$267,Parameters!$K$2,$E$25:$E$267,Parameters!$M$5,Calendrier!$C$25:$C$267,EY23)+ COUNTIFS($D$25:$D$267,Parameters!$K$4,$E$25:$E$267,Parameters!$M$5,Calendrier!$C$25:$C$267,EY23))</f>
        <v/>
      </c>
      <c r="OK23" s="50" t="str">
        <f>IF(EZ23="","",COUNTIFS($D$25:$D$267,Parameters!$K$2,$E$25:$E$267,Parameters!$M$5,Calendrier!$C$25:$C$267,EZ23)+ COUNTIFS($D$25:$D$267,Parameters!$K$3,$E$25:$E$267,Parameters!$M$5,Calendrier!$C$25:$C$267,EZ23))</f>
        <v/>
      </c>
      <c r="OL23" s="57" t="str">
        <f>IF(FA23="","",COUNTIFS($D$25:$D$267,Parameters!$K$2,$E$25:$E$267,Parameters!$M$5,Calendrier!$C$25:$C$267,FA23)+ COUNTIFS($D$25:$D$267,Parameters!$K$4,$E$25:$E$267,Parameters!$M$5,Calendrier!$C$25:$C$267,FA23))</f>
        <v/>
      </c>
      <c r="OP23" s="49">
        <f>IF(DH23="","",COUNTIFS(Parameters!$Y:$Y,$BF$4,Parameters!$X:$X,DH23))</f>
        <v>0</v>
      </c>
      <c r="OQ23" s="50">
        <f>IF(DI23="","",COUNTIFS(Parameters!$Y:$Y,$BF$4,Parameters!$X:$X,DI23))</f>
        <v>0</v>
      </c>
      <c r="OR23" s="50">
        <f>IF(DJ23="","",COUNTIFS(Parameters!$Y:$Y,$BF$4,Parameters!$X:$X,DJ23))</f>
        <v>0</v>
      </c>
      <c r="OS23" s="50">
        <f>IF(DK23="","",COUNTIFS(Parameters!$Y:$Y,$BF$4,Parameters!$X:$X,DK23))</f>
        <v>0</v>
      </c>
      <c r="OT23" s="50">
        <f>IF(DL23="","",COUNTIFS(Parameters!$Y:$Y,$BF$4,Parameters!$X:$X,DL23))</f>
        <v>0</v>
      </c>
      <c r="OU23" s="50">
        <f>IF(DM23="","",COUNTIFS(Parameters!$Y:$Y,$BF$4,Parameters!$X:$X,DM23))</f>
        <v>0</v>
      </c>
      <c r="OV23" s="50">
        <f>IF(DN23="","",COUNTIFS(Parameters!$Y:$Y,$BF$4,Parameters!$X:$X,DN23))</f>
        <v>0</v>
      </c>
      <c r="OW23" s="50">
        <f>IF(DO23="","",COUNTIFS(Parameters!$Y:$Y,$BF$4,Parameters!$X:$X,DO23))</f>
        <v>0</v>
      </c>
      <c r="OX23" s="50" t="str">
        <f>IF(DP23="","",COUNTIFS(Parameters!$Y:$Y,$BF$4,Parameters!$X:$X,DP23))</f>
        <v/>
      </c>
      <c r="OY23" s="50" t="str">
        <f>IF(DQ23="","",COUNTIFS(Parameters!$Y:$Y,$BF$4,Parameters!$X:$X,DQ23))</f>
        <v/>
      </c>
      <c r="OZ23" s="50" t="str">
        <f>IF(DR23="","",COUNTIFS(Parameters!$Y:$Y,$BF$4,Parameters!$X:$X,DR23))</f>
        <v/>
      </c>
      <c r="PA23" s="50" t="str">
        <f>IF(DS23="","",COUNTIFS(Parameters!$Y:$Y,$BF$4,Parameters!$X:$X,DS23))</f>
        <v/>
      </c>
      <c r="PB23" s="50" t="str">
        <f>IF(DT23="","",COUNTIFS(Parameters!$Y:$Y,$BF$4,Parameters!$X:$X,DT23))</f>
        <v/>
      </c>
      <c r="PC23" s="57" t="str">
        <f>IF(DU23="","",COUNTIFS(Parameters!$Y:$Y,$BF$4,Parameters!$X:$X,DU23))</f>
        <v/>
      </c>
      <c r="PF23" s="49">
        <f>IF(DX23="","",COUNTIFS(Parameters!$Y:$Y,$BF$4,Parameters!$X:$X,DX23))</f>
        <v>1</v>
      </c>
      <c r="PG23" s="50">
        <f>IF(DY23="","",COUNTIFS(Parameters!$Y:$Y,$BF$4,Parameters!$X:$X,DY23))</f>
        <v>1</v>
      </c>
      <c r="PH23" s="50">
        <f>IF(DZ23="","",COUNTIFS(Parameters!$Y:$Y,$BF$4,Parameters!$X:$X,DZ23))</f>
        <v>0</v>
      </c>
      <c r="PI23" s="50">
        <f>IF(EA23="","",COUNTIFS(Parameters!$Y:$Y,$BF$4,Parameters!$X:$X,EA23))</f>
        <v>0</v>
      </c>
      <c r="PJ23" s="50">
        <f>IF(EB23="","",COUNTIFS(Parameters!$Y:$Y,$BF$4,Parameters!$X:$X,EB23))</f>
        <v>0</v>
      </c>
      <c r="PK23" s="50">
        <f>IF(EC23="","",COUNTIFS(Parameters!$Y:$Y,$BF$4,Parameters!$X:$X,EC23))</f>
        <v>0</v>
      </c>
      <c r="PL23" s="50">
        <f>IF(ED23="","",COUNTIFS(Parameters!$Y:$Y,$BF$4,Parameters!$X:$X,ED23))</f>
        <v>0</v>
      </c>
      <c r="PM23" s="50">
        <f>IF(EE23="","",COUNTIFS(Parameters!$Y:$Y,$BF$4,Parameters!$X:$X,EE23))</f>
        <v>0</v>
      </c>
      <c r="PN23" s="50">
        <f>IF(EF23="","",COUNTIFS(Parameters!$Y:$Y,$BF$4,Parameters!$X:$X,EF23))</f>
        <v>0</v>
      </c>
      <c r="PO23" s="50">
        <f>IF(EG23="","",COUNTIFS(Parameters!$Y:$Y,$BF$4,Parameters!$X:$X,EG23))</f>
        <v>0</v>
      </c>
      <c r="PP23" s="50">
        <f>IF(EH23="","",COUNTIFS(Parameters!$Y:$Y,$BF$4,Parameters!$X:$X,EH23))</f>
        <v>0</v>
      </c>
      <c r="PQ23" s="50">
        <f>IF(EI23="","",COUNTIFS(Parameters!$Y:$Y,$BF$4,Parameters!$X:$X,EI23))</f>
        <v>0</v>
      </c>
      <c r="PR23" s="50">
        <f>IF(EJ23="","",COUNTIFS(Parameters!$Y:$Y,$BF$4,Parameters!$X:$X,EJ23))</f>
        <v>0</v>
      </c>
      <c r="PS23" s="57">
        <f>IF(EK23="","",COUNTIFS(Parameters!$Y:$Y,$BF$4,Parameters!$X:$X,EK23))</f>
        <v>0</v>
      </c>
      <c r="PV23" s="49">
        <f>IF(EN23="","",COUNTIFS(Parameters!$Y:$Y,$BF$4,Parameters!$X:$X,EN23))</f>
        <v>1</v>
      </c>
      <c r="PW23" s="50">
        <f>IF(EO23="","",COUNTIFS(Parameters!$Y:$Y,$BF$4,Parameters!$X:$X,EO23))</f>
        <v>1</v>
      </c>
      <c r="PX23" s="50">
        <f>IF(EP23="","",COUNTIFS(Parameters!$Y:$Y,$BF$4,Parameters!$X:$X,EP23))</f>
        <v>1</v>
      </c>
      <c r="PY23" s="50">
        <f>IF(EQ23="","",COUNTIFS(Parameters!$Y:$Y,$BF$4,Parameters!$X:$X,EQ23))</f>
        <v>1</v>
      </c>
      <c r="PZ23" s="50" t="str">
        <f>IF(ER23="","",COUNTIFS(Parameters!$Y:$Y,$BF$4,Parameters!$X:$X,ER23))</f>
        <v/>
      </c>
      <c r="QA23" s="50" t="str">
        <f>IF(ES23="","",COUNTIFS(Parameters!$Y:$Y,$BF$4,Parameters!$X:$X,ES23))</f>
        <v/>
      </c>
      <c r="QB23" s="50" t="str">
        <f>IF(ET23="","",COUNTIFS(Parameters!$Y:$Y,$BF$4,Parameters!$X:$X,ET23))</f>
        <v/>
      </c>
      <c r="QC23" s="50" t="str">
        <f>IF(EU23="","",COUNTIFS(Parameters!$Y:$Y,$BF$4,Parameters!$X:$X,EU23))</f>
        <v/>
      </c>
      <c r="QD23" s="50" t="str">
        <f>IF(EV23="","",COUNTIFS(Parameters!$Y:$Y,$BF$4,Parameters!$X:$X,EV23))</f>
        <v/>
      </c>
      <c r="QE23" s="50" t="str">
        <f>IF(EW23="","",COUNTIFS(Parameters!$Y:$Y,$BF$4,Parameters!$X:$X,EW23))</f>
        <v/>
      </c>
      <c r="QF23" s="50" t="str">
        <f>IF(EX23="","",COUNTIFS(Parameters!$Y:$Y,$BF$4,Parameters!$X:$X,EX23))</f>
        <v/>
      </c>
      <c r="QG23" s="50" t="str">
        <f>IF(EY23="","",COUNTIFS(Parameters!$Y:$Y,$BF$4,Parameters!$X:$X,EY23))</f>
        <v/>
      </c>
      <c r="QH23" s="50" t="str">
        <f>IF(EZ23="","",COUNTIFS(Parameters!$Y:$Y,$BF$4,Parameters!$X:$X,EZ23))</f>
        <v/>
      </c>
      <c r="QI23" s="57" t="str">
        <f>IF(FA23="","",COUNTIFS(Parameters!$Y:$Y,$BF$4,Parameters!$X:$X,FA23))</f>
        <v/>
      </c>
      <c r="QN23" s="49">
        <f>IF(DH23="","",COUNTIFS($D$25:$D$267,Parameters!$K$2,$E$25:$E$267,Parameters!$M$6,Calendrier!$C$25:$C$267,DH23)+ COUNTIFS($D$25:$D$267,Parameters!$K$3,$E$25:$E$267,Parameters!$M$6,Calendrier!$C$25:$C$267,DH23))</f>
        <v>0</v>
      </c>
      <c r="QO23" s="50">
        <f>IF(DI23="","",COUNTIFS($D$25:$D$267,Parameters!$K$2,$E$25:$E$267,Parameters!$M$6,Calendrier!$C$25:$C$267,DI23)+ COUNTIFS($D$25:$D$267,Parameters!$K$4,$E$25:$E$267,Parameters!$M$6,Calendrier!$C$25:$C$267,DI23))</f>
        <v>0</v>
      </c>
      <c r="QP23" s="50">
        <f>IF(DJ23="","",COUNTIFS($D$25:$D$267,Parameters!$K$2,$E$25:$E$267,Parameters!$M$6,Calendrier!$C$25:$C$267,DJ23)+ COUNTIFS($D$25:$D$267,Parameters!$K$3,$E$25:$E$267,Parameters!$M$6,Calendrier!$C$25:$C$267,DJ23))</f>
        <v>0</v>
      </c>
      <c r="QQ23" s="50">
        <f>IF(DK23="","",COUNTIFS($D$25:$D$267,Parameters!$K$2,$E$25:$E$267,Parameters!$M$6,Calendrier!$C$25:$C$267,DK23)+ COUNTIFS($D$25:$D$267,Parameters!$K$4,$E$25:$E$267,Parameters!$M$6,Calendrier!$C$25:$C$267,DK23))</f>
        <v>0</v>
      </c>
      <c r="QR23" s="50">
        <f>IF(DL23="","",COUNTIFS($D$25:$D$267,Parameters!$K$2,$E$25:$E$267,Parameters!$M$6,Calendrier!$C$25:$C$267,DL23)+ COUNTIFS($D$25:$D$267,Parameters!$K$3,$E$25:$E$267,Parameters!$M$6,Calendrier!$C$25:$C$267,DL23))</f>
        <v>0</v>
      </c>
      <c r="QS23" s="50">
        <f>IF(DM23="","",COUNTIFS($D$25:$D$267,Parameters!$K$2,$E$25:$E$267,Parameters!$M$6,Calendrier!$C$25:$C$267,DM23)+ COUNTIFS($D$25:$D$267,Parameters!$K$4,$E$25:$E$267,Parameters!$M$6,Calendrier!$C$25:$C$267,DM23))</f>
        <v>0</v>
      </c>
      <c r="QT23" s="50">
        <f>IF(DN23="","",COUNTIFS($D$25:$D$267,Parameters!$K$2,$E$25:$E$267,Parameters!$M$6,Calendrier!$C$25:$C$267,DN23)+ COUNTIFS($D$25:$D$267,Parameters!$K$3,$E$25:$E$267,Parameters!$M$6,Calendrier!$C$25:$C$267,DN23))</f>
        <v>0</v>
      </c>
      <c r="QU23" s="50">
        <f>IF(DO23="","",COUNTIFS($D$25:$D$267,Parameters!$K$2,$E$25:$E$267,Parameters!$M$6,Calendrier!$C$25:$C$267,DO23)+ COUNTIFS($D$25:$D$267,Parameters!$K$4,$E$25:$E$267,Parameters!$M$6,Calendrier!$C$25:$C$267,DO23))</f>
        <v>0</v>
      </c>
      <c r="QV23" s="50" t="str">
        <f>IF(DP23="","",COUNTIFS($D$25:$D$267,Parameters!$K$2,$E$25:$E$267,Parameters!$M$6,Calendrier!$C$25:$C$267,DP23)+ COUNTIFS($D$25:$D$267,Parameters!$K$3,$E$25:$E$267,Parameters!$M$6,Calendrier!$C$25:$C$267,DP23))</f>
        <v/>
      </c>
      <c r="QW23" s="50" t="str">
        <f>IF(DQ23="","",COUNTIFS($D$25:$D$267,Parameters!$K$2,$E$25:$E$267,Parameters!$M$6,Calendrier!$C$25:$C$267,DQ23)+ COUNTIFS($D$25:$D$267,Parameters!$K$4,$E$25:$E$267,Parameters!$M$6,Calendrier!$C$25:$C$267,DQ23))</f>
        <v/>
      </c>
      <c r="QX23" s="50" t="str">
        <f>IF(DR23="","",COUNTIFS($D$25:$D$267,Parameters!$K$2,$E$25:$E$267,Parameters!$M$6,Calendrier!$C$25:$C$267,DR23)+ COUNTIFS($D$25:$D$267,Parameters!$K$3,$E$25:$E$267,Parameters!$M$6,Calendrier!$C$25:$C$267,DR23))</f>
        <v/>
      </c>
      <c r="QY23" s="50" t="str">
        <f>IF(DS23="","",COUNTIFS($D$25:$D$267,Parameters!$K$2,$E$25:$E$267,Parameters!$M$6,Calendrier!$C$25:$C$267,DS23)+ COUNTIFS($D$25:$D$267,Parameters!$K$4,$E$25:$E$267,Parameters!$M$6,Calendrier!$C$25:$C$267,DS23))</f>
        <v/>
      </c>
      <c r="QZ23" s="50" t="str">
        <f>IF(DT23="","",COUNTIFS($D$25:$D$267,Parameters!$K$2,$E$25:$E$267,Parameters!$M$6,Calendrier!$C$25:$C$267,DT23)+ COUNTIFS($D$25:$D$267,Parameters!$K$3,$E$25:$E$267,Parameters!$M$6,Calendrier!$C$25:$C$267,DT23))</f>
        <v/>
      </c>
      <c r="RA23" s="57" t="str">
        <f>IF(DU23="","",COUNTIFS($D$25:$D$267,Parameters!$K$2,$E$25:$E$267,Parameters!$M$6,Calendrier!$C$25:$C$267,DU23)+ COUNTIFS($D$25:$D$267,Parameters!$K$4,$E$25:$E$267,Parameters!$M$6,Calendrier!$C$25:$C$267,DU23))</f>
        <v/>
      </c>
      <c r="RD23" s="49">
        <f>IF(DX23="","",COUNTIFS($D$25:$D$267,Parameters!$K$2,$E$25:$E$267,Parameters!$M$6,Calendrier!$C$25:$C$267,DX23)+ COUNTIFS($D$25:$D$267,Parameters!$K$3,$E$25:$E$267,Parameters!$M$6,Calendrier!$C$25:$C$267,DX23))</f>
        <v>0</v>
      </c>
      <c r="RE23" s="50">
        <f>IF(DY23="","",COUNTIFS($D$25:$D$267,Parameters!$K$2,$E$25:$E$267,Parameters!$M$6,Calendrier!$C$25:$C$267,DY23)+ COUNTIFS($D$25:$D$267,Parameters!$K$4,$E$25:$E$267,Parameters!$M$6,Calendrier!$C$25:$C$267,DY23))</f>
        <v>0</v>
      </c>
      <c r="RF23" s="50">
        <f>IF(DZ23="","",COUNTIFS($D$25:$D$267,Parameters!$K$2,$E$25:$E$267,Parameters!$M$6,Calendrier!$C$25:$C$267,DZ23)+ COUNTIFS($D$25:$D$267,Parameters!$K$3,$E$25:$E$267,Parameters!$M$6,Calendrier!$C$25:$C$267,DZ23))</f>
        <v>0</v>
      </c>
      <c r="RG23" s="50">
        <f>IF(EA23="","",COUNTIFS($D$25:$D$267,Parameters!$K$2,$E$25:$E$267,Parameters!$M$6,Calendrier!$C$25:$C$267,EA23)+ COUNTIFS($D$25:$D$267,Parameters!$K$4,$E$25:$E$267,Parameters!$M$6,Calendrier!$C$25:$C$267,EA23))</f>
        <v>0</v>
      </c>
      <c r="RH23" s="50">
        <f>IF(EB23="","",COUNTIFS($D$25:$D$267,Parameters!$K$2,$E$25:$E$267,Parameters!$M$6,Calendrier!$C$25:$C$267,EB23)+ COUNTIFS($D$25:$D$267,Parameters!$K$3,$E$25:$E$267,Parameters!$M$6,Calendrier!$C$25:$C$267,EB23))</f>
        <v>0</v>
      </c>
      <c r="RI23" s="50">
        <f>IF(EC23="","",COUNTIFS($D$25:$D$267,Parameters!$K$2,$E$25:$E$267,Parameters!$M$6,Calendrier!$C$25:$C$267,EC23)+ COUNTIFS($D$25:$D$267,Parameters!$K$4,$E$25:$E$267,Parameters!$M$6,Calendrier!$C$25:$C$267,EC23))</f>
        <v>0</v>
      </c>
      <c r="RJ23" s="50">
        <f>IF(ED23="","",COUNTIFS($D$25:$D$267,Parameters!$K$2,$E$25:$E$267,Parameters!$M$6,Calendrier!$C$25:$C$267,ED23)+ COUNTIFS($D$25:$D$267,Parameters!$K$3,$E$25:$E$267,Parameters!$M$6,Calendrier!$C$25:$C$267,ED23))</f>
        <v>0</v>
      </c>
      <c r="RK23" s="50">
        <f>IF(EE23="","",COUNTIFS($D$25:$D$267,Parameters!$K$2,$E$25:$E$267,Parameters!$M$6,Calendrier!$C$25:$C$267,EE23)+ COUNTIFS($D$25:$D$267,Parameters!$K$4,$E$25:$E$267,Parameters!$M$6,Calendrier!$C$25:$C$267,EE23))</f>
        <v>0</v>
      </c>
      <c r="RL23" s="50">
        <f>IF(EF23="","",COUNTIFS($D$25:$D$267,Parameters!$K$2,$E$25:$E$267,Parameters!$M$6,Calendrier!$C$25:$C$267,EF23)+ COUNTIFS($D$25:$D$267,Parameters!$K$3,$E$25:$E$267,Parameters!$M$6,Calendrier!$C$25:$C$267,EF23))</f>
        <v>0</v>
      </c>
      <c r="RM23" s="50">
        <f>IF(EG23="","",COUNTIFS($D$25:$D$267,Parameters!$K$2,$E$25:$E$267,Parameters!$M$6,Calendrier!$C$25:$C$267,EG23)+ COUNTIFS($D$25:$D$267,Parameters!$K$4,$E$25:$E$267,Parameters!$M$6,Calendrier!$C$25:$C$267,EG23))</f>
        <v>0</v>
      </c>
      <c r="RN23" s="50">
        <f>IF(EH23="","",COUNTIFS($D$25:$D$267,Parameters!$K$2,$E$25:$E$267,Parameters!$M$6,Calendrier!$C$25:$C$267,EH23)+ COUNTIFS($D$25:$D$267,Parameters!$K$3,$E$25:$E$267,Parameters!$M$6,Calendrier!$C$25:$C$267,EH23))</f>
        <v>0</v>
      </c>
      <c r="RO23" s="50">
        <f>IF(EI23="","",COUNTIFS($D$25:$D$267,Parameters!$K$2,$E$25:$E$267,Parameters!$M$6,Calendrier!$C$25:$C$267,EI23)+ COUNTIFS($D$25:$D$267,Parameters!$K$4,$E$25:$E$267,Parameters!$M$6,Calendrier!$C$25:$C$267,EI23))</f>
        <v>0</v>
      </c>
      <c r="RP23" s="50">
        <f>IF(EJ23="","",COUNTIFS($D$25:$D$267,Parameters!$K$2,$E$25:$E$267,Parameters!$M$6,Calendrier!$C$25:$C$267,EJ23)+ COUNTIFS($D$25:$D$267,Parameters!$K$3,$E$25:$E$267,Parameters!$M$6,Calendrier!$C$25:$C$267,EJ23))</f>
        <v>0</v>
      </c>
      <c r="RQ23" s="57">
        <f>IF(EK23="","",COUNTIFS($D$25:$D$267,Parameters!$K$2,$E$25:$E$267,Parameters!$M$6,Calendrier!$C$25:$C$267,EK23)+ COUNTIFS($D$25:$D$267,Parameters!$K$4,$E$25:$E$267,Parameters!$M$6,Calendrier!$C$25:$C$267,EK23))</f>
        <v>0</v>
      </c>
      <c r="RT23" s="49">
        <f>IF(EN23="","",COUNTIFS($D$25:$D$267,Parameters!$K$2,$E$25:$E$267,Parameters!$M$6,Calendrier!$C$25:$C$267,EN23)+ COUNTIFS($D$25:$D$267,Parameters!$K$3,$E$25:$E$267,Parameters!$M$6,Calendrier!$C$25:$C$267,EN23))</f>
        <v>0</v>
      </c>
      <c r="RU23" s="50">
        <f>IF(EO23="","",COUNTIFS($D$25:$D$267,Parameters!$K$2,$E$25:$E$267,Parameters!$M$6,Calendrier!$C$25:$C$267,EO23)+ COUNTIFS($D$25:$D$267,Parameters!$K$4,$E$25:$E$267,Parameters!$M$6,Calendrier!$C$25:$C$267,EO23))</f>
        <v>0</v>
      </c>
      <c r="RV23" s="50">
        <f>IF(EP23="","",COUNTIFS($D$25:$D$267,Parameters!$K$2,$E$25:$E$267,Parameters!$M$6,Calendrier!$C$25:$C$267,EP23)+ COUNTIFS($D$25:$D$267,Parameters!$K$3,$E$25:$E$267,Parameters!$M$6,Calendrier!$C$25:$C$267,EP23))</f>
        <v>0</v>
      </c>
      <c r="RW23" s="50">
        <f>IF(EQ23="","",COUNTIFS($D$25:$D$267,Parameters!$K$2,$E$25:$E$267,Parameters!$M$6,Calendrier!$C$25:$C$267,EQ23)+ COUNTIFS($D$25:$D$267,Parameters!$K$4,$E$25:$E$267,Parameters!$M$6,Calendrier!$C$25:$C$267,EQ23))</f>
        <v>0</v>
      </c>
      <c r="RX23" s="50" t="str">
        <f>IF(ER23="","",COUNTIFS($D$25:$D$267,Parameters!$K$2,$E$25:$E$267,Parameters!$M$6,Calendrier!$C$25:$C$267,ER23)+ COUNTIFS($D$25:$D$267,Parameters!$K$3,$E$25:$E$267,Parameters!$M$6,Calendrier!$C$25:$C$267,ER23))</f>
        <v/>
      </c>
      <c r="RY23" s="50" t="str">
        <f>IF(ES23="","",COUNTIFS($D$25:$D$267,Parameters!$K$2,$E$25:$E$267,Parameters!$M$6,Calendrier!$C$25:$C$267,ES23)+ COUNTIFS($D$25:$D$267,Parameters!$K$4,$E$25:$E$267,Parameters!$M$6,Calendrier!$C$25:$C$267,ES23))</f>
        <v/>
      </c>
      <c r="RZ23" s="50" t="str">
        <f>IF(ET23="","",COUNTIFS($D$25:$D$267,Parameters!$K$2,$E$25:$E$267,Parameters!$M$6,Calendrier!$C$25:$C$267,ET23)+ COUNTIFS($D$25:$D$267,Parameters!$K$3,$E$25:$E$267,Parameters!$M$6,Calendrier!$C$25:$C$267,ET23))</f>
        <v/>
      </c>
      <c r="SA23" s="50" t="str">
        <f>IF(EU23="","",COUNTIFS($D$25:$D$267,Parameters!$K$2,$E$25:$E$267,Parameters!$M$6,Calendrier!$C$25:$C$267,EU23)+ COUNTIFS($D$25:$D$267,Parameters!$K$4,$E$25:$E$267,Parameters!$M$6,Calendrier!$C$25:$C$267,EU23))</f>
        <v/>
      </c>
      <c r="SB23" s="50" t="str">
        <f>IF(EV23="","",COUNTIFS($D$25:$D$267,Parameters!$K$2,$E$25:$E$267,Parameters!$M$6,Calendrier!$C$25:$C$267,EV23)+ COUNTIFS($D$25:$D$267,Parameters!$K$3,$E$25:$E$267,Parameters!$M$6,Calendrier!$C$25:$C$267,EV23))</f>
        <v/>
      </c>
      <c r="SC23" s="50" t="str">
        <f>IF(EW23="","",COUNTIFS($D$25:$D$267,Parameters!$K$2,$E$25:$E$267,Parameters!$M$6,Calendrier!$C$25:$C$267,EW23)+ COUNTIFS($D$25:$D$267,Parameters!$K$4,$E$25:$E$267,Parameters!$M$6,Calendrier!$C$25:$C$267,EW23))</f>
        <v/>
      </c>
      <c r="SD23" s="50" t="str">
        <f>IF(EX23="","",COUNTIFS($D$25:$D$267,Parameters!$K$2,$E$25:$E$267,Parameters!$M$6,Calendrier!$C$25:$C$267,EX23)+ COUNTIFS($D$25:$D$267,Parameters!$K$3,$E$25:$E$267,Parameters!$M$6,Calendrier!$C$25:$C$267,EX23))</f>
        <v/>
      </c>
      <c r="SE23" s="50" t="str">
        <f>IF(EY23="","",COUNTIFS($D$25:$D$267,Parameters!$K$2,$E$25:$E$267,Parameters!$M$6,Calendrier!$C$25:$C$267,EY23)+ COUNTIFS($D$25:$D$267,Parameters!$K$4,$E$25:$E$267,Parameters!$M$6,Calendrier!$C$25:$C$267,EY23))</f>
        <v/>
      </c>
      <c r="SF23" s="50" t="str">
        <f>IF(EZ23="","",COUNTIFS($D$25:$D$267,Parameters!$K$2,$E$25:$E$267,Parameters!$M$6,Calendrier!$C$25:$C$267,EZ23)+ COUNTIFS($D$25:$D$267,Parameters!$K$3,$E$25:$E$267,Parameters!$M$6,Calendrier!$C$25:$C$267,EZ23))</f>
        <v/>
      </c>
      <c r="SG23" s="57" t="str">
        <f>IF(FA23="","",COUNTIFS($D$25:$D$267,Parameters!$K$2,$E$25:$E$267,Parameters!$M$6,Calendrier!$C$25:$C$267,FA23)+ COUNTIFS($D$25:$D$267,Parameters!$K$4,$E$25:$E$267,Parameters!$M$6,Calendrier!$C$25:$C$267,FA23))</f>
        <v/>
      </c>
      <c r="SL23" s="49">
        <f>IF(DH23="","",COUNTIFS($D$25:$D$267,Parameters!$K$2,$E$25:$E$267,Parameters!$M$7,Calendrier!$C$25:$C$267,DH23)+ COUNTIFS($D$25:$D$267,Parameters!$K$3,$E$25:$E$267,Parameters!$M$7,Calendrier!$C$25:$C$267,DH23))</f>
        <v>0</v>
      </c>
      <c r="SM23" s="50">
        <f>IF(DI23="","",COUNTIFS($D$25:$D$267,Parameters!$K$2,$E$25:$E$267,Parameters!$M$7,Calendrier!$C$25:$C$267,DI23)+ COUNTIFS($D$25:$D$267,Parameters!$K$4,$E$25:$E$267,Parameters!$M$7,Calendrier!$C$25:$C$267,DI23))</f>
        <v>0</v>
      </c>
      <c r="SN23" s="50">
        <f>IF(DJ23="","",COUNTIFS($D$25:$D$267,Parameters!$K$2,$E$25:$E$267,Parameters!$M$7,Calendrier!$C$25:$C$267,DJ23)+ COUNTIFS($D$25:$D$267,Parameters!$K$3,$E$25:$E$267,Parameters!$M$7,Calendrier!$C$25:$C$267,DJ23))</f>
        <v>0</v>
      </c>
      <c r="SO23" s="50">
        <f>IF(DK23="","",COUNTIFS($D$25:$D$267,Parameters!$K$2,$E$25:$E$267,Parameters!$M$7,Calendrier!$C$25:$C$267,DK23)+ COUNTIFS($D$25:$D$267,Parameters!$K$4,$E$25:$E$267,Parameters!$M$7,Calendrier!$C$25:$C$267,DK23))</f>
        <v>0</v>
      </c>
      <c r="SP23" s="50">
        <f>IF(DL23="","",COUNTIFS($D$25:$D$267,Parameters!$K$2,$E$25:$E$267,Parameters!$M$7,Calendrier!$C$25:$C$267,DL23)+ COUNTIFS($D$25:$D$267,Parameters!$K$3,$E$25:$E$267,Parameters!$M$7,Calendrier!$C$25:$C$267,DL23))</f>
        <v>0</v>
      </c>
      <c r="SQ23" s="50">
        <f>IF(DM23="","",COUNTIFS($D$25:$D$267,Parameters!$K$2,$E$25:$E$267,Parameters!$M$7,Calendrier!$C$25:$C$267,DM23)+ COUNTIFS($D$25:$D$267,Parameters!$K$4,$E$25:$E$267,Parameters!$M$7,Calendrier!$C$25:$C$267,DM23))</f>
        <v>0</v>
      </c>
      <c r="SR23" s="50">
        <f>IF(DN23="","",COUNTIFS($D$25:$D$267,Parameters!$K$2,$E$25:$E$267,Parameters!$M$7,Calendrier!$C$25:$C$267,DN23)+ COUNTIFS($D$25:$D$267,Parameters!$K$3,$E$25:$E$267,Parameters!$M$7,Calendrier!$C$25:$C$267,DN23))</f>
        <v>0</v>
      </c>
      <c r="SS23" s="50">
        <f>IF(DO23="","",COUNTIFS($D$25:$D$267,Parameters!$K$2,$E$25:$E$267,Parameters!$M$7,Calendrier!$C$25:$C$267,DO23)+ COUNTIFS($D$25:$D$267,Parameters!$K$4,$E$25:$E$267,Parameters!$M$7,Calendrier!$C$25:$C$267,DO23))</f>
        <v>0</v>
      </c>
      <c r="ST23" s="50" t="str">
        <f>IF(DP23="","",COUNTIFS($D$25:$D$267,Parameters!$K$2,$E$25:$E$267,Parameters!$M$7,Calendrier!$C$25:$C$267,DP23)+ COUNTIFS($D$25:$D$267,Parameters!$K$3,$E$25:$E$267,Parameters!$M$7,Calendrier!$C$25:$C$267,DP23))</f>
        <v/>
      </c>
      <c r="SU23" s="50" t="str">
        <f>IF(DQ23="","",COUNTIFS($D$25:$D$267,Parameters!$K$2,$E$25:$E$267,Parameters!$M$7,Calendrier!$C$25:$C$267,DQ23)+ COUNTIFS($D$25:$D$267,Parameters!$K$4,$E$25:$E$267,Parameters!$M$7,Calendrier!$C$25:$C$267,DQ23))</f>
        <v/>
      </c>
      <c r="SV23" s="50" t="str">
        <f>IF(DR23="","",COUNTIFS($D$25:$D$267,Parameters!$K$2,$E$25:$E$267,Parameters!$M$7,Calendrier!$C$25:$C$267,DR23)+ COUNTIFS($D$25:$D$267,Parameters!$K$3,$E$25:$E$267,Parameters!$M$7,Calendrier!$C$25:$C$267,DR23))</f>
        <v/>
      </c>
      <c r="SW23" s="50" t="str">
        <f>IF(DS23="","",COUNTIFS($D$25:$D$267,Parameters!$K$2,$E$25:$E$267,Parameters!$M$7,Calendrier!$C$25:$C$267,DS23)+ COUNTIFS($D$25:$D$267,Parameters!$K$4,$E$25:$E$267,Parameters!$M$7,Calendrier!$C$25:$C$267,DS23))</f>
        <v/>
      </c>
      <c r="SX23" s="50" t="str">
        <f>IF(DT23="","",COUNTIFS($D$25:$D$267,Parameters!$K$2,$E$25:$E$267,Parameters!$M$7,Calendrier!$C$25:$C$267,DT23)+ COUNTIFS($D$25:$D$267,Parameters!$K$3,$E$25:$E$267,Parameters!$M$7,Calendrier!$C$25:$C$267,DT23))</f>
        <v/>
      </c>
      <c r="SY23" s="57" t="str">
        <f>IF(DU23="","",COUNTIFS($D$25:$D$267,Parameters!$K$2,$E$25:$E$267,Parameters!$M$7,Calendrier!$C$25:$C$267,DU23)+ COUNTIFS($D$25:$D$267,Parameters!$K$4,$E$25:$E$267,Parameters!$M$7,Calendrier!$C$25:$C$267,DU23))</f>
        <v/>
      </c>
      <c r="TB23" s="49">
        <f>IF(DX23="","",COUNTIFS($D$25:$D$267,Parameters!$K$2,$E$25:$E$267,Parameters!$M$7,Calendrier!$C$25:$C$267,DX23)+ COUNTIFS($D$25:$D$267,Parameters!$K$3,$E$25:$E$267,Parameters!$M$7,Calendrier!$C$25:$C$267,DX23))</f>
        <v>0</v>
      </c>
      <c r="TC23" s="50">
        <f>IF(DY23="","",COUNTIFS($D$25:$D$267,Parameters!$K$2,$E$25:$E$267,Parameters!$M$7,Calendrier!$C$25:$C$267,DY23)+ COUNTIFS($D$25:$D$267,Parameters!$K$4,$E$25:$E$267,Parameters!$M$7,Calendrier!$C$25:$C$267,DY23))</f>
        <v>0</v>
      </c>
      <c r="TD23" s="50">
        <f>IF(DZ23="","",COUNTIFS($D$25:$D$267,Parameters!$K$2,$E$25:$E$267,Parameters!$M$7,Calendrier!$C$25:$C$267,DZ23)+ COUNTIFS($D$25:$D$267,Parameters!$K$3,$E$25:$E$267,Parameters!$M$7,Calendrier!$C$25:$C$267,DZ23))</f>
        <v>0</v>
      </c>
      <c r="TE23" s="50">
        <f>IF(EA23="","",COUNTIFS($D$25:$D$267,Parameters!$K$2,$E$25:$E$267,Parameters!$M$7,Calendrier!$C$25:$C$267,EA23)+ COUNTIFS($D$25:$D$267,Parameters!$K$4,$E$25:$E$267,Parameters!$M$7,Calendrier!$C$25:$C$267,EA23))</f>
        <v>0</v>
      </c>
      <c r="TF23" s="50">
        <f>IF(EB23="","",COUNTIFS($D$25:$D$267,Parameters!$K$2,$E$25:$E$267,Parameters!$M$7,Calendrier!$C$25:$C$267,EB23)+ COUNTIFS($D$25:$D$267,Parameters!$K$3,$E$25:$E$267,Parameters!$M$7,Calendrier!$C$25:$C$267,EB23))</f>
        <v>0</v>
      </c>
      <c r="TG23" s="50">
        <f>IF(EC23="","",COUNTIFS($D$25:$D$267,Parameters!$K$2,$E$25:$E$267,Parameters!$M$7,Calendrier!$C$25:$C$267,EC23)+ COUNTIFS($D$25:$D$267,Parameters!$K$4,$E$25:$E$267,Parameters!$M$7,Calendrier!$C$25:$C$267,EC23))</f>
        <v>0</v>
      </c>
      <c r="TH23" s="50">
        <f>IF(ED23="","",COUNTIFS($D$25:$D$267,Parameters!$K$2,$E$25:$E$267,Parameters!$M$7,Calendrier!$C$25:$C$267,ED23)+ COUNTIFS($D$25:$D$267,Parameters!$K$3,$E$25:$E$267,Parameters!$M$7,Calendrier!$C$25:$C$267,ED23))</f>
        <v>0</v>
      </c>
      <c r="TI23" s="50">
        <f>IF(EE23="","",COUNTIFS($D$25:$D$267,Parameters!$K$2,$E$25:$E$267,Parameters!$M$7,Calendrier!$C$25:$C$267,EE23)+ COUNTIFS($D$25:$D$267,Parameters!$K$4,$E$25:$E$267,Parameters!$M$7,Calendrier!$C$25:$C$267,EE23))</f>
        <v>0</v>
      </c>
      <c r="TJ23" s="50">
        <f>IF(EF23="","",COUNTIFS($D$25:$D$267,Parameters!$K$2,$E$25:$E$267,Parameters!$M$7,Calendrier!$C$25:$C$267,EF23)+ COUNTIFS($D$25:$D$267,Parameters!$K$3,$E$25:$E$267,Parameters!$M$7,Calendrier!$C$25:$C$267,EF23))</f>
        <v>0</v>
      </c>
      <c r="TK23" s="50">
        <f>IF(EG23="","",COUNTIFS($D$25:$D$267,Parameters!$K$2,$E$25:$E$267,Parameters!$M$7,Calendrier!$C$25:$C$267,EG23)+ COUNTIFS($D$25:$D$267,Parameters!$K$4,$E$25:$E$267,Parameters!$M$7,Calendrier!$C$25:$C$267,EG23))</f>
        <v>0</v>
      </c>
      <c r="TL23" s="50">
        <f>IF(EH23="","",COUNTIFS($D$25:$D$267,Parameters!$K$2,$E$25:$E$267,Parameters!$M$7,Calendrier!$C$25:$C$267,EH23)+ COUNTIFS($D$25:$D$267,Parameters!$K$3,$E$25:$E$267,Parameters!$M$7,Calendrier!$C$25:$C$267,EH23))</f>
        <v>0</v>
      </c>
      <c r="TM23" s="50">
        <f>IF(EI23="","",COUNTIFS($D$25:$D$267,Parameters!$K$2,$E$25:$E$267,Parameters!$M$7,Calendrier!$C$25:$C$267,EI23)+ COUNTIFS($D$25:$D$267,Parameters!$K$4,$E$25:$E$267,Parameters!$M$7,Calendrier!$C$25:$C$267,EI23))</f>
        <v>0</v>
      </c>
      <c r="TN23" s="50">
        <f>IF(EJ23="","",COUNTIFS($D$25:$D$267,Parameters!$K$2,$E$25:$E$267,Parameters!$M$7,Calendrier!$C$25:$C$267,EJ23)+ COUNTIFS($D$25:$D$267,Parameters!$K$3,$E$25:$E$267,Parameters!$M$7,Calendrier!$C$25:$C$267,EJ23))</f>
        <v>0</v>
      </c>
      <c r="TO23" s="57">
        <f>IF(EK23="","",COUNTIFS($D$25:$D$267,Parameters!$K$2,$E$25:$E$267,Parameters!$M$7,Calendrier!$C$25:$C$267,EK23)+ COUNTIFS($D$25:$D$267,Parameters!$K$4,$E$25:$E$267,Parameters!$M$7,Calendrier!$C$25:$C$267,EK23))</f>
        <v>0</v>
      </c>
      <c r="TR23" s="49">
        <f>IF(EN23="","",COUNTIFS($D$25:$D$267,Parameters!$K$2,$E$25:$E$267,Parameters!$M$7,Calendrier!$C$25:$C$267,EN23)+ COUNTIFS($D$25:$D$267,Parameters!$K$3,$E$25:$E$267,Parameters!$M$7,Calendrier!$C$25:$C$267,EN23))</f>
        <v>0</v>
      </c>
      <c r="TS23" s="50">
        <f>IF(EO23="","",COUNTIFS($D$25:$D$267,Parameters!$K$2,$E$25:$E$267,Parameters!$M$7,Calendrier!$C$25:$C$267,EO23)+ COUNTIFS($D$25:$D$267,Parameters!$K$4,$E$25:$E$267,Parameters!$M$7,Calendrier!$C$25:$C$267,EO23))</f>
        <v>0</v>
      </c>
      <c r="TT23" s="50">
        <f>IF(EP23="","",COUNTIFS($D$25:$D$267,Parameters!$K$2,$E$25:$E$267,Parameters!$M$7,Calendrier!$C$25:$C$267,EP23)+ COUNTIFS($D$25:$D$267,Parameters!$K$3,$E$25:$E$267,Parameters!$M$7,Calendrier!$C$25:$C$267,EP23))</f>
        <v>0</v>
      </c>
      <c r="TU23" s="50">
        <f>IF(EQ23="","",COUNTIFS($D$25:$D$267,Parameters!$K$2,$E$25:$E$267,Parameters!$M$7,Calendrier!$C$25:$C$267,EQ23)+ COUNTIFS($D$25:$D$267,Parameters!$K$4,$E$25:$E$267,Parameters!$M$7,Calendrier!$C$25:$C$267,EQ23))</f>
        <v>0</v>
      </c>
      <c r="TV23" s="50" t="str">
        <f>IF(ER23="","",COUNTIFS($D$25:$D$267,Parameters!$K$2,$E$25:$E$267,Parameters!$M$7,Calendrier!$C$25:$C$267,ER23)+ COUNTIFS($D$25:$D$267,Parameters!$K$3,$E$25:$E$267,Parameters!$M$7,Calendrier!$C$25:$C$267,ER23))</f>
        <v/>
      </c>
      <c r="TW23" s="50" t="str">
        <f>IF(ES23="","",COUNTIFS($D$25:$D$267,Parameters!$K$2,$E$25:$E$267,Parameters!$M$7,Calendrier!$C$25:$C$267,ES23)+ COUNTIFS($D$25:$D$267,Parameters!$K$4,$E$25:$E$267,Parameters!$M$7,Calendrier!$C$25:$C$267,ES23))</f>
        <v/>
      </c>
      <c r="TX23" s="50" t="str">
        <f>IF(ET23="","",COUNTIFS($D$25:$D$267,Parameters!$K$2,$E$25:$E$267,Parameters!$M$7,Calendrier!$C$25:$C$267,ET23)+ COUNTIFS($D$25:$D$267,Parameters!$K$3,$E$25:$E$267,Parameters!$M$7,Calendrier!$C$25:$C$267,ET23))</f>
        <v/>
      </c>
      <c r="TY23" s="50" t="str">
        <f>IF(EU23="","",COUNTIFS($D$25:$D$267,Parameters!$K$2,$E$25:$E$267,Parameters!$M$7,Calendrier!$C$25:$C$267,EU23)+ COUNTIFS($D$25:$D$267,Parameters!$K$4,$E$25:$E$267,Parameters!$M$7,Calendrier!$C$25:$C$267,EU23))</f>
        <v/>
      </c>
      <c r="TZ23" s="50" t="str">
        <f>IF(EV23="","",COUNTIFS($D$25:$D$267,Parameters!$K$2,$E$25:$E$267,Parameters!$M$7,Calendrier!$C$25:$C$267,EV23)+ COUNTIFS($D$25:$D$267,Parameters!$K$3,$E$25:$E$267,Parameters!$M$7,Calendrier!$C$25:$C$267,EV23))</f>
        <v/>
      </c>
      <c r="UA23" s="50" t="str">
        <f>IF(EW23="","",COUNTIFS($D$25:$D$267,Parameters!$K$2,$E$25:$E$267,Parameters!$M$7,Calendrier!$C$25:$C$267,EW23)+ COUNTIFS($D$25:$D$267,Parameters!$K$4,$E$25:$E$267,Parameters!$M$7,Calendrier!$C$25:$C$267,EW23))</f>
        <v/>
      </c>
      <c r="UB23" s="50" t="str">
        <f>IF(EX23="","",COUNTIFS($D$25:$D$267,Parameters!$K$2,$E$25:$E$267,Parameters!$M$7,Calendrier!$C$25:$C$267,EX23)+ COUNTIFS($D$25:$D$267,Parameters!$K$3,$E$25:$E$267,Parameters!$M$7,Calendrier!$C$25:$C$267,EX23))</f>
        <v/>
      </c>
      <c r="UC23" s="50" t="str">
        <f>IF(EY23="","",COUNTIFS($D$25:$D$267,Parameters!$K$2,$E$25:$E$267,Parameters!$M$7,Calendrier!$C$25:$C$267,EY23)+ COUNTIFS($D$25:$D$267,Parameters!$K$4,$E$25:$E$267,Parameters!$M$7,Calendrier!$C$25:$C$267,EY23))</f>
        <v/>
      </c>
      <c r="UD23" s="50" t="str">
        <f>IF(EZ23="","",COUNTIFS($D$25:$D$267,Parameters!$K$2,$E$25:$E$267,Parameters!$M$7,Calendrier!$C$25:$C$267,EZ23)+ COUNTIFS($D$25:$D$267,Parameters!$K$3,$E$25:$E$267,Parameters!$M$7,Calendrier!$C$25:$C$267,EZ23))</f>
        <v/>
      </c>
      <c r="UE23" s="57" t="str">
        <f>IF(FA23="","",COUNTIFS($D$25:$D$267,Parameters!$K$2,$E$25:$E$267,Parameters!$M$7,Calendrier!$C$25:$C$267,FA23)+ COUNTIFS($D$25:$D$267,Parameters!$K$4,$E$25:$E$267,Parameters!$M$7,Calendrier!$C$25:$C$267,FA23))</f>
        <v/>
      </c>
    </row>
    <row r="24" spans="2:551" ht="15" thickBot="1" x14ac:dyDescent="0.35">
      <c r="B24" s="73" t="s">
        <v>38</v>
      </c>
      <c r="C24" s="70" t="s">
        <v>31</v>
      </c>
      <c r="D24" s="70" t="s">
        <v>27</v>
      </c>
      <c r="E24" s="70" t="s">
        <v>34</v>
      </c>
      <c r="F24" s="61"/>
      <c r="G24" s="77"/>
      <c r="K24" s="31"/>
      <c r="L24" s="22" t="str">
        <f t="shared" ref="L24" si="296">IF(X23&lt;&gt;"",IF(X23&lt;$Z$18,X23+1,""),"")</f>
        <v/>
      </c>
      <c r="M24" s="23"/>
      <c r="N24" s="22" t="str">
        <f t="shared" si="275"/>
        <v/>
      </c>
      <c r="O24" s="23"/>
      <c r="P24" s="22" t="str">
        <f t="shared" si="275"/>
        <v/>
      </c>
      <c r="Q24" s="23"/>
      <c r="R24" s="22" t="str">
        <f t="shared" si="275"/>
        <v/>
      </c>
      <c r="S24" s="23"/>
      <c r="T24" s="22" t="str">
        <f t="shared" si="275"/>
        <v/>
      </c>
      <c r="U24" s="23"/>
      <c r="V24" s="22" t="str">
        <f t="shared" si="275"/>
        <v/>
      </c>
      <c r="W24" s="23"/>
      <c r="X24" s="22" t="str">
        <f t="shared" si="275"/>
        <v/>
      </c>
      <c r="Y24" s="23"/>
      <c r="Z24" s="31"/>
      <c r="AA24" s="31"/>
      <c r="AB24" s="22" t="str">
        <f t="shared" ref="AB24" si="297">IF(AN23&lt;&gt;"",IF(AN23&lt;$AP$18,AN23+1,""),"")</f>
        <v/>
      </c>
      <c r="AC24" s="23"/>
      <c r="AD24" s="22" t="str">
        <f t="shared" si="276"/>
        <v/>
      </c>
      <c r="AE24" s="23"/>
      <c r="AF24" s="22" t="str">
        <f t="shared" si="276"/>
        <v/>
      </c>
      <c r="AG24" s="23"/>
      <c r="AH24" s="22" t="str">
        <f t="shared" si="276"/>
        <v/>
      </c>
      <c r="AI24" s="23"/>
      <c r="AJ24" s="22" t="str">
        <f t="shared" si="276"/>
        <v/>
      </c>
      <c r="AK24" s="23"/>
      <c r="AL24" s="22" t="str">
        <f t="shared" si="276"/>
        <v/>
      </c>
      <c r="AM24" s="23"/>
      <c r="AN24" s="22" t="str">
        <f t="shared" si="276"/>
        <v/>
      </c>
      <c r="AO24" s="23"/>
      <c r="AP24" s="31"/>
      <c r="AQ24" s="31"/>
      <c r="AR24" s="22" t="str">
        <f t="shared" ref="AR24" si="298">IF(BD23&lt;&gt;"",IF(BD23&lt;$BF$18,BD23+1,""),"")</f>
        <v/>
      </c>
      <c r="AS24" s="23"/>
      <c r="AT24" s="22" t="str">
        <f t="shared" si="277"/>
        <v/>
      </c>
      <c r="AU24" s="23"/>
      <c r="AV24" s="22" t="str">
        <f t="shared" si="277"/>
        <v/>
      </c>
      <c r="AW24" s="23"/>
      <c r="AX24" s="22" t="str">
        <f t="shared" si="277"/>
        <v/>
      </c>
      <c r="AY24" s="23"/>
      <c r="AZ24" s="22" t="str">
        <f t="shared" si="277"/>
        <v/>
      </c>
      <c r="BA24" s="23"/>
      <c r="BB24" s="22" t="str">
        <f t="shared" si="277"/>
        <v/>
      </c>
      <c r="BC24" s="23"/>
      <c r="BD24" s="22" t="str">
        <f t="shared" si="277"/>
        <v/>
      </c>
      <c r="BE24" s="23"/>
      <c r="BF24" s="31"/>
      <c r="BG24" s="31"/>
      <c r="BJ24" s="42"/>
      <c r="BK24" s="6">
        <v>4</v>
      </c>
      <c r="BL24" s="6">
        <v>4</v>
      </c>
      <c r="BM24" s="6">
        <v>4</v>
      </c>
      <c r="BN24" s="6">
        <v>4</v>
      </c>
      <c r="BO24" s="6">
        <v>4</v>
      </c>
      <c r="BP24" s="6">
        <v>4</v>
      </c>
      <c r="BQ24" s="6">
        <v>4</v>
      </c>
      <c r="BR24" s="6">
        <v>4</v>
      </c>
      <c r="BS24" s="6">
        <v>4</v>
      </c>
      <c r="BT24" s="6">
        <v>4</v>
      </c>
      <c r="BU24" s="6">
        <v>4</v>
      </c>
      <c r="BV24" s="6">
        <v>4</v>
      </c>
      <c r="BW24" s="6">
        <v>4</v>
      </c>
      <c r="CA24" s="6">
        <v>5</v>
      </c>
      <c r="CB24" s="6">
        <v>5</v>
      </c>
      <c r="CC24" s="6">
        <v>5</v>
      </c>
      <c r="CD24" s="6">
        <v>5</v>
      </c>
      <c r="CE24" s="6">
        <v>5</v>
      </c>
      <c r="CF24" s="6">
        <v>5</v>
      </c>
      <c r="CG24" s="6">
        <v>5</v>
      </c>
      <c r="CH24" s="6">
        <v>5</v>
      </c>
      <c r="CI24" s="6">
        <v>5</v>
      </c>
      <c r="CJ24" s="6">
        <v>5</v>
      </c>
      <c r="CK24" s="6">
        <v>5</v>
      </c>
      <c r="CL24" s="6">
        <v>5</v>
      </c>
      <c r="CM24" s="6">
        <v>5</v>
      </c>
      <c r="CQ24" s="6">
        <v>6</v>
      </c>
      <c r="CR24" s="6">
        <v>6</v>
      </c>
      <c r="CS24" s="6">
        <v>6</v>
      </c>
      <c r="CT24" s="6">
        <v>6</v>
      </c>
      <c r="CU24" s="6">
        <v>6</v>
      </c>
      <c r="CV24" s="6">
        <v>6</v>
      </c>
      <c r="CW24" s="6">
        <v>6</v>
      </c>
      <c r="CX24" s="6">
        <v>6</v>
      </c>
      <c r="CY24" s="6">
        <v>6</v>
      </c>
      <c r="CZ24" s="6">
        <v>6</v>
      </c>
      <c r="DA24" s="6">
        <v>6</v>
      </c>
      <c r="DB24" s="6">
        <v>6</v>
      </c>
      <c r="DC24" s="6">
        <v>6</v>
      </c>
      <c r="DG24" s="42"/>
      <c r="DH24" s="46" t="str">
        <f t="shared" si="198"/>
        <v/>
      </c>
      <c r="DI24" s="47" t="str">
        <f t="shared" ref="DI24" si="299">DH24</f>
        <v/>
      </c>
      <c r="DJ24" s="47" t="str">
        <f t="shared" si="161"/>
        <v/>
      </c>
      <c r="DK24" s="47" t="str">
        <f t="shared" ref="DK24" si="300">DJ24</f>
        <v/>
      </c>
      <c r="DL24" s="47" t="str">
        <f t="shared" si="163"/>
        <v/>
      </c>
      <c r="DM24" s="47" t="str">
        <f t="shared" ref="DM24" si="301">DL24</f>
        <v/>
      </c>
      <c r="DN24" s="47" t="str">
        <f t="shared" si="165"/>
        <v/>
      </c>
      <c r="DO24" s="47" t="str">
        <f t="shared" ref="DO24" si="302">DN24</f>
        <v/>
      </c>
      <c r="DP24" s="47" t="str">
        <f t="shared" si="167"/>
        <v/>
      </c>
      <c r="DQ24" s="47" t="str">
        <f t="shared" ref="DQ24" si="303">DP24</f>
        <v/>
      </c>
      <c r="DR24" s="47" t="str">
        <f t="shared" si="169"/>
        <v/>
      </c>
      <c r="DS24" s="47" t="str">
        <f t="shared" ref="DS24" si="304">DR24</f>
        <v/>
      </c>
      <c r="DT24" s="47" t="str">
        <f t="shared" si="171"/>
        <v/>
      </c>
      <c r="DU24" s="48" t="str">
        <f t="shared" si="172"/>
        <v/>
      </c>
      <c r="DX24" s="46" t="str">
        <f t="shared" si="205"/>
        <v/>
      </c>
      <c r="DY24" s="47" t="str">
        <f t="shared" ref="DY24" si="305">DX24</f>
        <v/>
      </c>
      <c r="DZ24" s="47" t="str">
        <f t="shared" si="173"/>
        <v/>
      </c>
      <c r="EA24" s="47" t="str">
        <f t="shared" ref="EA24" si="306">DZ24</f>
        <v/>
      </c>
      <c r="EB24" s="47" t="str">
        <f t="shared" si="175"/>
        <v/>
      </c>
      <c r="EC24" s="47" t="str">
        <f t="shared" ref="EC24" si="307">EB24</f>
        <v/>
      </c>
      <c r="ED24" s="47" t="str">
        <f t="shared" si="177"/>
        <v/>
      </c>
      <c r="EE24" s="47" t="str">
        <f t="shared" ref="EE24" si="308">ED24</f>
        <v/>
      </c>
      <c r="EF24" s="47" t="str">
        <f t="shared" si="179"/>
        <v/>
      </c>
      <c r="EG24" s="47" t="str">
        <f t="shared" ref="EG24" si="309">EF24</f>
        <v/>
      </c>
      <c r="EH24" s="47" t="str">
        <f t="shared" si="181"/>
        <v/>
      </c>
      <c r="EI24" s="47" t="str">
        <f t="shared" ref="EI24" si="310">EH24</f>
        <v/>
      </c>
      <c r="EJ24" s="47" t="str">
        <f t="shared" si="183"/>
        <v/>
      </c>
      <c r="EK24" s="48" t="str">
        <f t="shared" si="184"/>
        <v/>
      </c>
      <c r="EN24" s="46" t="str">
        <f t="shared" si="212"/>
        <v/>
      </c>
      <c r="EO24" s="47" t="str">
        <f t="shared" ref="EO24" si="311">EN24</f>
        <v/>
      </c>
      <c r="EP24" s="47" t="str">
        <f t="shared" si="185"/>
        <v/>
      </c>
      <c r="EQ24" s="47" t="str">
        <f t="shared" ref="EQ24" si="312">EP24</f>
        <v/>
      </c>
      <c r="ER24" s="47" t="str">
        <f t="shared" si="187"/>
        <v/>
      </c>
      <c r="ES24" s="47" t="str">
        <f t="shared" ref="ES24" si="313">ER24</f>
        <v/>
      </c>
      <c r="ET24" s="47" t="str">
        <f t="shared" si="189"/>
        <v/>
      </c>
      <c r="EU24" s="47" t="str">
        <f t="shared" ref="EU24" si="314">ET24</f>
        <v/>
      </c>
      <c r="EV24" s="47" t="str">
        <f t="shared" si="191"/>
        <v/>
      </c>
      <c r="EW24" s="47" t="str">
        <f t="shared" ref="EW24" si="315">EV24</f>
        <v/>
      </c>
      <c r="EX24" s="47" t="str">
        <f t="shared" si="193"/>
        <v/>
      </c>
      <c r="EY24" s="47" t="str">
        <f t="shared" ref="EY24" si="316">EX24</f>
        <v/>
      </c>
      <c r="EZ24" s="47" t="str">
        <f t="shared" si="195"/>
        <v/>
      </c>
      <c r="FA24" s="48" t="str">
        <f t="shared" si="196"/>
        <v/>
      </c>
      <c r="FE24" s="58">
        <f>COUNTIFS(Parameters!$S:$S,$D$4,Parameters!$Q:$Q,DH24)</f>
        <v>0</v>
      </c>
      <c r="FF24" s="59">
        <f>COUNTIFS(Parameters!$S:$S,$D$4,Parameters!$Q:$Q,DI24)</f>
        <v>0</v>
      </c>
      <c r="FG24" s="59">
        <f>COUNTIFS(Parameters!$S:$S,$D$4,Parameters!$Q:$Q,DJ24)</f>
        <v>0</v>
      </c>
      <c r="FH24" s="59">
        <f>COUNTIFS(Parameters!$S:$S,$D$4,Parameters!$Q:$Q,DK24)</f>
        <v>0</v>
      </c>
      <c r="FI24" s="59">
        <f>COUNTIFS(Parameters!$S:$S,$D$4,Parameters!$Q:$Q,DL24)</f>
        <v>0</v>
      </c>
      <c r="FJ24" s="59">
        <f>COUNTIFS(Parameters!$S:$S,$D$4,Parameters!$Q:$Q,DM24)</f>
        <v>0</v>
      </c>
      <c r="FK24" s="59">
        <f>COUNTIFS(Parameters!$S:$S,$D$4,Parameters!$Q:$Q,DN24)</f>
        <v>0</v>
      </c>
      <c r="FL24" s="59">
        <f>COUNTIFS(Parameters!$S:$S,$D$4,Parameters!$Q:$Q,DO24)</f>
        <v>0</v>
      </c>
      <c r="FM24" s="59">
        <f>COUNTIFS(Parameters!$S:$S,$D$4,Parameters!$Q:$Q,DP24)</f>
        <v>0</v>
      </c>
      <c r="FN24" s="59">
        <f>COUNTIFS(Parameters!$S:$S,$D$4,Parameters!$Q:$Q,DQ24)</f>
        <v>0</v>
      </c>
      <c r="FO24" s="59">
        <f>COUNTIFS(Parameters!$S:$S,$D$4,Parameters!$Q:$Q,DR24)</f>
        <v>0</v>
      </c>
      <c r="FP24" s="59">
        <f>COUNTIFS(Parameters!$S:$S,$D$4,Parameters!$Q:$Q,DS24)</f>
        <v>0</v>
      </c>
      <c r="FQ24" s="59">
        <f>COUNTIFS(Parameters!$S:$S,$D$4,Parameters!$Q:$Q,DT24)</f>
        <v>0</v>
      </c>
      <c r="FR24" s="60">
        <f>COUNTIFS(Parameters!$S:$S,$D$4,Parameters!$Q:$Q,DU24)</f>
        <v>0</v>
      </c>
      <c r="FU24" s="58">
        <f>COUNTIFS(Parameters!$S:$S,$D$4,Parameters!$Q:$Q,DX24)</f>
        <v>0</v>
      </c>
      <c r="FV24" s="59">
        <f>COUNTIFS(Parameters!$S:$S,$D$4,Parameters!$Q:$Q,DY24)</f>
        <v>0</v>
      </c>
      <c r="FW24" s="59">
        <f>COUNTIFS(Parameters!$S:$S,$D$4,Parameters!$Q:$Q,DZ24)</f>
        <v>0</v>
      </c>
      <c r="FX24" s="59">
        <f>COUNTIFS(Parameters!$S:$S,$D$4,Parameters!$Q:$Q,EA24)</f>
        <v>0</v>
      </c>
      <c r="FY24" s="59">
        <f>COUNTIFS(Parameters!$S:$S,$D$4,Parameters!$Q:$Q,EB24)</f>
        <v>0</v>
      </c>
      <c r="FZ24" s="59">
        <f>COUNTIFS(Parameters!$S:$S,$D$4,Parameters!$Q:$Q,EC24)</f>
        <v>0</v>
      </c>
      <c r="GA24" s="59">
        <f>COUNTIFS(Parameters!$S:$S,$D$4,Parameters!$Q:$Q,ED24)</f>
        <v>0</v>
      </c>
      <c r="GB24" s="59">
        <f>COUNTIFS(Parameters!$S:$S,$D$4,Parameters!$Q:$Q,EE24)</f>
        <v>0</v>
      </c>
      <c r="GC24" s="59">
        <f>COUNTIFS(Parameters!$S:$S,$D$4,Parameters!$Q:$Q,EF24)</f>
        <v>0</v>
      </c>
      <c r="GD24" s="59">
        <f>COUNTIFS(Parameters!$S:$S,$D$4,Parameters!$Q:$Q,EG24)</f>
        <v>0</v>
      </c>
      <c r="GE24" s="59">
        <f>COUNTIFS(Parameters!$S:$S,$D$4,Parameters!$Q:$Q,EH24)</f>
        <v>0</v>
      </c>
      <c r="GF24" s="59">
        <f>COUNTIFS(Parameters!$S:$S,$D$4,Parameters!$Q:$Q,EI24)</f>
        <v>0</v>
      </c>
      <c r="GG24" s="59">
        <f>COUNTIFS(Parameters!$S:$S,$D$4,Parameters!$Q:$Q,EJ24)</f>
        <v>0</v>
      </c>
      <c r="GH24" s="60">
        <f>COUNTIFS(Parameters!$S:$S,$D$4,Parameters!$Q:$Q,EK24)</f>
        <v>0</v>
      </c>
      <c r="GK24" s="58">
        <f>COUNTIFS(Parameters!$S:$S,$D$4,Parameters!$Q:$Q,EN24)</f>
        <v>0</v>
      </c>
      <c r="GL24" s="59">
        <f>COUNTIFS(Parameters!$S:$S,$D$4,Parameters!$Q:$Q,EO24)</f>
        <v>0</v>
      </c>
      <c r="GM24" s="59">
        <f>COUNTIFS(Parameters!$S:$S,$D$4,Parameters!$Q:$Q,EP24)</f>
        <v>0</v>
      </c>
      <c r="GN24" s="59">
        <f>COUNTIFS(Parameters!$S:$S,$D$4,Parameters!$Q:$Q,EQ24)</f>
        <v>0</v>
      </c>
      <c r="GO24" s="59">
        <f>COUNTIFS(Parameters!$S:$S,$D$4,Parameters!$Q:$Q,ER24)</f>
        <v>0</v>
      </c>
      <c r="GP24" s="59">
        <f>COUNTIFS(Parameters!$S:$S,$D$4,Parameters!$Q:$Q,ES24)</f>
        <v>0</v>
      </c>
      <c r="GQ24" s="59">
        <f>COUNTIFS(Parameters!$S:$S,$D$4,Parameters!$Q:$Q,ET24)</f>
        <v>0</v>
      </c>
      <c r="GR24" s="59">
        <f>COUNTIFS(Parameters!$S:$S,$D$4,Parameters!$Q:$Q,EU24)</f>
        <v>0</v>
      </c>
      <c r="GS24" s="59">
        <f>COUNTIFS(Parameters!$S:$S,$D$4,Parameters!$Q:$Q,EV24)</f>
        <v>0</v>
      </c>
      <c r="GT24" s="59">
        <f>COUNTIFS(Parameters!$S:$S,$D$4,Parameters!$Q:$Q,EW24)</f>
        <v>0</v>
      </c>
      <c r="GU24" s="59">
        <f>COUNTIFS(Parameters!$S:$S,$D$4,Parameters!$Q:$Q,EX24)</f>
        <v>0</v>
      </c>
      <c r="GV24" s="59">
        <f>COUNTIFS(Parameters!$S:$S,$D$4,Parameters!$Q:$Q,EY24)</f>
        <v>0</v>
      </c>
      <c r="GW24" s="59">
        <f>COUNTIFS(Parameters!$S:$S,$D$4,Parameters!$Q:$Q,EZ24)</f>
        <v>0</v>
      </c>
      <c r="GX24" s="60">
        <f>COUNTIFS(Parameters!$S:$S,$D$4,Parameters!$Q:$Q,FA24)</f>
        <v>0</v>
      </c>
      <c r="HB24" s="58" t="str">
        <f>IF(DH24="","",COUNTIFS($D$25:$D$267,Parameters!$K$2,$E$25:$E$267,Parameters!$M$2,Calendrier!$C$25:$C$267,DH24)+ COUNTIFS($D$25:$D$267,Parameters!$K$3,$E$25:$E$267,Parameters!$M$2,Calendrier!$C$25:$C$267,DH24))</f>
        <v/>
      </c>
      <c r="HC24" s="59" t="str">
        <f>IF(DI24="","",COUNTIFS($D$25:$D$267,Parameters!$K$2,$E$25:$E$267,Parameters!$M$2,Calendrier!$C$25:$C$267,DI24)+ COUNTIFS($D$25:$D$267,Parameters!$K$4,$E$25:$E$267,Parameters!$M$2,Calendrier!$C$25:$C$267,DI24))</f>
        <v/>
      </c>
      <c r="HD24" s="59" t="str">
        <f>IF(DJ24="","",COUNTIFS($D$25:$D$267,Parameters!$K$2,$E$25:$E$267,Parameters!$M$2,Calendrier!$C$25:$C$267,DJ24)+ COUNTIFS($D$25:$D$267,Parameters!$K$3,$E$25:$E$267,Parameters!$M$2,Calendrier!$C$25:$C$267,DJ24))</f>
        <v/>
      </c>
      <c r="HE24" s="59" t="str">
        <f>IF(DK24="","",COUNTIFS($D$25:$D$267,Parameters!$K$2,$E$25:$E$267,Parameters!$M$2,Calendrier!$C$25:$C$267,DK24)+ COUNTIFS($D$25:$D$267,Parameters!$K$4,$E$25:$E$267,Parameters!$M$2,Calendrier!$C$25:$C$267,DK24))</f>
        <v/>
      </c>
      <c r="HF24" s="59" t="str">
        <f>IF(DL24="","",COUNTIFS($D$25:$D$267,Parameters!$K$2,$E$25:$E$267,Parameters!$M$2,Calendrier!$C$25:$C$267,DL24)+ COUNTIFS($D$25:$D$267,Parameters!$K$3,$E$25:$E$267,Parameters!$M$2,Calendrier!$C$25:$C$267,DL24))</f>
        <v/>
      </c>
      <c r="HG24" s="59" t="str">
        <f>IF(DM24="","",COUNTIFS($D$25:$D$267,Parameters!$K$2,$E$25:$E$267,Parameters!$M$2,Calendrier!$C$25:$C$267,DM24)+ COUNTIFS($D$25:$D$267,Parameters!$K$4,$E$25:$E$267,Parameters!$M$2,Calendrier!$C$25:$C$267,DM24))</f>
        <v/>
      </c>
      <c r="HH24" s="59" t="str">
        <f>IF(DN24="","",COUNTIFS($D$25:$D$267,Parameters!$K$2,$E$25:$E$267,Parameters!$M$2,Calendrier!$C$25:$C$267,DN24)+ COUNTIFS($D$25:$D$267,Parameters!$K$3,$E$25:$E$267,Parameters!$M$2,Calendrier!$C$25:$C$267,DN24))</f>
        <v/>
      </c>
      <c r="HI24" s="59" t="str">
        <f>IF(DO24="","",COUNTIFS($D$25:$D$267,Parameters!$K$2,$E$25:$E$267,Parameters!$M$2,Calendrier!$C$25:$C$267,DO24)+ COUNTIFS($D$25:$D$267,Parameters!$K$4,$E$25:$E$267,Parameters!$M$2,Calendrier!$C$25:$C$267,DO24))</f>
        <v/>
      </c>
      <c r="HJ24" s="59" t="str">
        <f>IF(DP24="","",COUNTIFS($D$25:$D$267,Parameters!$K$2,$E$25:$E$267,Parameters!$M$2,Calendrier!$C$25:$C$267,DP24)+ COUNTIFS($D$25:$D$267,Parameters!$K$3,$E$25:$E$267,Parameters!$M$2,Calendrier!$C$25:$C$267,DP24))</f>
        <v/>
      </c>
      <c r="HK24" s="59" t="str">
        <f>IF(DQ24="","",COUNTIFS($D$25:$D$267,Parameters!$K$2,$E$25:$E$267,Parameters!$M$2,Calendrier!$C$25:$C$267,DQ24)+ COUNTIFS($D$25:$D$267,Parameters!$K$4,$E$25:$E$267,Parameters!$M$2,Calendrier!$C$25:$C$267,DQ24))</f>
        <v/>
      </c>
      <c r="HL24" s="59" t="str">
        <f>IF(DR24="","",COUNTIFS($D$25:$D$267,Parameters!$K$2,$E$25:$E$267,Parameters!$M$2,Calendrier!$C$25:$C$267,DR24)+ COUNTIFS($D$25:$D$267,Parameters!$K$3,$E$25:$E$267,Parameters!$M$2,Calendrier!$C$25:$C$267,DR24))</f>
        <v/>
      </c>
      <c r="HM24" s="59" t="str">
        <f>IF(DS24="","",COUNTIFS($D$25:$D$267,Parameters!$K$2,$E$25:$E$267,Parameters!$M$2,Calendrier!$C$25:$C$267,DS24)+ COUNTIFS($D$25:$D$267,Parameters!$K$4,$E$25:$E$267,Parameters!$M$2,Calendrier!$C$25:$C$267,DS24))</f>
        <v/>
      </c>
      <c r="HN24" s="59" t="str">
        <f>IF(DT24="","",COUNTIFS($D$25:$D$267,Parameters!$K$2,$E$25:$E$267,Parameters!$M$2,Calendrier!$C$25:$C$267,DT24)+ COUNTIFS($D$25:$D$267,Parameters!$K$3,$E$25:$E$267,Parameters!$M$2,Calendrier!$C$25:$C$267,DT24))</f>
        <v/>
      </c>
      <c r="HO24" s="60" t="str">
        <f>IF(DU24="","",COUNTIFS($D$25:$D$267,Parameters!$K$2,$E$25:$E$267,Parameters!$M$2,Calendrier!$C$25:$C$267,DU24)+ COUNTIFS($D$25:$D$267,Parameters!$K$4,$E$25:$E$267,Parameters!$M$2,Calendrier!$C$25:$C$267,DU24))</f>
        <v/>
      </c>
      <c r="HR24" s="58" t="str">
        <f>IF(DX24="","",COUNTIFS($D$25:$D$267,Parameters!$K$2,$E$25:$E$267,Parameters!$M$2,Calendrier!$C$25:$C$267,DX24)+ COUNTIFS($D$25:$D$267,Parameters!$K$3,$E$25:$E$267,Parameters!$M$2,Calendrier!$C$25:$C$267,DX24))</f>
        <v/>
      </c>
      <c r="HS24" s="59" t="str">
        <f>IF(DY24="","",COUNTIFS($D$25:$D$267,Parameters!$K$2,$E$25:$E$267,Parameters!$M$2,Calendrier!$C$25:$C$267,DY24)+ COUNTIFS($D$25:$D$267,Parameters!$K$4,$E$25:$E$267,Parameters!$M$2,Calendrier!$C$25:$C$267,DY24))</f>
        <v/>
      </c>
      <c r="HT24" s="59" t="str">
        <f>IF(DZ24="","",COUNTIFS($D$25:$D$267,Parameters!$K$2,$E$25:$E$267,Parameters!$M$2,Calendrier!$C$25:$C$267,DZ24)+ COUNTIFS($D$25:$D$267,Parameters!$K$3,$E$25:$E$267,Parameters!$M$2,Calendrier!$C$25:$C$267,DZ24))</f>
        <v/>
      </c>
      <c r="HU24" s="59" t="str">
        <f>IF(EA24="","",COUNTIFS($D$25:$D$267,Parameters!$K$2,$E$25:$E$267,Parameters!$M$2,Calendrier!$C$25:$C$267,EA24)+ COUNTIFS($D$25:$D$267,Parameters!$K$4,$E$25:$E$267,Parameters!$M$2,Calendrier!$C$25:$C$267,EA24))</f>
        <v/>
      </c>
      <c r="HV24" s="59" t="str">
        <f>IF(EB24="","",COUNTIFS($D$25:$D$267,Parameters!$K$2,$E$25:$E$267,Parameters!$M$2,Calendrier!$C$25:$C$267,EB24)+ COUNTIFS($D$25:$D$267,Parameters!$K$3,$E$25:$E$267,Parameters!$M$2,Calendrier!$C$25:$C$267,EB24))</f>
        <v/>
      </c>
      <c r="HW24" s="59" t="str">
        <f>IF(EC24="","",COUNTIFS($D$25:$D$267,Parameters!$K$2,$E$25:$E$267,Parameters!$M$2,Calendrier!$C$25:$C$267,EC24)+ COUNTIFS($D$25:$D$267,Parameters!$K$4,$E$25:$E$267,Parameters!$M$2,Calendrier!$C$25:$C$267,EC24))</f>
        <v/>
      </c>
      <c r="HX24" s="59" t="str">
        <f>IF(ED24="","",COUNTIFS($D$25:$D$267,Parameters!$K$2,$E$25:$E$267,Parameters!$M$2,Calendrier!$C$25:$C$267,ED24)+ COUNTIFS($D$25:$D$267,Parameters!$K$3,$E$25:$E$267,Parameters!$M$2,Calendrier!$C$25:$C$267,ED24))</f>
        <v/>
      </c>
      <c r="HY24" s="59" t="str">
        <f>IF(EE24="","",COUNTIFS($D$25:$D$267,Parameters!$K$2,$E$25:$E$267,Parameters!$M$2,Calendrier!$C$25:$C$267,EE24)+ COUNTIFS($D$25:$D$267,Parameters!$K$4,$E$25:$E$267,Parameters!$M$2,Calendrier!$C$25:$C$267,EE24))</f>
        <v/>
      </c>
      <c r="HZ24" s="59" t="str">
        <f>IF(EF24="","",COUNTIFS($D$25:$D$267,Parameters!$K$2,$E$25:$E$267,Parameters!$M$2,Calendrier!$C$25:$C$267,EF24)+ COUNTIFS($D$25:$D$267,Parameters!$K$3,$E$25:$E$267,Parameters!$M$2,Calendrier!$C$25:$C$267,EF24))</f>
        <v/>
      </c>
      <c r="IA24" s="59" t="str">
        <f>IF(EG24="","",COUNTIFS($D$25:$D$267,Parameters!$K$2,$E$25:$E$267,Parameters!$M$2,Calendrier!$C$25:$C$267,EG24)+ COUNTIFS($D$25:$D$267,Parameters!$K$4,$E$25:$E$267,Parameters!$M$2,Calendrier!$C$25:$C$267,EG24))</f>
        <v/>
      </c>
      <c r="IB24" s="59" t="str">
        <f>IF(EH24="","",COUNTIFS($D$25:$D$267,Parameters!$K$2,$E$25:$E$267,Parameters!$M$2,Calendrier!$C$25:$C$267,EH24)+ COUNTIFS($D$25:$D$267,Parameters!$K$3,$E$25:$E$267,Parameters!$M$2,Calendrier!$C$25:$C$267,EH24))</f>
        <v/>
      </c>
      <c r="IC24" s="59" t="str">
        <f>IF(EI24="","",COUNTIFS($D$25:$D$267,Parameters!$K$2,$E$25:$E$267,Parameters!$M$2,Calendrier!$C$25:$C$267,EI24)+ COUNTIFS($D$25:$D$267,Parameters!$K$4,$E$25:$E$267,Parameters!$M$2,Calendrier!$C$25:$C$267,EI24))</f>
        <v/>
      </c>
      <c r="ID24" s="59" t="str">
        <f>IF(EJ24="","",COUNTIFS($D$25:$D$267,Parameters!$K$2,$E$25:$E$267,Parameters!$M$2,Calendrier!$C$25:$C$267,EJ24)+ COUNTIFS($D$25:$D$267,Parameters!$K$3,$E$25:$E$267,Parameters!$M$2,Calendrier!$C$25:$C$267,EJ24))</f>
        <v/>
      </c>
      <c r="IE24" s="60" t="str">
        <f>IF(EK24="","",COUNTIFS($D$25:$D$267,Parameters!$K$2,$E$25:$E$267,Parameters!$M$2,Calendrier!$C$25:$C$267,EK24)+ COUNTIFS($D$25:$D$267,Parameters!$K$4,$E$25:$E$267,Parameters!$M$2,Calendrier!$C$25:$C$267,EK24))</f>
        <v/>
      </c>
      <c r="IH24" s="58" t="str">
        <f>IF(EN24="","",COUNTIFS($D$25:$D$267,Parameters!$K$2,$E$25:$E$267,Parameters!$M$2,Calendrier!$C$25:$C$267,EN24)+ COUNTIFS($D$25:$D$267,Parameters!$K$3,$E$25:$E$267,Parameters!$M$2,Calendrier!$C$25:$C$267,EN24))</f>
        <v/>
      </c>
      <c r="II24" s="59" t="str">
        <f>IF(EO24="","",COUNTIFS($D$25:$D$267,Parameters!$K$2,$E$25:$E$267,Parameters!$M$2,Calendrier!$C$25:$C$267,EO24)+ COUNTIFS($D$25:$D$267,Parameters!$K$4,$E$25:$E$267,Parameters!$M$2,Calendrier!$C$25:$C$267,EO24))</f>
        <v/>
      </c>
      <c r="IJ24" s="59" t="str">
        <f>IF(EP24="","",COUNTIFS($D$25:$D$267,Parameters!$K$2,$E$25:$E$267,Parameters!$M$2,Calendrier!$C$25:$C$267,EP24)+ COUNTIFS($D$25:$D$267,Parameters!$K$3,$E$25:$E$267,Parameters!$M$2,Calendrier!$C$25:$C$267,EP24))</f>
        <v/>
      </c>
      <c r="IK24" s="59" t="str">
        <f>IF(EQ24="","",COUNTIFS($D$25:$D$267,Parameters!$K$2,$E$25:$E$267,Parameters!$M$2,Calendrier!$C$25:$C$267,EQ24)+ COUNTIFS($D$25:$D$267,Parameters!$K$4,$E$25:$E$267,Parameters!$M$2,Calendrier!$C$25:$C$267,EQ24))</f>
        <v/>
      </c>
      <c r="IL24" s="59" t="str">
        <f>IF(ER24="","",COUNTIFS($D$25:$D$267,Parameters!$K$2,$E$25:$E$267,Parameters!$M$2,Calendrier!$C$25:$C$267,ER24)+ COUNTIFS($D$25:$D$267,Parameters!$K$3,$E$25:$E$267,Parameters!$M$2,Calendrier!$C$25:$C$267,ER24))</f>
        <v/>
      </c>
      <c r="IM24" s="59" t="str">
        <f>IF(ES24="","",COUNTIFS($D$25:$D$267,Parameters!$K$2,$E$25:$E$267,Parameters!$M$2,Calendrier!$C$25:$C$267,ES24)+ COUNTIFS($D$25:$D$267,Parameters!$K$4,$E$25:$E$267,Parameters!$M$2,Calendrier!$C$25:$C$267,ES24))</f>
        <v/>
      </c>
      <c r="IN24" s="59" t="str">
        <f>IF(ET24="","",COUNTIFS($D$25:$D$267,Parameters!$K$2,$E$25:$E$267,Parameters!$M$2,Calendrier!$C$25:$C$267,ET24)+ COUNTIFS($D$25:$D$267,Parameters!$K$3,$E$25:$E$267,Parameters!$M$2,Calendrier!$C$25:$C$267,ET24))</f>
        <v/>
      </c>
      <c r="IO24" s="59" t="str">
        <f>IF(EU24="","",COUNTIFS($D$25:$D$267,Parameters!$K$2,$E$25:$E$267,Parameters!$M$2,Calendrier!$C$25:$C$267,EU24)+ COUNTIFS($D$25:$D$267,Parameters!$K$4,$E$25:$E$267,Parameters!$M$2,Calendrier!$C$25:$C$267,EU24))</f>
        <v/>
      </c>
      <c r="IP24" s="59" t="str">
        <f>IF(EV24="","",COUNTIFS($D$25:$D$267,Parameters!$K$2,$E$25:$E$267,Parameters!$M$2,Calendrier!$C$25:$C$267,EV24)+ COUNTIFS($D$25:$D$267,Parameters!$K$3,$E$25:$E$267,Parameters!$M$2,Calendrier!$C$25:$C$267,EV24))</f>
        <v/>
      </c>
      <c r="IQ24" s="59" t="str">
        <f>IF(EW24="","",COUNTIFS($D$25:$D$267,Parameters!$K$2,$E$25:$E$267,Parameters!$M$2,Calendrier!$C$25:$C$267,EW24)+ COUNTIFS($D$25:$D$267,Parameters!$K$4,$E$25:$E$267,Parameters!$M$2,Calendrier!$C$25:$C$267,EW24))</f>
        <v/>
      </c>
      <c r="IR24" s="59" t="str">
        <f>IF(EX24="","",COUNTIFS($D$25:$D$267,Parameters!$K$2,$E$25:$E$267,Parameters!$M$2,Calendrier!$C$25:$C$267,EX24)+ COUNTIFS($D$25:$D$267,Parameters!$K$3,$E$25:$E$267,Parameters!$M$2,Calendrier!$C$25:$C$267,EX24))</f>
        <v/>
      </c>
      <c r="IS24" s="59" t="str">
        <f>IF(EY24="","",COUNTIFS($D$25:$D$267,Parameters!$K$2,$E$25:$E$267,Parameters!$M$2,Calendrier!$C$25:$C$267,EY24)+ COUNTIFS($D$25:$D$267,Parameters!$K$4,$E$25:$E$267,Parameters!$M$2,Calendrier!$C$25:$C$267,EY24))</f>
        <v/>
      </c>
      <c r="IT24" s="59" t="str">
        <f>IF(EZ24="","",COUNTIFS($D$25:$D$267,Parameters!$K$2,$E$25:$E$267,Parameters!$M$2,Calendrier!$C$25:$C$267,EZ24)+ COUNTIFS($D$25:$D$267,Parameters!$K$3,$E$25:$E$267,Parameters!$M$2,Calendrier!$C$25:$C$267,EZ24))</f>
        <v/>
      </c>
      <c r="IU24" s="60" t="str">
        <f>IF(FA24="","",COUNTIFS($D$25:$D$267,Parameters!$K$2,$E$25:$E$267,Parameters!$M$2,Calendrier!$C$25:$C$267,FA24)+ COUNTIFS($D$25:$D$267,Parameters!$K$4,$E$25:$E$267,Parameters!$M$2,Calendrier!$C$25:$C$267,FA24))</f>
        <v/>
      </c>
      <c r="IY24" s="58" t="str">
        <f>IF(DH24="","",COUNTIFS($D$25:$D$267,Parameters!$K$2,$E$25:$E$267,Parameters!$M$3,Calendrier!$C$25:$C$267,DH24)+ COUNTIFS($D$25:$D$267,Parameters!$K$3,$E$25:$E$267,Parameters!$M$3,Calendrier!$C$25:$C$267,DH24))</f>
        <v/>
      </c>
      <c r="IZ24" s="59" t="str">
        <f>IF(DI24="","",COUNTIFS($D$25:$D$267,Parameters!$K$2,$E$25:$E$267,Parameters!$M$3,Calendrier!$C$25:$C$267,DI24)+ COUNTIFS($D$25:$D$267,Parameters!$K$4,$E$25:$E$267,Parameters!$M$3,Calendrier!$C$25:$C$267,DI24))</f>
        <v/>
      </c>
      <c r="JA24" s="59" t="str">
        <f>IF(DJ24="","",COUNTIFS($D$25:$D$267,Parameters!$K$2,$E$25:$E$267,Parameters!$M$3,Calendrier!$C$25:$C$267,DJ24)+ COUNTIFS($D$25:$D$267,Parameters!$K$3,$E$25:$E$267,Parameters!$M$3,Calendrier!$C$25:$C$267,DJ24))</f>
        <v/>
      </c>
      <c r="JB24" s="59" t="str">
        <f>IF(DK24="","",COUNTIFS($D$25:$D$267,Parameters!$K$2,$E$25:$E$267,Parameters!$M$3,Calendrier!$C$25:$C$267,DK24)+ COUNTIFS($D$25:$D$267,Parameters!$K$4,$E$25:$E$267,Parameters!$M$3,Calendrier!$C$25:$C$267,DK24))</f>
        <v/>
      </c>
      <c r="JC24" s="59" t="str">
        <f>IF(DL24="","",COUNTIFS($D$25:$D$267,Parameters!$K$2,$E$25:$E$267,Parameters!$M$3,Calendrier!$C$25:$C$267,DL24)+ COUNTIFS($D$25:$D$267,Parameters!$K$3,$E$25:$E$267,Parameters!$M$3,Calendrier!$C$25:$C$267,DL24))</f>
        <v/>
      </c>
      <c r="JD24" s="59" t="str">
        <f>IF(DM24="","",COUNTIFS($D$25:$D$267,Parameters!$K$2,$E$25:$E$267,Parameters!$M$3,Calendrier!$C$25:$C$267,DM24)+ COUNTIFS($D$25:$D$267,Parameters!$K$4,$E$25:$E$267,Parameters!$M$3,Calendrier!$C$25:$C$267,DM24))</f>
        <v/>
      </c>
      <c r="JE24" s="59" t="str">
        <f>IF(DN24="","",COUNTIFS($D$25:$D$267,Parameters!$K$2,$E$25:$E$267,Parameters!$M$3,Calendrier!$C$25:$C$267,DN24)+ COUNTIFS($D$25:$D$267,Parameters!$K$3,$E$25:$E$267,Parameters!$M$3,Calendrier!$C$25:$C$267,DN24))</f>
        <v/>
      </c>
      <c r="JF24" s="59" t="str">
        <f>IF(DO24="","",COUNTIFS($D$25:$D$267,Parameters!$K$2,$E$25:$E$267,Parameters!$M$3,Calendrier!$C$25:$C$267,DO24)+ COUNTIFS($D$25:$D$267,Parameters!$K$4,$E$25:$E$267,Parameters!$M$3,Calendrier!$C$25:$C$267,DO24))</f>
        <v/>
      </c>
      <c r="JG24" s="59" t="str">
        <f>IF(DP24="","",COUNTIFS($D$25:$D$267,Parameters!$K$2,$E$25:$E$267,Parameters!$M$3,Calendrier!$C$25:$C$267,DP24)+ COUNTIFS($D$25:$D$267,Parameters!$K$3,$E$25:$E$267,Parameters!$M$3,Calendrier!$C$25:$C$267,DP24))</f>
        <v/>
      </c>
      <c r="JH24" s="59" t="str">
        <f>IF(DQ24="","",COUNTIFS($D$25:$D$267,Parameters!$K$2,$E$25:$E$267,Parameters!$M$3,Calendrier!$C$25:$C$267,DQ24)+ COUNTIFS($D$25:$D$267,Parameters!$K$4,$E$25:$E$267,Parameters!$M$3,Calendrier!$C$25:$C$267,DQ24))</f>
        <v/>
      </c>
      <c r="JI24" s="59" t="str">
        <f>IF(DR24="","",COUNTIFS($D$25:$D$267,Parameters!$K$2,$E$25:$E$267,Parameters!$M$3,Calendrier!$C$25:$C$267,DR24)+ COUNTIFS($D$25:$D$267,Parameters!$K$3,$E$25:$E$267,Parameters!$M$3,Calendrier!$C$25:$C$267,DR24))</f>
        <v/>
      </c>
      <c r="JJ24" s="59" t="str">
        <f>IF(DS24="","",COUNTIFS($D$25:$D$267,Parameters!$K$2,$E$25:$E$267,Parameters!$M$3,Calendrier!$C$25:$C$267,DS24)+ COUNTIFS($D$25:$D$267,Parameters!$K$4,$E$25:$E$267,Parameters!$M$3,Calendrier!$C$25:$C$267,DS24))</f>
        <v/>
      </c>
      <c r="JK24" s="59" t="str">
        <f>IF(DT24="","",COUNTIFS($D$25:$D$267,Parameters!$K$2,$E$25:$E$267,Parameters!$M$3,Calendrier!$C$25:$C$267,DT24)+ COUNTIFS($D$25:$D$267,Parameters!$K$3,$E$25:$E$267,Parameters!$M$3,Calendrier!$C$25:$C$267,DT24))</f>
        <v/>
      </c>
      <c r="JL24" s="60" t="str">
        <f>IF(DU24="","",COUNTIFS($D$25:$D$267,Parameters!$K$2,$E$25:$E$267,Parameters!$M$3,Calendrier!$C$25:$C$267,DU24)+ COUNTIFS($D$25:$D$267,Parameters!$K$4,$E$25:$E$267,Parameters!$M$3,Calendrier!$C$25:$C$267,DU24))</f>
        <v/>
      </c>
      <c r="JO24" s="58" t="str">
        <f>IF(DX24="","",COUNTIFS($D$25:$D$267,Parameters!$K$2,$E$25:$E$267,Parameters!$M$3,Calendrier!$C$25:$C$267,DX24)+ COUNTIFS($D$25:$D$267,Parameters!$K$3,$E$25:$E$267,Parameters!$M$3,Calendrier!$C$25:$C$267,DX24))</f>
        <v/>
      </c>
      <c r="JP24" s="59" t="str">
        <f>IF(DY24="","",COUNTIFS($D$25:$D$267,Parameters!$K$2,$E$25:$E$267,Parameters!$M$3,Calendrier!$C$25:$C$267,DY24)+ COUNTIFS($D$25:$D$267,Parameters!$K$4,$E$25:$E$267,Parameters!$M$3,Calendrier!$C$25:$C$267,DY24))</f>
        <v/>
      </c>
      <c r="JQ24" s="59" t="str">
        <f>IF(DZ24="","",COUNTIFS($D$25:$D$267,Parameters!$K$2,$E$25:$E$267,Parameters!$M$3,Calendrier!$C$25:$C$267,DZ24)+ COUNTIFS($D$25:$D$267,Parameters!$K$3,$E$25:$E$267,Parameters!$M$3,Calendrier!$C$25:$C$267,DZ24))</f>
        <v/>
      </c>
      <c r="JR24" s="59" t="str">
        <f>IF(EA24="","",COUNTIFS($D$25:$D$267,Parameters!$K$2,$E$25:$E$267,Parameters!$M$3,Calendrier!$C$25:$C$267,EA24)+ COUNTIFS($D$25:$D$267,Parameters!$K$4,$E$25:$E$267,Parameters!$M$3,Calendrier!$C$25:$C$267,EA24))</f>
        <v/>
      </c>
      <c r="JS24" s="59" t="str">
        <f>IF(EB24="","",COUNTIFS($D$25:$D$267,Parameters!$K$2,$E$25:$E$267,Parameters!$M$3,Calendrier!$C$25:$C$267,EB24)+ COUNTIFS($D$25:$D$267,Parameters!$K$3,$E$25:$E$267,Parameters!$M$3,Calendrier!$C$25:$C$267,EB24))</f>
        <v/>
      </c>
      <c r="JT24" s="59" t="str">
        <f>IF(EC24="","",COUNTIFS($D$25:$D$267,Parameters!$K$2,$E$25:$E$267,Parameters!$M$3,Calendrier!$C$25:$C$267,EC24)+ COUNTIFS($D$25:$D$267,Parameters!$K$4,$E$25:$E$267,Parameters!$M$3,Calendrier!$C$25:$C$267,EC24))</f>
        <v/>
      </c>
      <c r="JU24" s="59" t="str">
        <f>IF(ED24="","",COUNTIFS($D$25:$D$267,Parameters!$K$2,$E$25:$E$267,Parameters!$M$3,Calendrier!$C$25:$C$267,ED24)+ COUNTIFS($D$25:$D$267,Parameters!$K$3,$E$25:$E$267,Parameters!$M$3,Calendrier!$C$25:$C$267,ED24))</f>
        <v/>
      </c>
      <c r="JV24" s="59" t="str">
        <f>IF(EE24="","",COUNTIFS($D$25:$D$267,Parameters!$K$2,$E$25:$E$267,Parameters!$M$3,Calendrier!$C$25:$C$267,EE24)+ COUNTIFS($D$25:$D$267,Parameters!$K$4,$E$25:$E$267,Parameters!$M$3,Calendrier!$C$25:$C$267,EE24))</f>
        <v/>
      </c>
      <c r="JW24" s="59" t="str">
        <f>IF(EF24="","",COUNTIFS($D$25:$D$267,Parameters!$K$2,$E$25:$E$267,Parameters!$M$3,Calendrier!$C$25:$C$267,EF24)+ COUNTIFS($D$25:$D$267,Parameters!$K$3,$E$25:$E$267,Parameters!$M$3,Calendrier!$C$25:$C$267,EF24))</f>
        <v/>
      </c>
      <c r="JX24" s="59" t="str">
        <f>IF(EG24="","",COUNTIFS($D$25:$D$267,Parameters!$K$2,$E$25:$E$267,Parameters!$M$3,Calendrier!$C$25:$C$267,EG24)+ COUNTIFS($D$25:$D$267,Parameters!$K$4,$E$25:$E$267,Parameters!$M$3,Calendrier!$C$25:$C$267,EG24))</f>
        <v/>
      </c>
      <c r="JY24" s="59" t="str">
        <f>IF(EH24="","",COUNTIFS($D$25:$D$267,Parameters!$K$2,$E$25:$E$267,Parameters!$M$3,Calendrier!$C$25:$C$267,EH24)+ COUNTIFS($D$25:$D$267,Parameters!$K$3,$E$25:$E$267,Parameters!$M$3,Calendrier!$C$25:$C$267,EH24))</f>
        <v/>
      </c>
      <c r="JZ24" s="59" t="str">
        <f>IF(EI24="","",COUNTIFS($D$25:$D$267,Parameters!$K$2,$E$25:$E$267,Parameters!$M$3,Calendrier!$C$25:$C$267,EI24)+ COUNTIFS($D$25:$D$267,Parameters!$K$4,$E$25:$E$267,Parameters!$M$3,Calendrier!$C$25:$C$267,EI24))</f>
        <v/>
      </c>
      <c r="KA24" s="59" t="str">
        <f>IF(EJ24="","",COUNTIFS($D$25:$D$267,Parameters!$K$2,$E$25:$E$267,Parameters!$M$3,Calendrier!$C$25:$C$267,EJ24)+ COUNTIFS($D$25:$D$267,Parameters!$K$3,$E$25:$E$267,Parameters!$M$3,Calendrier!$C$25:$C$267,EJ24))</f>
        <v/>
      </c>
      <c r="KB24" s="60" t="str">
        <f>IF(EK24="","",COUNTIFS($D$25:$D$267,Parameters!$K$2,$E$25:$E$267,Parameters!$M$3,Calendrier!$C$25:$C$267,EK24)+ COUNTIFS($D$25:$D$267,Parameters!$K$4,$E$25:$E$267,Parameters!$M$3,Calendrier!$C$25:$C$267,EK24))</f>
        <v/>
      </c>
      <c r="KE24" s="58" t="str">
        <f>IF(EN24="","",COUNTIFS($D$25:$D$267,Parameters!$K$2,$E$25:$E$267,Parameters!$M$3,Calendrier!$C$25:$C$267,EN24)+ COUNTIFS($D$25:$D$267,Parameters!$K$3,$E$25:$E$267,Parameters!$M$3,Calendrier!$C$25:$C$267,EN24))</f>
        <v/>
      </c>
      <c r="KF24" s="59" t="str">
        <f>IF(EO24="","",COUNTIFS($D$25:$D$267,Parameters!$K$2,$E$25:$E$267,Parameters!$M$3,Calendrier!$C$25:$C$267,EO24)+ COUNTIFS($D$25:$D$267,Parameters!$K$4,$E$25:$E$267,Parameters!$M$3,Calendrier!$C$25:$C$267,EO24))</f>
        <v/>
      </c>
      <c r="KG24" s="59" t="str">
        <f>IF(EP24="","",COUNTIFS($D$25:$D$267,Parameters!$K$2,$E$25:$E$267,Parameters!$M$3,Calendrier!$C$25:$C$267,EP24)+ COUNTIFS($D$25:$D$267,Parameters!$K$3,$E$25:$E$267,Parameters!$M$3,Calendrier!$C$25:$C$267,EP24))</f>
        <v/>
      </c>
      <c r="KH24" s="59" t="str">
        <f>IF(EQ24="","",COUNTIFS($D$25:$D$267,Parameters!$K$2,$E$25:$E$267,Parameters!$M$3,Calendrier!$C$25:$C$267,EQ24)+ COUNTIFS($D$25:$D$267,Parameters!$K$4,$E$25:$E$267,Parameters!$M$3,Calendrier!$C$25:$C$267,EQ24))</f>
        <v/>
      </c>
      <c r="KI24" s="59" t="str">
        <f>IF(ER24="","",COUNTIFS($D$25:$D$267,Parameters!$K$2,$E$25:$E$267,Parameters!$M$3,Calendrier!$C$25:$C$267,ER24)+ COUNTIFS($D$25:$D$267,Parameters!$K$3,$E$25:$E$267,Parameters!$M$3,Calendrier!$C$25:$C$267,ER24))</f>
        <v/>
      </c>
      <c r="KJ24" s="59" t="str">
        <f>IF(ES24="","",COUNTIFS($D$25:$D$267,Parameters!$K$2,$E$25:$E$267,Parameters!$M$3,Calendrier!$C$25:$C$267,ES24)+ COUNTIFS($D$25:$D$267,Parameters!$K$4,$E$25:$E$267,Parameters!$M$3,Calendrier!$C$25:$C$267,ES24))</f>
        <v/>
      </c>
      <c r="KK24" s="59" t="str">
        <f>IF(ET24="","",COUNTIFS($D$25:$D$267,Parameters!$K$2,$E$25:$E$267,Parameters!$M$3,Calendrier!$C$25:$C$267,ET24)+ COUNTIFS($D$25:$D$267,Parameters!$K$3,$E$25:$E$267,Parameters!$M$3,Calendrier!$C$25:$C$267,ET24))</f>
        <v/>
      </c>
      <c r="KL24" s="59" t="str">
        <f>IF(EU24="","",COUNTIFS($D$25:$D$267,Parameters!$K$2,$E$25:$E$267,Parameters!$M$3,Calendrier!$C$25:$C$267,EU24)+ COUNTIFS($D$25:$D$267,Parameters!$K$4,$E$25:$E$267,Parameters!$M$3,Calendrier!$C$25:$C$267,EU24))</f>
        <v/>
      </c>
      <c r="KM24" s="59" t="str">
        <f>IF(EV24="","",COUNTIFS($D$25:$D$267,Parameters!$K$2,$E$25:$E$267,Parameters!$M$3,Calendrier!$C$25:$C$267,EV24)+ COUNTIFS($D$25:$D$267,Parameters!$K$3,$E$25:$E$267,Parameters!$M$3,Calendrier!$C$25:$C$267,EV24))</f>
        <v/>
      </c>
      <c r="KN24" s="59" t="str">
        <f>IF(EW24="","",COUNTIFS($D$25:$D$267,Parameters!$K$2,$E$25:$E$267,Parameters!$M$3,Calendrier!$C$25:$C$267,EW24)+ COUNTIFS($D$25:$D$267,Parameters!$K$4,$E$25:$E$267,Parameters!$M$3,Calendrier!$C$25:$C$267,EW24))</f>
        <v/>
      </c>
      <c r="KO24" s="59" t="str">
        <f>IF(EX24="","",COUNTIFS($D$25:$D$267,Parameters!$K$2,$E$25:$E$267,Parameters!$M$3,Calendrier!$C$25:$C$267,EX24)+ COUNTIFS($D$25:$D$267,Parameters!$K$3,$E$25:$E$267,Parameters!$M$3,Calendrier!$C$25:$C$267,EX24))</f>
        <v/>
      </c>
      <c r="KP24" s="59" t="str">
        <f>IF(EY24="","",COUNTIFS($D$25:$D$267,Parameters!$K$2,$E$25:$E$267,Parameters!$M$3,Calendrier!$C$25:$C$267,EY24)+ COUNTIFS($D$25:$D$267,Parameters!$K$4,$E$25:$E$267,Parameters!$M$3,Calendrier!$C$25:$C$267,EY24))</f>
        <v/>
      </c>
      <c r="KQ24" s="59" t="str">
        <f>IF(EZ24="","",COUNTIFS($D$25:$D$267,Parameters!$K$2,$E$25:$E$267,Parameters!$M$3,Calendrier!$C$25:$C$267,EZ24)+ COUNTIFS($D$25:$D$267,Parameters!$K$3,$E$25:$E$267,Parameters!$M$3,Calendrier!$C$25:$C$267,EZ24))</f>
        <v/>
      </c>
      <c r="KR24" s="60" t="str">
        <f>IF(FA24="","",COUNTIFS($D$25:$D$267,Parameters!$K$2,$E$25:$E$267,Parameters!$M$3,Calendrier!$C$25:$C$267,FA24)+ COUNTIFS($D$25:$D$267,Parameters!$K$4,$E$25:$E$267,Parameters!$M$3,Calendrier!$C$25:$C$267,FA24))</f>
        <v/>
      </c>
      <c r="KV24" s="58" t="str">
        <f>IF(DH24="","",COUNTIFS($D$25:$D$267,Parameters!$K$2,$E$25:$E$267,Parameters!$M$4,Calendrier!$C$25:$C$267,DH24)+ COUNTIFS($D$25:$D$267,Parameters!$K$3,$E$25:$E$267,Parameters!$M$4,Calendrier!$C$25:$C$267,DH24))</f>
        <v/>
      </c>
      <c r="KW24" s="59" t="str">
        <f>IF(DI24="","",COUNTIFS($D$25:$D$267,Parameters!$K$2,$E$25:$E$267,Parameters!$M$4,Calendrier!$C$25:$C$267,DI24)+ COUNTIFS($D$25:$D$267,Parameters!$K$4,$E$25:$E$267,Parameters!$M$4,Calendrier!$C$25:$C$267,DI24))</f>
        <v/>
      </c>
      <c r="KX24" s="59" t="str">
        <f>IF(DJ24="","",COUNTIFS($D$25:$D$267,Parameters!$K$2,$E$25:$E$267,Parameters!$M$4,Calendrier!$C$25:$C$267,DJ24)+ COUNTIFS($D$25:$D$267,Parameters!$K$3,$E$25:$E$267,Parameters!$M$4,Calendrier!$C$25:$C$267,DJ24))</f>
        <v/>
      </c>
      <c r="KY24" s="59" t="str">
        <f>IF(DK24="","",COUNTIFS($D$25:$D$267,Parameters!$K$2,$E$25:$E$267,Parameters!$M$4,Calendrier!$C$25:$C$267,DK24)+ COUNTIFS($D$25:$D$267,Parameters!$K$4,$E$25:$E$267,Parameters!$M$4,Calendrier!$C$25:$C$267,DK24))</f>
        <v/>
      </c>
      <c r="KZ24" s="59" t="str">
        <f>IF(DL24="","",COUNTIFS($D$25:$D$267,Parameters!$K$2,$E$25:$E$267,Parameters!$M$4,Calendrier!$C$25:$C$267,DL24)+ COUNTIFS($D$25:$D$267,Parameters!$K$3,$E$25:$E$267,Parameters!$M$4,Calendrier!$C$25:$C$267,DL24))</f>
        <v/>
      </c>
      <c r="LA24" s="59" t="str">
        <f>IF(DM24="","",COUNTIFS($D$25:$D$267,Parameters!$K$2,$E$25:$E$267,Parameters!$M$4,Calendrier!$C$25:$C$267,DM24)+ COUNTIFS($D$25:$D$267,Parameters!$K$4,$E$25:$E$267,Parameters!$M$4,Calendrier!$C$25:$C$267,DM24))</f>
        <v/>
      </c>
      <c r="LB24" s="59" t="str">
        <f>IF(DN24="","",COUNTIFS($D$25:$D$267,Parameters!$K$2,$E$25:$E$267,Parameters!$M$4,Calendrier!$C$25:$C$267,DN24)+ COUNTIFS($D$25:$D$267,Parameters!$K$3,$E$25:$E$267,Parameters!$M$4,Calendrier!$C$25:$C$267,DN24))</f>
        <v/>
      </c>
      <c r="LC24" s="59" t="str">
        <f>IF(DO24="","",COUNTIFS($D$25:$D$267,Parameters!$K$2,$E$25:$E$267,Parameters!$M$4,Calendrier!$C$25:$C$267,DO24)+ COUNTIFS($D$25:$D$267,Parameters!$K$4,$E$25:$E$267,Parameters!$M$4,Calendrier!$C$25:$C$267,DO24))</f>
        <v/>
      </c>
      <c r="LD24" s="59" t="str">
        <f>IF(DP24="","",COUNTIFS($D$25:$D$267,Parameters!$K$2,$E$25:$E$267,Parameters!$M$4,Calendrier!$C$25:$C$267,DP24)+ COUNTIFS($D$25:$D$267,Parameters!$K$3,$E$25:$E$267,Parameters!$M$4,Calendrier!$C$25:$C$267,DP24))</f>
        <v/>
      </c>
      <c r="LE24" s="59" t="str">
        <f>IF(DQ24="","",COUNTIFS($D$25:$D$267,Parameters!$K$2,$E$25:$E$267,Parameters!$M$4,Calendrier!$C$25:$C$267,DQ24)+ COUNTIFS($D$25:$D$267,Parameters!$K$4,$E$25:$E$267,Parameters!$M$4,Calendrier!$C$25:$C$267,DQ24))</f>
        <v/>
      </c>
      <c r="LF24" s="59" t="str">
        <f>IF(DR24="","",COUNTIFS($D$25:$D$267,Parameters!$K$2,$E$25:$E$267,Parameters!$M$4,Calendrier!$C$25:$C$267,DR24)+ COUNTIFS($D$25:$D$267,Parameters!$K$3,$E$25:$E$267,Parameters!$M$4,Calendrier!$C$25:$C$267,DR24))</f>
        <v/>
      </c>
      <c r="LG24" s="59" t="str">
        <f>IF(DS24="","",COUNTIFS($D$25:$D$267,Parameters!$K$2,$E$25:$E$267,Parameters!$M$4,Calendrier!$C$25:$C$267,DS24)+ COUNTIFS($D$25:$D$267,Parameters!$K$4,$E$25:$E$267,Parameters!$M$4,Calendrier!$C$25:$C$267,DS24))</f>
        <v/>
      </c>
      <c r="LH24" s="59" t="str">
        <f>IF(DT24="","",COUNTIFS($D$25:$D$267,Parameters!$K$2,$E$25:$E$267,Parameters!$M$4,Calendrier!$C$25:$C$267,DT24)+ COUNTIFS($D$25:$D$267,Parameters!$K$3,$E$25:$E$267,Parameters!$M$4,Calendrier!$C$25:$C$267,DT24))</f>
        <v/>
      </c>
      <c r="LI24" s="60" t="str">
        <f>IF(DU24="","",COUNTIFS($D$25:$D$267,Parameters!$K$2,$E$25:$E$267,Parameters!$M$4,Calendrier!$C$25:$C$267,DU24)+ COUNTIFS($D$25:$D$267,Parameters!$K$4,$E$25:$E$267,Parameters!$M$4,Calendrier!$C$25:$C$267,DU24))</f>
        <v/>
      </c>
      <c r="LL24" s="58" t="str">
        <f>IF(DX24="","",COUNTIFS($D$25:$D$267,Parameters!$K$2,$E$25:$E$267,Parameters!$M$4,Calendrier!$C$25:$C$267,DX24)+ COUNTIFS($D$25:$D$267,Parameters!$K$3,$E$25:$E$267,Parameters!$M$4,Calendrier!$C$25:$C$267,DX24))</f>
        <v/>
      </c>
      <c r="LM24" s="59" t="str">
        <f>IF(DY24="","",COUNTIFS($D$25:$D$267,Parameters!$K$2,$E$25:$E$267,Parameters!$M$4,Calendrier!$C$25:$C$267,DY24)+ COUNTIFS($D$25:$D$267,Parameters!$K$4,$E$25:$E$267,Parameters!$M$4,Calendrier!$C$25:$C$267,DY24))</f>
        <v/>
      </c>
      <c r="LN24" s="59" t="str">
        <f>IF(DZ24="","",COUNTIFS($D$25:$D$267,Parameters!$K$2,$E$25:$E$267,Parameters!$M$4,Calendrier!$C$25:$C$267,DZ24)+ COUNTIFS($D$25:$D$267,Parameters!$K$3,$E$25:$E$267,Parameters!$M$4,Calendrier!$C$25:$C$267,DZ24))</f>
        <v/>
      </c>
      <c r="LO24" s="59" t="str">
        <f>IF(EA24="","",COUNTIFS($D$25:$D$267,Parameters!$K$2,$E$25:$E$267,Parameters!$M$4,Calendrier!$C$25:$C$267,EA24)+ COUNTIFS($D$25:$D$267,Parameters!$K$4,$E$25:$E$267,Parameters!$M$4,Calendrier!$C$25:$C$267,EA24))</f>
        <v/>
      </c>
      <c r="LP24" s="59" t="str">
        <f>IF(EB24="","",COUNTIFS($D$25:$D$267,Parameters!$K$2,$E$25:$E$267,Parameters!$M$4,Calendrier!$C$25:$C$267,EB24)+ COUNTIFS($D$25:$D$267,Parameters!$K$3,$E$25:$E$267,Parameters!$M$4,Calendrier!$C$25:$C$267,EB24))</f>
        <v/>
      </c>
      <c r="LQ24" s="59" t="str">
        <f>IF(EC24="","",COUNTIFS($D$25:$D$267,Parameters!$K$2,$E$25:$E$267,Parameters!$M$4,Calendrier!$C$25:$C$267,EC24)+ COUNTIFS($D$25:$D$267,Parameters!$K$4,$E$25:$E$267,Parameters!$M$4,Calendrier!$C$25:$C$267,EC24))</f>
        <v/>
      </c>
      <c r="LR24" s="59" t="str">
        <f>IF(ED24="","",COUNTIFS($D$25:$D$267,Parameters!$K$2,$E$25:$E$267,Parameters!$M$4,Calendrier!$C$25:$C$267,ED24)+ COUNTIFS($D$25:$D$267,Parameters!$K$3,$E$25:$E$267,Parameters!$M$4,Calendrier!$C$25:$C$267,ED24))</f>
        <v/>
      </c>
      <c r="LS24" s="59" t="str">
        <f>IF(EE24="","",COUNTIFS($D$25:$D$267,Parameters!$K$2,$E$25:$E$267,Parameters!$M$4,Calendrier!$C$25:$C$267,EE24)+ COUNTIFS($D$25:$D$267,Parameters!$K$4,$E$25:$E$267,Parameters!$M$4,Calendrier!$C$25:$C$267,EE24))</f>
        <v/>
      </c>
      <c r="LT24" s="59" t="str">
        <f>IF(EF24="","",COUNTIFS($D$25:$D$267,Parameters!$K$2,$E$25:$E$267,Parameters!$M$4,Calendrier!$C$25:$C$267,EF24)+ COUNTIFS($D$25:$D$267,Parameters!$K$3,$E$25:$E$267,Parameters!$M$4,Calendrier!$C$25:$C$267,EF24))</f>
        <v/>
      </c>
      <c r="LU24" s="59" t="str">
        <f>IF(EG24="","",COUNTIFS($D$25:$D$267,Parameters!$K$2,$E$25:$E$267,Parameters!$M$4,Calendrier!$C$25:$C$267,EG24)+ COUNTIFS($D$25:$D$267,Parameters!$K$4,$E$25:$E$267,Parameters!$M$4,Calendrier!$C$25:$C$267,EG24))</f>
        <v/>
      </c>
      <c r="LV24" s="59" t="str">
        <f>IF(EH24="","",COUNTIFS($D$25:$D$267,Parameters!$K$2,$E$25:$E$267,Parameters!$M$4,Calendrier!$C$25:$C$267,EH24)+ COUNTIFS($D$25:$D$267,Parameters!$K$3,$E$25:$E$267,Parameters!$M$4,Calendrier!$C$25:$C$267,EH24))</f>
        <v/>
      </c>
      <c r="LW24" s="59" t="str">
        <f>IF(EI24="","",COUNTIFS($D$25:$D$267,Parameters!$K$2,$E$25:$E$267,Parameters!$M$4,Calendrier!$C$25:$C$267,EI24)+ COUNTIFS($D$25:$D$267,Parameters!$K$4,$E$25:$E$267,Parameters!$M$4,Calendrier!$C$25:$C$267,EI24))</f>
        <v/>
      </c>
      <c r="LX24" s="59" t="str">
        <f>IF(EJ24="","",COUNTIFS($D$25:$D$267,Parameters!$K$2,$E$25:$E$267,Parameters!$M$4,Calendrier!$C$25:$C$267,EJ24)+ COUNTIFS($D$25:$D$267,Parameters!$K$3,$E$25:$E$267,Parameters!$M$4,Calendrier!$C$25:$C$267,EJ24))</f>
        <v/>
      </c>
      <c r="LY24" s="60" t="str">
        <f>IF(EK24="","",COUNTIFS($D$25:$D$267,Parameters!$K$2,$E$25:$E$267,Parameters!$M$4,Calendrier!$C$25:$C$267,EK24)+ COUNTIFS($D$25:$D$267,Parameters!$K$4,$E$25:$E$267,Parameters!$M$4,Calendrier!$C$25:$C$267,EK24))</f>
        <v/>
      </c>
      <c r="MB24" s="58" t="str">
        <f>IF(EN24="","",COUNTIFS($D$25:$D$267,Parameters!$K$2,$E$25:$E$267,Parameters!$M$4,Calendrier!$C$25:$C$267,EN24)+ COUNTIFS($D$25:$D$267,Parameters!$K$3,$E$25:$E$267,Parameters!$M$4,Calendrier!$C$25:$C$267,EN24))</f>
        <v/>
      </c>
      <c r="MC24" s="59" t="str">
        <f>IF(EO24="","",COUNTIFS($D$25:$D$267,Parameters!$K$2,$E$25:$E$267,Parameters!$M$4,Calendrier!$C$25:$C$267,EO24)+ COUNTIFS($D$25:$D$267,Parameters!$K$4,$E$25:$E$267,Parameters!$M$4,Calendrier!$C$25:$C$267,EO24))</f>
        <v/>
      </c>
      <c r="MD24" s="59" t="str">
        <f>IF(EP24="","",COUNTIFS($D$25:$D$267,Parameters!$K$2,$E$25:$E$267,Parameters!$M$4,Calendrier!$C$25:$C$267,EP24)+ COUNTIFS($D$25:$D$267,Parameters!$K$3,$E$25:$E$267,Parameters!$M$4,Calendrier!$C$25:$C$267,EP24))</f>
        <v/>
      </c>
      <c r="ME24" s="59" t="str">
        <f>IF(EQ24="","",COUNTIFS($D$25:$D$267,Parameters!$K$2,$E$25:$E$267,Parameters!$M$4,Calendrier!$C$25:$C$267,EQ24)+ COUNTIFS($D$25:$D$267,Parameters!$K$4,$E$25:$E$267,Parameters!$M$4,Calendrier!$C$25:$C$267,EQ24))</f>
        <v/>
      </c>
      <c r="MF24" s="59" t="str">
        <f>IF(ER24="","",COUNTIFS($D$25:$D$267,Parameters!$K$2,$E$25:$E$267,Parameters!$M$4,Calendrier!$C$25:$C$267,ER24)+ COUNTIFS($D$25:$D$267,Parameters!$K$3,$E$25:$E$267,Parameters!$M$4,Calendrier!$C$25:$C$267,ER24))</f>
        <v/>
      </c>
      <c r="MG24" s="59" t="str">
        <f>IF(ES24="","",COUNTIFS($D$25:$D$267,Parameters!$K$2,$E$25:$E$267,Parameters!$M$4,Calendrier!$C$25:$C$267,ES24)+ COUNTIFS($D$25:$D$267,Parameters!$K$4,$E$25:$E$267,Parameters!$M$4,Calendrier!$C$25:$C$267,ES24))</f>
        <v/>
      </c>
      <c r="MH24" s="59" t="str">
        <f>IF(ET24="","",COUNTIFS($D$25:$D$267,Parameters!$K$2,$E$25:$E$267,Parameters!$M$4,Calendrier!$C$25:$C$267,ET24)+ COUNTIFS($D$25:$D$267,Parameters!$K$3,$E$25:$E$267,Parameters!$M$4,Calendrier!$C$25:$C$267,ET24))</f>
        <v/>
      </c>
      <c r="MI24" s="59" t="str">
        <f>IF(EU24="","",COUNTIFS($D$25:$D$267,Parameters!$K$2,$E$25:$E$267,Parameters!$M$4,Calendrier!$C$25:$C$267,EU24)+ COUNTIFS($D$25:$D$267,Parameters!$K$4,$E$25:$E$267,Parameters!$M$4,Calendrier!$C$25:$C$267,EU24))</f>
        <v/>
      </c>
      <c r="MJ24" s="59" t="str">
        <f>IF(EV24="","",COUNTIFS($D$25:$D$267,Parameters!$K$2,$E$25:$E$267,Parameters!$M$4,Calendrier!$C$25:$C$267,EV24)+ COUNTIFS($D$25:$D$267,Parameters!$K$3,$E$25:$E$267,Parameters!$M$4,Calendrier!$C$25:$C$267,EV24))</f>
        <v/>
      </c>
      <c r="MK24" s="59" t="str">
        <f>IF(EW24="","",COUNTIFS($D$25:$D$267,Parameters!$K$2,$E$25:$E$267,Parameters!$M$4,Calendrier!$C$25:$C$267,EW24)+ COUNTIFS($D$25:$D$267,Parameters!$K$4,$E$25:$E$267,Parameters!$M$4,Calendrier!$C$25:$C$267,EW24))</f>
        <v/>
      </c>
      <c r="ML24" s="59" t="str">
        <f>IF(EX24="","",COUNTIFS($D$25:$D$267,Parameters!$K$2,$E$25:$E$267,Parameters!$M$4,Calendrier!$C$25:$C$267,EX24)+ COUNTIFS($D$25:$D$267,Parameters!$K$3,$E$25:$E$267,Parameters!$M$4,Calendrier!$C$25:$C$267,EX24))</f>
        <v/>
      </c>
      <c r="MM24" s="59" t="str">
        <f>IF(EY24="","",COUNTIFS($D$25:$D$267,Parameters!$K$2,$E$25:$E$267,Parameters!$M$4,Calendrier!$C$25:$C$267,EY24)+ COUNTIFS($D$25:$D$267,Parameters!$K$4,$E$25:$E$267,Parameters!$M$4,Calendrier!$C$25:$C$267,EY24))</f>
        <v/>
      </c>
      <c r="MN24" s="59" t="str">
        <f>IF(EZ24="","",COUNTIFS($D$25:$D$267,Parameters!$K$2,$E$25:$E$267,Parameters!$M$4,Calendrier!$C$25:$C$267,EZ24)+ COUNTIFS($D$25:$D$267,Parameters!$K$3,$E$25:$E$267,Parameters!$M$4,Calendrier!$C$25:$C$267,EZ24))</f>
        <v/>
      </c>
      <c r="MO24" s="60" t="str">
        <f>IF(FA24="","",COUNTIFS($D$25:$D$267,Parameters!$K$2,$E$25:$E$267,Parameters!$M$4,Calendrier!$C$25:$C$267,FA24)+ COUNTIFS($D$25:$D$267,Parameters!$K$4,$E$25:$E$267,Parameters!$M$4,Calendrier!$C$25:$C$267,FA24))</f>
        <v/>
      </c>
      <c r="MS24" s="58" t="str">
        <f>IF(DH24="","",COUNTIFS($D$25:$D$267,Parameters!$K$2,$E$25:$E$267,Parameters!$M$5,Calendrier!$C$25:$C$267,DH24)+ COUNTIFS($D$25:$D$267,Parameters!$K$3,$E$25:$E$267,Parameters!$M$5,Calendrier!$C$25:$C$267,DH24))</f>
        <v/>
      </c>
      <c r="MT24" s="59" t="str">
        <f>IF(DI24="","",COUNTIFS($D$25:$D$267,Parameters!$K$2,$E$25:$E$267,Parameters!$M$5,Calendrier!$C$25:$C$267,DI24)+ COUNTIFS($D$25:$D$267,Parameters!$K$4,$E$25:$E$267,Parameters!$M$5,Calendrier!$C$25:$C$267,DI24))</f>
        <v/>
      </c>
      <c r="MU24" s="59" t="str">
        <f>IF(DJ24="","",COUNTIFS($D$25:$D$267,Parameters!$K$2,$E$25:$E$267,Parameters!$M$5,Calendrier!$C$25:$C$267,DJ24)+ COUNTIFS($D$25:$D$267,Parameters!$K$3,$E$25:$E$267,Parameters!$M$5,Calendrier!$C$25:$C$267,DJ24))</f>
        <v/>
      </c>
      <c r="MV24" s="59" t="str">
        <f>IF(DK24="","",COUNTIFS($D$25:$D$267,Parameters!$K$2,$E$25:$E$267,Parameters!$M$5,Calendrier!$C$25:$C$267,DK24)+ COUNTIFS($D$25:$D$267,Parameters!$K$4,$E$25:$E$267,Parameters!$M$5,Calendrier!$C$25:$C$267,DK24))</f>
        <v/>
      </c>
      <c r="MW24" s="59" t="str">
        <f>IF(DL24="","",COUNTIFS($D$25:$D$267,Parameters!$K$2,$E$25:$E$267,Parameters!$M$5,Calendrier!$C$25:$C$267,DL24)+ COUNTIFS($D$25:$D$267,Parameters!$K$3,$E$25:$E$267,Parameters!$M$5,Calendrier!$C$25:$C$267,DL24))</f>
        <v/>
      </c>
      <c r="MX24" s="59" t="str">
        <f>IF(DM24="","",COUNTIFS($D$25:$D$267,Parameters!$K$2,$E$25:$E$267,Parameters!$M$5,Calendrier!$C$25:$C$267,DM24)+ COUNTIFS($D$25:$D$267,Parameters!$K$4,$E$25:$E$267,Parameters!$M$5,Calendrier!$C$25:$C$267,DM24))</f>
        <v/>
      </c>
      <c r="MY24" s="59" t="str">
        <f>IF(DN24="","",COUNTIFS($D$25:$D$267,Parameters!$K$2,$E$25:$E$267,Parameters!$M$5,Calendrier!$C$25:$C$267,DN24)+ COUNTIFS($D$25:$D$267,Parameters!$K$3,$E$25:$E$267,Parameters!$M$5,Calendrier!$C$25:$C$267,DN24))</f>
        <v/>
      </c>
      <c r="MZ24" s="59" t="str">
        <f>IF(DO24="","",COUNTIFS($D$25:$D$267,Parameters!$K$2,$E$25:$E$267,Parameters!$M$5,Calendrier!$C$25:$C$267,DO24)+ COUNTIFS($D$25:$D$267,Parameters!$K$4,$E$25:$E$267,Parameters!$M$5,Calendrier!$C$25:$C$267,DO24))</f>
        <v/>
      </c>
      <c r="NA24" s="59" t="str">
        <f>IF(DP24="","",COUNTIFS($D$25:$D$267,Parameters!$K$2,$E$25:$E$267,Parameters!$M$5,Calendrier!$C$25:$C$267,DP24)+ COUNTIFS($D$25:$D$267,Parameters!$K$3,$E$25:$E$267,Parameters!$M$5,Calendrier!$C$25:$C$267,DP24))</f>
        <v/>
      </c>
      <c r="NB24" s="59" t="str">
        <f>IF(DQ24="","",COUNTIFS($D$25:$D$267,Parameters!$K$2,$E$25:$E$267,Parameters!$M$5,Calendrier!$C$25:$C$267,DQ24)+ COUNTIFS($D$25:$D$267,Parameters!$K$4,$E$25:$E$267,Parameters!$M$5,Calendrier!$C$25:$C$267,DQ24))</f>
        <v/>
      </c>
      <c r="NC24" s="59" t="str">
        <f>IF(DR24="","",COUNTIFS($D$25:$D$267,Parameters!$K$2,$E$25:$E$267,Parameters!$M$5,Calendrier!$C$25:$C$267,DR24)+ COUNTIFS($D$25:$D$267,Parameters!$K$3,$E$25:$E$267,Parameters!$M$5,Calendrier!$C$25:$C$267,DR24))</f>
        <v/>
      </c>
      <c r="ND24" s="59" t="str">
        <f>IF(DS24="","",COUNTIFS($D$25:$D$267,Parameters!$K$2,$E$25:$E$267,Parameters!$M$5,Calendrier!$C$25:$C$267,DS24)+ COUNTIFS($D$25:$D$267,Parameters!$K$4,$E$25:$E$267,Parameters!$M$5,Calendrier!$C$25:$C$267,DS24))</f>
        <v/>
      </c>
      <c r="NE24" s="59" t="str">
        <f>IF(DT24="","",COUNTIFS($D$25:$D$267,Parameters!$K$2,$E$25:$E$267,Parameters!$M$5,Calendrier!$C$25:$C$267,DT24)+ COUNTIFS($D$25:$D$267,Parameters!$K$3,$E$25:$E$267,Parameters!$M$5,Calendrier!$C$25:$C$267,DT24))</f>
        <v/>
      </c>
      <c r="NF24" s="60" t="str">
        <f>IF(DU24="","",COUNTIFS($D$25:$D$267,Parameters!$K$2,$E$25:$E$267,Parameters!$M$5,Calendrier!$C$25:$C$267,DU24)+ COUNTIFS($D$25:$D$267,Parameters!$K$4,$E$25:$E$267,Parameters!$M$5,Calendrier!$C$25:$C$267,DU24))</f>
        <v/>
      </c>
      <c r="NI24" s="58" t="str">
        <f>IF(DX24="","",COUNTIFS($D$25:$D$267,Parameters!$K$2,$E$25:$E$267,Parameters!$M$5,Calendrier!$C$25:$C$267,DX24)+ COUNTIFS($D$25:$D$267,Parameters!$K$3,$E$25:$E$267,Parameters!$M$5,Calendrier!$C$25:$C$267,DX24))</f>
        <v/>
      </c>
      <c r="NJ24" s="59" t="str">
        <f>IF(DY24="","",COUNTIFS($D$25:$D$267,Parameters!$K$2,$E$25:$E$267,Parameters!$M$5,Calendrier!$C$25:$C$267,DY24)+ COUNTIFS($D$25:$D$267,Parameters!$K$4,$E$25:$E$267,Parameters!$M$5,Calendrier!$C$25:$C$267,DY24))</f>
        <v/>
      </c>
      <c r="NK24" s="59" t="str">
        <f>IF(DZ24="","",COUNTIFS($D$25:$D$267,Parameters!$K$2,$E$25:$E$267,Parameters!$M$5,Calendrier!$C$25:$C$267,DZ24)+ COUNTIFS($D$25:$D$267,Parameters!$K$3,$E$25:$E$267,Parameters!$M$5,Calendrier!$C$25:$C$267,DZ24))</f>
        <v/>
      </c>
      <c r="NL24" s="59" t="str">
        <f>IF(EA24="","",COUNTIFS($D$25:$D$267,Parameters!$K$2,$E$25:$E$267,Parameters!$M$5,Calendrier!$C$25:$C$267,EA24)+ COUNTIFS($D$25:$D$267,Parameters!$K$4,$E$25:$E$267,Parameters!$M$5,Calendrier!$C$25:$C$267,EA24))</f>
        <v/>
      </c>
      <c r="NM24" s="59" t="str">
        <f>IF(EB24="","",COUNTIFS($D$25:$D$267,Parameters!$K$2,$E$25:$E$267,Parameters!$M$5,Calendrier!$C$25:$C$267,EB24)+ COUNTIFS($D$25:$D$267,Parameters!$K$3,$E$25:$E$267,Parameters!$M$5,Calendrier!$C$25:$C$267,EB24))</f>
        <v/>
      </c>
      <c r="NN24" s="59" t="str">
        <f>IF(EC24="","",COUNTIFS($D$25:$D$267,Parameters!$K$2,$E$25:$E$267,Parameters!$M$5,Calendrier!$C$25:$C$267,EC24)+ COUNTIFS($D$25:$D$267,Parameters!$K$4,$E$25:$E$267,Parameters!$M$5,Calendrier!$C$25:$C$267,EC24))</f>
        <v/>
      </c>
      <c r="NO24" s="59" t="str">
        <f>IF(ED24="","",COUNTIFS($D$25:$D$267,Parameters!$K$2,$E$25:$E$267,Parameters!$M$5,Calendrier!$C$25:$C$267,ED24)+ COUNTIFS($D$25:$D$267,Parameters!$K$3,$E$25:$E$267,Parameters!$M$5,Calendrier!$C$25:$C$267,ED24))</f>
        <v/>
      </c>
      <c r="NP24" s="59" t="str">
        <f>IF(EE24="","",COUNTIFS($D$25:$D$267,Parameters!$K$2,$E$25:$E$267,Parameters!$M$5,Calendrier!$C$25:$C$267,EE24)+ COUNTIFS($D$25:$D$267,Parameters!$K$4,$E$25:$E$267,Parameters!$M$5,Calendrier!$C$25:$C$267,EE24))</f>
        <v/>
      </c>
      <c r="NQ24" s="59" t="str">
        <f>IF(EF24="","",COUNTIFS($D$25:$D$267,Parameters!$K$2,$E$25:$E$267,Parameters!$M$5,Calendrier!$C$25:$C$267,EF24)+ COUNTIFS($D$25:$D$267,Parameters!$K$3,$E$25:$E$267,Parameters!$M$5,Calendrier!$C$25:$C$267,EF24))</f>
        <v/>
      </c>
      <c r="NR24" s="59" t="str">
        <f>IF(EG24="","",COUNTIFS($D$25:$D$267,Parameters!$K$2,$E$25:$E$267,Parameters!$M$5,Calendrier!$C$25:$C$267,EG24)+ COUNTIFS($D$25:$D$267,Parameters!$K$4,$E$25:$E$267,Parameters!$M$5,Calendrier!$C$25:$C$267,EG24))</f>
        <v/>
      </c>
      <c r="NS24" s="59" t="str">
        <f>IF(EH24="","",COUNTIFS($D$25:$D$267,Parameters!$K$2,$E$25:$E$267,Parameters!$M$5,Calendrier!$C$25:$C$267,EH24)+ COUNTIFS($D$25:$D$267,Parameters!$K$3,$E$25:$E$267,Parameters!$M$5,Calendrier!$C$25:$C$267,EH24))</f>
        <v/>
      </c>
      <c r="NT24" s="59" t="str">
        <f>IF(EI24="","",COUNTIFS($D$25:$D$267,Parameters!$K$2,$E$25:$E$267,Parameters!$M$5,Calendrier!$C$25:$C$267,EI24)+ COUNTIFS($D$25:$D$267,Parameters!$K$4,$E$25:$E$267,Parameters!$M$5,Calendrier!$C$25:$C$267,EI24))</f>
        <v/>
      </c>
      <c r="NU24" s="59" t="str">
        <f>IF(EJ24="","",COUNTIFS($D$25:$D$267,Parameters!$K$2,$E$25:$E$267,Parameters!$M$5,Calendrier!$C$25:$C$267,EJ24)+ COUNTIFS($D$25:$D$267,Parameters!$K$3,$E$25:$E$267,Parameters!$M$5,Calendrier!$C$25:$C$267,EJ24))</f>
        <v/>
      </c>
      <c r="NV24" s="60" t="str">
        <f>IF(EK24="","",COUNTIFS($D$25:$D$267,Parameters!$K$2,$E$25:$E$267,Parameters!$M$5,Calendrier!$C$25:$C$267,EK24)+ COUNTIFS($D$25:$D$267,Parameters!$K$4,$E$25:$E$267,Parameters!$M$5,Calendrier!$C$25:$C$267,EK24))</f>
        <v/>
      </c>
      <c r="NY24" s="58" t="str">
        <f>IF(EN24="","",COUNTIFS($D$25:$D$267,Parameters!$K$2,$E$25:$E$267,Parameters!$M$5,Calendrier!$C$25:$C$267,EN24)+ COUNTIFS($D$25:$D$267,Parameters!$K$3,$E$25:$E$267,Parameters!$M$5,Calendrier!$C$25:$C$267,EN24))</f>
        <v/>
      </c>
      <c r="NZ24" s="59" t="str">
        <f>IF(EO24="","",COUNTIFS($D$25:$D$267,Parameters!$K$2,$E$25:$E$267,Parameters!$M$5,Calendrier!$C$25:$C$267,EO24)+ COUNTIFS($D$25:$D$267,Parameters!$K$4,$E$25:$E$267,Parameters!$M$5,Calendrier!$C$25:$C$267,EO24))</f>
        <v/>
      </c>
      <c r="OA24" s="59" t="str">
        <f>IF(EP24="","",COUNTIFS($D$25:$D$267,Parameters!$K$2,$E$25:$E$267,Parameters!$M$5,Calendrier!$C$25:$C$267,EP24)+ COUNTIFS($D$25:$D$267,Parameters!$K$3,$E$25:$E$267,Parameters!$M$5,Calendrier!$C$25:$C$267,EP24))</f>
        <v/>
      </c>
      <c r="OB24" s="59" t="str">
        <f>IF(EQ24="","",COUNTIFS($D$25:$D$267,Parameters!$K$2,$E$25:$E$267,Parameters!$M$5,Calendrier!$C$25:$C$267,EQ24)+ COUNTIFS($D$25:$D$267,Parameters!$K$4,$E$25:$E$267,Parameters!$M$5,Calendrier!$C$25:$C$267,EQ24))</f>
        <v/>
      </c>
      <c r="OC24" s="59" t="str">
        <f>IF(ER24="","",COUNTIFS($D$25:$D$267,Parameters!$K$2,$E$25:$E$267,Parameters!$M$5,Calendrier!$C$25:$C$267,ER24)+ COUNTIFS($D$25:$D$267,Parameters!$K$3,$E$25:$E$267,Parameters!$M$5,Calendrier!$C$25:$C$267,ER24))</f>
        <v/>
      </c>
      <c r="OD24" s="59" t="str">
        <f>IF(ES24="","",COUNTIFS($D$25:$D$267,Parameters!$K$2,$E$25:$E$267,Parameters!$M$5,Calendrier!$C$25:$C$267,ES24)+ COUNTIFS($D$25:$D$267,Parameters!$K$4,$E$25:$E$267,Parameters!$M$5,Calendrier!$C$25:$C$267,ES24))</f>
        <v/>
      </c>
      <c r="OE24" s="59" t="str">
        <f>IF(ET24="","",COUNTIFS($D$25:$D$267,Parameters!$K$2,$E$25:$E$267,Parameters!$M$5,Calendrier!$C$25:$C$267,ET24)+ COUNTIFS($D$25:$D$267,Parameters!$K$3,$E$25:$E$267,Parameters!$M$5,Calendrier!$C$25:$C$267,ET24))</f>
        <v/>
      </c>
      <c r="OF24" s="59" t="str">
        <f>IF(EU24="","",COUNTIFS($D$25:$D$267,Parameters!$K$2,$E$25:$E$267,Parameters!$M$5,Calendrier!$C$25:$C$267,EU24)+ COUNTIFS($D$25:$D$267,Parameters!$K$4,$E$25:$E$267,Parameters!$M$5,Calendrier!$C$25:$C$267,EU24))</f>
        <v/>
      </c>
      <c r="OG24" s="59" t="str">
        <f>IF(EV24="","",COUNTIFS($D$25:$D$267,Parameters!$K$2,$E$25:$E$267,Parameters!$M$5,Calendrier!$C$25:$C$267,EV24)+ COUNTIFS($D$25:$D$267,Parameters!$K$3,$E$25:$E$267,Parameters!$M$5,Calendrier!$C$25:$C$267,EV24))</f>
        <v/>
      </c>
      <c r="OH24" s="59" t="str">
        <f>IF(EW24="","",COUNTIFS($D$25:$D$267,Parameters!$K$2,$E$25:$E$267,Parameters!$M$5,Calendrier!$C$25:$C$267,EW24)+ COUNTIFS($D$25:$D$267,Parameters!$K$4,$E$25:$E$267,Parameters!$M$5,Calendrier!$C$25:$C$267,EW24))</f>
        <v/>
      </c>
      <c r="OI24" s="59" t="str">
        <f>IF(EX24="","",COUNTIFS($D$25:$D$267,Parameters!$K$2,$E$25:$E$267,Parameters!$M$5,Calendrier!$C$25:$C$267,EX24)+ COUNTIFS($D$25:$D$267,Parameters!$K$3,$E$25:$E$267,Parameters!$M$5,Calendrier!$C$25:$C$267,EX24))</f>
        <v/>
      </c>
      <c r="OJ24" s="59" t="str">
        <f>IF(EY24="","",COUNTIFS($D$25:$D$267,Parameters!$K$2,$E$25:$E$267,Parameters!$M$5,Calendrier!$C$25:$C$267,EY24)+ COUNTIFS($D$25:$D$267,Parameters!$K$4,$E$25:$E$267,Parameters!$M$5,Calendrier!$C$25:$C$267,EY24))</f>
        <v/>
      </c>
      <c r="OK24" s="59" t="str">
        <f>IF(EZ24="","",COUNTIFS($D$25:$D$267,Parameters!$K$2,$E$25:$E$267,Parameters!$M$5,Calendrier!$C$25:$C$267,EZ24)+ COUNTIFS($D$25:$D$267,Parameters!$K$3,$E$25:$E$267,Parameters!$M$5,Calendrier!$C$25:$C$267,EZ24))</f>
        <v/>
      </c>
      <c r="OL24" s="60" t="str">
        <f>IF(FA24="","",COUNTIFS($D$25:$D$267,Parameters!$K$2,$E$25:$E$267,Parameters!$M$5,Calendrier!$C$25:$C$267,FA24)+ COUNTIFS($D$25:$D$267,Parameters!$K$4,$E$25:$E$267,Parameters!$M$5,Calendrier!$C$25:$C$267,FA24))</f>
        <v/>
      </c>
      <c r="OP24" s="58" t="str">
        <f>IF(DH24="","",COUNTIFS(Parameters!$Y:$Y,$BF$4,Parameters!$X:$X,DH24))</f>
        <v/>
      </c>
      <c r="OQ24" s="59" t="str">
        <f>IF(DI24="","",COUNTIFS(Parameters!$Y:$Y,$BF$4,Parameters!$X:$X,DI24))</f>
        <v/>
      </c>
      <c r="OR24" s="59" t="str">
        <f>IF(DJ24="","",COUNTIFS(Parameters!$Y:$Y,$BF$4,Parameters!$X:$X,DJ24))</f>
        <v/>
      </c>
      <c r="OS24" s="59" t="str">
        <f>IF(DK24="","",COUNTIFS(Parameters!$Y:$Y,$BF$4,Parameters!$X:$X,DK24))</f>
        <v/>
      </c>
      <c r="OT24" s="59" t="str">
        <f>IF(DL24="","",COUNTIFS(Parameters!$Y:$Y,$BF$4,Parameters!$X:$X,DL24))</f>
        <v/>
      </c>
      <c r="OU24" s="59" t="str">
        <f>IF(DM24="","",COUNTIFS(Parameters!$Y:$Y,$BF$4,Parameters!$X:$X,DM24))</f>
        <v/>
      </c>
      <c r="OV24" s="59" t="str">
        <f>IF(DN24="","",COUNTIFS(Parameters!$Y:$Y,$BF$4,Parameters!$X:$X,DN24))</f>
        <v/>
      </c>
      <c r="OW24" s="59" t="str">
        <f>IF(DO24="","",COUNTIFS(Parameters!$Y:$Y,$BF$4,Parameters!$X:$X,DO24))</f>
        <v/>
      </c>
      <c r="OX24" s="59" t="str">
        <f>IF(DP24="","",COUNTIFS(Parameters!$Y:$Y,$BF$4,Parameters!$X:$X,DP24))</f>
        <v/>
      </c>
      <c r="OY24" s="59" t="str">
        <f>IF(DQ24="","",COUNTIFS(Parameters!$Y:$Y,$BF$4,Parameters!$X:$X,DQ24))</f>
        <v/>
      </c>
      <c r="OZ24" s="59" t="str">
        <f>IF(DR24="","",COUNTIFS(Parameters!$Y:$Y,$BF$4,Parameters!$X:$X,DR24))</f>
        <v/>
      </c>
      <c r="PA24" s="59" t="str">
        <f>IF(DS24="","",COUNTIFS(Parameters!$Y:$Y,$BF$4,Parameters!$X:$X,DS24))</f>
        <v/>
      </c>
      <c r="PB24" s="59" t="str">
        <f>IF(DT24="","",COUNTIFS(Parameters!$Y:$Y,$BF$4,Parameters!$X:$X,DT24))</f>
        <v/>
      </c>
      <c r="PC24" s="60" t="str">
        <f>IF(DU24="","",COUNTIFS(Parameters!$Y:$Y,$BF$4,Parameters!$X:$X,DU24))</f>
        <v/>
      </c>
      <c r="PF24" s="58" t="str">
        <f>IF(DX24="","",COUNTIFS(Parameters!$Y:$Y,$BF$4,Parameters!$X:$X,DX24))</f>
        <v/>
      </c>
      <c r="PG24" s="59" t="str">
        <f>IF(DY24="","",COUNTIFS(Parameters!$Y:$Y,$BF$4,Parameters!$X:$X,DY24))</f>
        <v/>
      </c>
      <c r="PH24" s="59" t="str">
        <f>IF(DZ24="","",COUNTIFS(Parameters!$Y:$Y,$BF$4,Parameters!$X:$X,DZ24))</f>
        <v/>
      </c>
      <c r="PI24" s="59" t="str">
        <f>IF(EA24="","",COUNTIFS(Parameters!$Y:$Y,$BF$4,Parameters!$X:$X,EA24))</f>
        <v/>
      </c>
      <c r="PJ24" s="59" t="str">
        <f>IF(EB24="","",COUNTIFS(Parameters!$Y:$Y,$BF$4,Parameters!$X:$X,EB24))</f>
        <v/>
      </c>
      <c r="PK24" s="59" t="str">
        <f>IF(EC24="","",COUNTIFS(Parameters!$Y:$Y,$BF$4,Parameters!$X:$X,EC24))</f>
        <v/>
      </c>
      <c r="PL24" s="59" t="str">
        <f>IF(ED24="","",COUNTIFS(Parameters!$Y:$Y,$BF$4,Parameters!$X:$X,ED24))</f>
        <v/>
      </c>
      <c r="PM24" s="59" t="str">
        <f>IF(EE24="","",COUNTIFS(Parameters!$Y:$Y,$BF$4,Parameters!$X:$X,EE24))</f>
        <v/>
      </c>
      <c r="PN24" s="59" t="str">
        <f>IF(EF24="","",COUNTIFS(Parameters!$Y:$Y,$BF$4,Parameters!$X:$X,EF24))</f>
        <v/>
      </c>
      <c r="PO24" s="59" t="str">
        <f>IF(EG24="","",COUNTIFS(Parameters!$Y:$Y,$BF$4,Parameters!$X:$X,EG24))</f>
        <v/>
      </c>
      <c r="PP24" s="59" t="str">
        <f>IF(EH24="","",COUNTIFS(Parameters!$Y:$Y,$BF$4,Parameters!$X:$X,EH24))</f>
        <v/>
      </c>
      <c r="PQ24" s="59" t="str">
        <f>IF(EI24="","",COUNTIFS(Parameters!$Y:$Y,$BF$4,Parameters!$X:$X,EI24))</f>
        <v/>
      </c>
      <c r="PR24" s="59" t="str">
        <f>IF(EJ24="","",COUNTIFS(Parameters!$Y:$Y,$BF$4,Parameters!$X:$X,EJ24))</f>
        <v/>
      </c>
      <c r="PS24" s="60" t="str">
        <f>IF(EK24="","",COUNTIFS(Parameters!$Y:$Y,$BF$4,Parameters!$X:$X,EK24))</f>
        <v/>
      </c>
      <c r="PV24" s="58" t="str">
        <f>IF(EN24="","",COUNTIFS(Parameters!$Y:$Y,$BF$4,Parameters!$X:$X,EN24))</f>
        <v/>
      </c>
      <c r="PW24" s="59" t="str">
        <f>IF(EO24="","",COUNTIFS(Parameters!$Y:$Y,$BF$4,Parameters!$X:$X,EO24))</f>
        <v/>
      </c>
      <c r="PX24" s="59" t="str">
        <f>IF(EP24="","",COUNTIFS(Parameters!$Y:$Y,$BF$4,Parameters!$X:$X,EP24))</f>
        <v/>
      </c>
      <c r="PY24" s="59" t="str">
        <f>IF(EQ24="","",COUNTIFS(Parameters!$Y:$Y,$BF$4,Parameters!$X:$X,EQ24))</f>
        <v/>
      </c>
      <c r="PZ24" s="59" t="str">
        <f>IF(ER24="","",COUNTIFS(Parameters!$Y:$Y,$BF$4,Parameters!$X:$X,ER24))</f>
        <v/>
      </c>
      <c r="QA24" s="59" t="str">
        <f>IF(ES24="","",COUNTIFS(Parameters!$Y:$Y,$BF$4,Parameters!$X:$X,ES24))</f>
        <v/>
      </c>
      <c r="QB24" s="59" t="str">
        <f>IF(ET24="","",COUNTIFS(Parameters!$Y:$Y,$BF$4,Parameters!$X:$X,ET24))</f>
        <v/>
      </c>
      <c r="QC24" s="59" t="str">
        <f>IF(EU24="","",COUNTIFS(Parameters!$Y:$Y,$BF$4,Parameters!$X:$X,EU24))</f>
        <v/>
      </c>
      <c r="QD24" s="59" t="str">
        <f>IF(EV24="","",COUNTIFS(Parameters!$Y:$Y,$BF$4,Parameters!$X:$X,EV24))</f>
        <v/>
      </c>
      <c r="QE24" s="59" t="str">
        <f>IF(EW24="","",COUNTIFS(Parameters!$Y:$Y,$BF$4,Parameters!$X:$X,EW24))</f>
        <v/>
      </c>
      <c r="QF24" s="59" t="str">
        <f>IF(EX24="","",COUNTIFS(Parameters!$Y:$Y,$BF$4,Parameters!$X:$X,EX24))</f>
        <v/>
      </c>
      <c r="QG24" s="59" t="str">
        <f>IF(EY24="","",COUNTIFS(Parameters!$Y:$Y,$BF$4,Parameters!$X:$X,EY24))</f>
        <v/>
      </c>
      <c r="QH24" s="59" t="str">
        <f>IF(EZ24="","",COUNTIFS(Parameters!$Y:$Y,$BF$4,Parameters!$X:$X,EZ24))</f>
        <v/>
      </c>
      <c r="QI24" s="60" t="str">
        <f>IF(FA24="","",COUNTIFS(Parameters!$Y:$Y,$BF$4,Parameters!$X:$X,FA24))</f>
        <v/>
      </c>
      <c r="QN24" s="58" t="str">
        <f>IF(DH24="","",COUNTIFS($D$25:$D$267,Parameters!$K$2,$E$25:$E$267,Parameters!$M$6,Calendrier!$C$25:$C$267,DH24)+ COUNTIFS($D$25:$D$267,Parameters!$K$3,$E$25:$E$267,Parameters!$M$6,Calendrier!$C$25:$C$267,DH24))</f>
        <v/>
      </c>
      <c r="QO24" s="59" t="str">
        <f>IF(DI24="","",COUNTIFS($D$25:$D$267,Parameters!$K$2,$E$25:$E$267,Parameters!$M$6,Calendrier!$C$25:$C$267,DI24)+ COUNTIFS($D$25:$D$267,Parameters!$K$4,$E$25:$E$267,Parameters!$M$6,Calendrier!$C$25:$C$267,DI24))</f>
        <v/>
      </c>
      <c r="QP24" s="59" t="str">
        <f>IF(DJ24="","",COUNTIFS($D$25:$D$267,Parameters!$K$2,$E$25:$E$267,Parameters!$M$6,Calendrier!$C$25:$C$267,DJ24)+ COUNTIFS($D$25:$D$267,Parameters!$K$3,$E$25:$E$267,Parameters!$M$6,Calendrier!$C$25:$C$267,DJ24))</f>
        <v/>
      </c>
      <c r="QQ24" s="59" t="str">
        <f>IF(DK24="","",COUNTIFS($D$25:$D$267,Parameters!$K$2,$E$25:$E$267,Parameters!$M$6,Calendrier!$C$25:$C$267,DK24)+ COUNTIFS($D$25:$D$267,Parameters!$K$4,$E$25:$E$267,Parameters!$M$6,Calendrier!$C$25:$C$267,DK24))</f>
        <v/>
      </c>
      <c r="QR24" s="59" t="str">
        <f>IF(DL24="","",COUNTIFS($D$25:$D$267,Parameters!$K$2,$E$25:$E$267,Parameters!$M$6,Calendrier!$C$25:$C$267,DL24)+ COUNTIFS($D$25:$D$267,Parameters!$K$3,$E$25:$E$267,Parameters!$M$6,Calendrier!$C$25:$C$267,DL24))</f>
        <v/>
      </c>
      <c r="QS24" s="59" t="str">
        <f>IF(DM24="","",COUNTIFS($D$25:$D$267,Parameters!$K$2,$E$25:$E$267,Parameters!$M$6,Calendrier!$C$25:$C$267,DM24)+ COUNTIFS($D$25:$D$267,Parameters!$K$4,$E$25:$E$267,Parameters!$M$6,Calendrier!$C$25:$C$267,DM24))</f>
        <v/>
      </c>
      <c r="QT24" s="59" t="str">
        <f>IF(DN24="","",COUNTIFS($D$25:$D$267,Parameters!$K$2,$E$25:$E$267,Parameters!$M$6,Calendrier!$C$25:$C$267,DN24)+ COUNTIFS($D$25:$D$267,Parameters!$K$3,$E$25:$E$267,Parameters!$M$6,Calendrier!$C$25:$C$267,DN24))</f>
        <v/>
      </c>
      <c r="QU24" s="59" t="str">
        <f>IF(DO24="","",COUNTIFS($D$25:$D$267,Parameters!$K$2,$E$25:$E$267,Parameters!$M$6,Calendrier!$C$25:$C$267,DO24)+ COUNTIFS($D$25:$D$267,Parameters!$K$4,$E$25:$E$267,Parameters!$M$6,Calendrier!$C$25:$C$267,DO24))</f>
        <v/>
      </c>
      <c r="QV24" s="59" t="str">
        <f>IF(DP24="","",COUNTIFS($D$25:$D$267,Parameters!$K$2,$E$25:$E$267,Parameters!$M$6,Calendrier!$C$25:$C$267,DP24)+ COUNTIFS($D$25:$D$267,Parameters!$K$3,$E$25:$E$267,Parameters!$M$6,Calendrier!$C$25:$C$267,DP24))</f>
        <v/>
      </c>
      <c r="QW24" s="59" t="str">
        <f>IF(DQ24="","",COUNTIFS($D$25:$D$267,Parameters!$K$2,$E$25:$E$267,Parameters!$M$6,Calendrier!$C$25:$C$267,DQ24)+ COUNTIFS($D$25:$D$267,Parameters!$K$4,$E$25:$E$267,Parameters!$M$6,Calendrier!$C$25:$C$267,DQ24))</f>
        <v/>
      </c>
      <c r="QX24" s="59" t="str">
        <f>IF(DR24="","",COUNTIFS($D$25:$D$267,Parameters!$K$2,$E$25:$E$267,Parameters!$M$6,Calendrier!$C$25:$C$267,DR24)+ COUNTIFS($D$25:$D$267,Parameters!$K$3,$E$25:$E$267,Parameters!$M$6,Calendrier!$C$25:$C$267,DR24))</f>
        <v/>
      </c>
      <c r="QY24" s="59" t="str">
        <f>IF(DS24="","",COUNTIFS($D$25:$D$267,Parameters!$K$2,$E$25:$E$267,Parameters!$M$6,Calendrier!$C$25:$C$267,DS24)+ COUNTIFS($D$25:$D$267,Parameters!$K$4,$E$25:$E$267,Parameters!$M$6,Calendrier!$C$25:$C$267,DS24))</f>
        <v/>
      </c>
      <c r="QZ24" s="59" t="str">
        <f>IF(DT24="","",COUNTIFS($D$25:$D$267,Parameters!$K$2,$E$25:$E$267,Parameters!$M$6,Calendrier!$C$25:$C$267,DT24)+ COUNTIFS($D$25:$D$267,Parameters!$K$3,$E$25:$E$267,Parameters!$M$6,Calendrier!$C$25:$C$267,DT24))</f>
        <v/>
      </c>
      <c r="RA24" s="60" t="str">
        <f>IF(DU24="","",COUNTIFS($D$25:$D$267,Parameters!$K$2,$E$25:$E$267,Parameters!$M$6,Calendrier!$C$25:$C$267,DU24)+ COUNTIFS($D$25:$D$267,Parameters!$K$4,$E$25:$E$267,Parameters!$M$6,Calendrier!$C$25:$C$267,DU24))</f>
        <v/>
      </c>
      <c r="RD24" s="58" t="str">
        <f>IF(DX24="","",COUNTIFS($D$25:$D$267,Parameters!$K$2,$E$25:$E$267,Parameters!$M$6,Calendrier!$C$25:$C$267,DX24)+ COUNTIFS($D$25:$D$267,Parameters!$K$3,$E$25:$E$267,Parameters!$M$6,Calendrier!$C$25:$C$267,DX24))</f>
        <v/>
      </c>
      <c r="RE24" s="59" t="str">
        <f>IF(DY24="","",COUNTIFS($D$25:$D$267,Parameters!$K$2,$E$25:$E$267,Parameters!$M$6,Calendrier!$C$25:$C$267,DY24)+ COUNTIFS($D$25:$D$267,Parameters!$K$4,$E$25:$E$267,Parameters!$M$6,Calendrier!$C$25:$C$267,DY24))</f>
        <v/>
      </c>
      <c r="RF24" s="59" t="str">
        <f>IF(DZ24="","",COUNTIFS($D$25:$D$267,Parameters!$K$2,$E$25:$E$267,Parameters!$M$6,Calendrier!$C$25:$C$267,DZ24)+ COUNTIFS($D$25:$D$267,Parameters!$K$3,$E$25:$E$267,Parameters!$M$6,Calendrier!$C$25:$C$267,DZ24))</f>
        <v/>
      </c>
      <c r="RG24" s="59" t="str">
        <f>IF(EA24="","",COUNTIFS($D$25:$D$267,Parameters!$K$2,$E$25:$E$267,Parameters!$M$6,Calendrier!$C$25:$C$267,EA24)+ COUNTIFS($D$25:$D$267,Parameters!$K$4,$E$25:$E$267,Parameters!$M$6,Calendrier!$C$25:$C$267,EA24))</f>
        <v/>
      </c>
      <c r="RH24" s="59" t="str">
        <f>IF(EB24="","",COUNTIFS($D$25:$D$267,Parameters!$K$2,$E$25:$E$267,Parameters!$M$6,Calendrier!$C$25:$C$267,EB24)+ COUNTIFS($D$25:$D$267,Parameters!$K$3,$E$25:$E$267,Parameters!$M$6,Calendrier!$C$25:$C$267,EB24))</f>
        <v/>
      </c>
      <c r="RI24" s="59" t="str">
        <f>IF(EC24="","",COUNTIFS($D$25:$D$267,Parameters!$K$2,$E$25:$E$267,Parameters!$M$6,Calendrier!$C$25:$C$267,EC24)+ COUNTIFS($D$25:$D$267,Parameters!$K$4,$E$25:$E$267,Parameters!$M$6,Calendrier!$C$25:$C$267,EC24))</f>
        <v/>
      </c>
      <c r="RJ24" s="59" t="str">
        <f>IF(ED24="","",COUNTIFS($D$25:$D$267,Parameters!$K$2,$E$25:$E$267,Parameters!$M$6,Calendrier!$C$25:$C$267,ED24)+ COUNTIFS($D$25:$D$267,Parameters!$K$3,$E$25:$E$267,Parameters!$M$6,Calendrier!$C$25:$C$267,ED24))</f>
        <v/>
      </c>
      <c r="RK24" s="59" t="str">
        <f>IF(EE24="","",COUNTIFS($D$25:$D$267,Parameters!$K$2,$E$25:$E$267,Parameters!$M$6,Calendrier!$C$25:$C$267,EE24)+ COUNTIFS($D$25:$D$267,Parameters!$K$4,$E$25:$E$267,Parameters!$M$6,Calendrier!$C$25:$C$267,EE24))</f>
        <v/>
      </c>
      <c r="RL24" s="59" t="str">
        <f>IF(EF24="","",COUNTIFS($D$25:$D$267,Parameters!$K$2,$E$25:$E$267,Parameters!$M$6,Calendrier!$C$25:$C$267,EF24)+ COUNTIFS($D$25:$D$267,Parameters!$K$3,$E$25:$E$267,Parameters!$M$6,Calendrier!$C$25:$C$267,EF24))</f>
        <v/>
      </c>
      <c r="RM24" s="59" t="str">
        <f>IF(EG24="","",COUNTIFS($D$25:$D$267,Parameters!$K$2,$E$25:$E$267,Parameters!$M$6,Calendrier!$C$25:$C$267,EG24)+ COUNTIFS($D$25:$D$267,Parameters!$K$4,$E$25:$E$267,Parameters!$M$6,Calendrier!$C$25:$C$267,EG24))</f>
        <v/>
      </c>
      <c r="RN24" s="59" t="str">
        <f>IF(EH24="","",COUNTIFS($D$25:$D$267,Parameters!$K$2,$E$25:$E$267,Parameters!$M$6,Calendrier!$C$25:$C$267,EH24)+ COUNTIFS($D$25:$D$267,Parameters!$K$3,$E$25:$E$267,Parameters!$M$6,Calendrier!$C$25:$C$267,EH24))</f>
        <v/>
      </c>
      <c r="RO24" s="59" t="str">
        <f>IF(EI24="","",COUNTIFS($D$25:$D$267,Parameters!$K$2,$E$25:$E$267,Parameters!$M$6,Calendrier!$C$25:$C$267,EI24)+ COUNTIFS($D$25:$D$267,Parameters!$K$4,$E$25:$E$267,Parameters!$M$6,Calendrier!$C$25:$C$267,EI24))</f>
        <v/>
      </c>
      <c r="RP24" s="59" t="str">
        <f>IF(EJ24="","",COUNTIFS($D$25:$D$267,Parameters!$K$2,$E$25:$E$267,Parameters!$M$6,Calendrier!$C$25:$C$267,EJ24)+ COUNTIFS($D$25:$D$267,Parameters!$K$3,$E$25:$E$267,Parameters!$M$6,Calendrier!$C$25:$C$267,EJ24))</f>
        <v/>
      </c>
      <c r="RQ24" s="60" t="str">
        <f>IF(EK24="","",COUNTIFS($D$25:$D$267,Parameters!$K$2,$E$25:$E$267,Parameters!$M$6,Calendrier!$C$25:$C$267,EK24)+ COUNTIFS($D$25:$D$267,Parameters!$K$4,$E$25:$E$267,Parameters!$M$6,Calendrier!$C$25:$C$267,EK24))</f>
        <v/>
      </c>
      <c r="RT24" s="58" t="str">
        <f>IF(EN24="","",COUNTIFS($D$25:$D$267,Parameters!$K$2,$E$25:$E$267,Parameters!$M$6,Calendrier!$C$25:$C$267,EN24)+ COUNTIFS($D$25:$D$267,Parameters!$K$3,$E$25:$E$267,Parameters!$M$6,Calendrier!$C$25:$C$267,EN24))</f>
        <v/>
      </c>
      <c r="RU24" s="59" t="str">
        <f>IF(EO24="","",COUNTIFS($D$25:$D$267,Parameters!$K$2,$E$25:$E$267,Parameters!$M$6,Calendrier!$C$25:$C$267,EO24)+ COUNTIFS($D$25:$D$267,Parameters!$K$4,$E$25:$E$267,Parameters!$M$6,Calendrier!$C$25:$C$267,EO24))</f>
        <v/>
      </c>
      <c r="RV24" s="59" t="str">
        <f>IF(EP24="","",COUNTIFS($D$25:$D$267,Parameters!$K$2,$E$25:$E$267,Parameters!$M$6,Calendrier!$C$25:$C$267,EP24)+ COUNTIFS($D$25:$D$267,Parameters!$K$3,$E$25:$E$267,Parameters!$M$6,Calendrier!$C$25:$C$267,EP24))</f>
        <v/>
      </c>
      <c r="RW24" s="59" t="str">
        <f>IF(EQ24="","",COUNTIFS($D$25:$D$267,Parameters!$K$2,$E$25:$E$267,Parameters!$M$6,Calendrier!$C$25:$C$267,EQ24)+ COUNTIFS($D$25:$D$267,Parameters!$K$4,$E$25:$E$267,Parameters!$M$6,Calendrier!$C$25:$C$267,EQ24))</f>
        <v/>
      </c>
      <c r="RX24" s="59" t="str">
        <f>IF(ER24="","",COUNTIFS($D$25:$D$267,Parameters!$K$2,$E$25:$E$267,Parameters!$M$6,Calendrier!$C$25:$C$267,ER24)+ COUNTIFS($D$25:$D$267,Parameters!$K$3,$E$25:$E$267,Parameters!$M$6,Calendrier!$C$25:$C$267,ER24))</f>
        <v/>
      </c>
      <c r="RY24" s="59" t="str">
        <f>IF(ES24="","",COUNTIFS($D$25:$D$267,Parameters!$K$2,$E$25:$E$267,Parameters!$M$6,Calendrier!$C$25:$C$267,ES24)+ COUNTIFS($D$25:$D$267,Parameters!$K$4,$E$25:$E$267,Parameters!$M$6,Calendrier!$C$25:$C$267,ES24))</f>
        <v/>
      </c>
      <c r="RZ24" s="59" t="str">
        <f>IF(ET24="","",COUNTIFS($D$25:$D$267,Parameters!$K$2,$E$25:$E$267,Parameters!$M$6,Calendrier!$C$25:$C$267,ET24)+ COUNTIFS($D$25:$D$267,Parameters!$K$3,$E$25:$E$267,Parameters!$M$6,Calendrier!$C$25:$C$267,ET24))</f>
        <v/>
      </c>
      <c r="SA24" s="59" t="str">
        <f>IF(EU24="","",COUNTIFS($D$25:$D$267,Parameters!$K$2,$E$25:$E$267,Parameters!$M$6,Calendrier!$C$25:$C$267,EU24)+ COUNTIFS($D$25:$D$267,Parameters!$K$4,$E$25:$E$267,Parameters!$M$6,Calendrier!$C$25:$C$267,EU24))</f>
        <v/>
      </c>
      <c r="SB24" s="59" t="str">
        <f>IF(EV24="","",COUNTIFS($D$25:$D$267,Parameters!$K$2,$E$25:$E$267,Parameters!$M$6,Calendrier!$C$25:$C$267,EV24)+ COUNTIFS($D$25:$D$267,Parameters!$K$3,$E$25:$E$267,Parameters!$M$6,Calendrier!$C$25:$C$267,EV24))</f>
        <v/>
      </c>
      <c r="SC24" s="59" t="str">
        <f>IF(EW24="","",COUNTIFS($D$25:$D$267,Parameters!$K$2,$E$25:$E$267,Parameters!$M$6,Calendrier!$C$25:$C$267,EW24)+ COUNTIFS($D$25:$D$267,Parameters!$K$4,$E$25:$E$267,Parameters!$M$6,Calendrier!$C$25:$C$267,EW24))</f>
        <v/>
      </c>
      <c r="SD24" s="59" t="str">
        <f>IF(EX24="","",COUNTIFS($D$25:$D$267,Parameters!$K$2,$E$25:$E$267,Parameters!$M$6,Calendrier!$C$25:$C$267,EX24)+ COUNTIFS($D$25:$D$267,Parameters!$K$3,$E$25:$E$267,Parameters!$M$6,Calendrier!$C$25:$C$267,EX24))</f>
        <v/>
      </c>
      <c r="SE24" s="59" t="str">
        <f>IF(EY24="","",COUNTIFS($D$25:$D$267,Parameters!$K$2,$E$25:$E$267,Parameters!$M$6,Calendrier!$C$25:$C$267,EY24)+ COUNTIFS($D$25:$D$267,Parameters!$K$4,$E$25:$E$267,Parameters!$M$6,Calendrier!$C$25:$C$267,EY24))</f>
        <v/>
      </c>
      <c r="SF24" s="59" t="str">
        <f>IF(EZ24="","",COUNTIFS($D$25:$D$267,Parameters!$K$2,$E$25:$E$267,Parameters!$M$6,Calendrier!$C$25:$C$267,EZ24)+ COUNTIFS($D$25:$D$267,Parameters!$K$3,$E$25:$E$267,Parameters!$M$6,Calendrier!$C$25:$C$267,EZ24))</f>
        <v/>
      </c>
      <c r="SG24" s="60" t="str">
        <f>IF(FA24="","",COUNTIFS($D$25:$D$267,Parameters!$K$2,$E$25:$E$267,Parameters!$M$6,Calendrier!$C$25:$C$267,FA24)+ COUNTIFS($D$25:$D$267,Parameters!$K$4,$E$25:$E$267,Parameters!$M$6,Calendrier!$C$25:$C$267,FA24))</f>
        <v/>
      </c>
      <c r="SL24" s="58" t="str">
        <f>IF(DH24="","",COUNTIFS($D$25:$D$267,Parameters!$K$2,$E$25:$E$267,Parameters!$M$7,Calendrier!$C$25:$C$267,DH24)+ COUNTIFS($D$25:$D$267,Parameters!$K$3,$E$25:$E$267,Parameters!$M$7,Calendrier!$C$25:$C$267,DH24))</f>
        <v/>
      </c>
      <c r="SM24" s="59" t="str">
        <f>IF(DI24="","",COUNTIFS($D$25:$D$267,Parameters!$K$2,$E$25:$E$267,Parameters!$M$7,Calendrier!$C$25:$C$267,DI24)+ COUNTIFS($D$25:$D$267,Parameters!$K$4,$E$25:$E$267,Parameters!$M$7,Calendrier!$C$25:$C$267,DI24))</f>
        <v/>
      </c>
      <c r="SN24" s="59" t="str">
        <f>IF(DJ24="","",COUNTIFS($D$25:$D$267,Parameters!$K$2,$E$25:$E$267,Parameters!$M$7,Calendrier!$C$25:$C$267,DJ24)+ COUNTIFS($D$25:$D$267,Parameters!$K$3,$E$25:$E$267,Parameters!$M$7,Calendrier!$C$25:$C$267,DJ24))</f>
        <v/>
      </c>
      <c r="SO24" s="59" t="str">
        <f>IF(DK24="","",COUNTIFS($D$25:$D$267,Parameters!$K$2,$E$25:$E$267,Parameters!$M$7,Calendrier!$C$25:$C$267,DK24)+ COUNTIFS($D$25:$D$267,Parameters!$K$4,$E$25:$E$267,Parameters!$M$7,Calendrier!$C$25:$C$267,DK24))</f>
        <v/>
      </c>
      <c r="SP24" s="59" t="str">
        <f>IF(DL24="","",COUNTIFS($D$25:$D$267,Parameters!$K$2,$E$25:$E$267,Parameters!$M$7,Calendrier!$C$25:$C$267,DL24)+ COUNTIFS($D$25:$D$267,Parameters!$K$3,$E$25:$E$267,Parameters!$M$7,Calendrier!$C$25:$C$267,DL24))</f>
        <v/>
      </c>
      <c r="SQ24" s="59" t="str">
        <f>IF(DM24="","",COUNTIFS($D$25:$D$267,Parameters!$K$2,$E$25:$E$267,Parameters!$M$7,Calendrier!$C$25:$C$267,DM24)+ COUNTIFS($D$25:$D$267,Parameters!$K$4,$E$25:$E$267,Parameters!$M$7,Calendrier!$C$25:$C$267,DM24))</f>
        <v/>
      </c>
      <c r="SR24" s="59" t="str">
        <f>IF(DN24="","",COUNTIFS($D$25:$D$267,Parameters!$K$2,$E$25:$E$267,Parameters!$M$7,Calendrier!$C$25:$C$267,DN24)+ COUNTIFS($D$25:$D$267,Parameters!$K$3,$E$25:$E$267,Parameters!$M$7,Calendrier!$C$25:$C$267,DN24))</f>
        <v/>
      </c>
      <c r="SS24" s="59" t="str">
        <f>IF(DO24="","",COUNTIFS($D$25:$D$267,Parameters!$K$2,$E$25:$E$267,Parameters!$M$7,Calendrier!$C$25:$C$267,DO24)+ COUNTIFS($D$25:$D$267,Parameters!$K$4,$E$25:$E$267,Parameters!$M$7,Calendrier!$C$25:$C$267,DO24))</f>
        <v/>
      </c>
      <c r="ST24" s="59" t="str">
        <f>IF(DP24="","",COUNTIFS($D$25:$D$267,Parameters!$K$2,$E$25:$E$267,Parameters!$M$7,Calendrier!$C$25:$C$267,DP24)+ COUNTIFS($D$25:$D$267,Parameters!$K$3,$E$25:$E$267,Parameters!$M$7,Calendrier!$C$25:$C$267,DP24))</f>
        <v/>
      </c>
      <c r="SU24" s="59" t="str">
        <f>IF(DQ24="","",COUNTIFS($D$25:$D$267,Parameters!$K$2,$E$25:$E$267,Parameters!$M$7,Calendrier!$C$25:$C$267,DQ24)+ COUNTIFS($D$25:$D$267,Parameters!$K$4,$E$25:$E$267,Parameters!$M$7,Calendrier!$C$25:$C$267,DQ24))</f>
        <v/>
      </c>
      <c r="SV24" s="59" t="str">
        <f>IF(DR24="","",COUNTIFS($D$25:$D$267,Parameters!$K$2,$E$25:$E$267,Parameters!$M$7,Calendrier!$C$25:$C$267,DR24)+ COUNTIFS($D$25:$D$267,Parameters!$K$3,$E$25:$E$267,Parameters!$M$7,Calendrier!$C$25:$C$267,DR24))</f>
        <v/>
      </c>
      <c r="SW24" s="59" t="str">
        <f>IF(DS24="","",COUNTIFS($D$25:$D$267,Parameters!$K$2,$E$25:$E$267,Parameters!$M$7,Calendrier!$C$25:$C$267,DS24)+ COUNTIFS($D$25:$D$267,Parameters!$K$4,$E$25:$E$267,Parameters!$M$7,Calendrier!$C$25:$C$267,DS24))</f>
        <v/>
      </c>
      <c r="SX24" s="59" t="str">
        <f>IF(DT24="","",COUNTIFS($D$25:$D$267,Parameters!$K$2,$E$25:$E$267,Parameters!$M$7,Calendrier!$C$25:$C$267,DT24)+ COUNTIFS($D$25:$D$267,Parameters!$K$3,$E$25:$E$267,Parameters!$M$7,Calendrier!$C$25:$C$267,DT24))</f>
        <v/>
      </c>
      <c r="SY24" s="60" t="str">
        <f>IF(DU24="","",COUNTIFS($D$25:$D$267,Parameters!$K$2,$E$25:$E$267,Parameters!$M$7,Calendrier!$C$25:$C$267,DU24)+ COUNTIFS($D$25:$D$267,Parameters!$K$4,$E$25:$E$267,Parameters!$M$7,Calendrier!$C$25:$C$267,DU24))</f>
        <v/>
      </c>
      <c r="TB24" s="58" t="str">
        <f>IF(DX24="","",COUNTIFS($D$25:$D$267,Parameters!$K$2,$E$25:$E$267,Parameters!$M$7,Calendrier!$C$25:$C$267,DX24)+ COUNTIFS($D$25:$D$267,Parameters!$K$3,$E$25:$E$267,Parameters!$M$7,Calendrier!$C$25:$C$267,DX24))</f>
        <v/>
      </c>
      <c r="TC24" s="59" t="str">
        <f>IF(DY24="","",COUNTIFS($D$25:$D$267,Parameters!$K$2,$E$25:$E$267,Parameters!$M$7,Calendrier!$C$25:$C$267,DY24)+ COUNTIFS($D$25:$D$267,Parameters!$K$4,$E$25:$E$267,Parameters!$M$7,Calendrier!$C$25:$C$267,DY24))</f>
        <v/>
      </c>
      <c r="TD24" s="59" t="str">
        <f>IF(DZ24="","",COUNTIFS($D$25:$D$267,Parameters!$K$2,$E$25:$E$267,Parameters!$M$7,Calendrier!$C$25:$C$267,DZ24)+ COUNTIFS($D$25:$D$267,Parameters!$K$3,$E$25:$E$267,Parameters!$M$7,Calendrier!$C$25:$C$267,DZ24))</f>
        <v/>
      </c>
      <c r="TE24" s="59" t="str">
        <f>IF(EA24="","",COUNTIFS($D$25:$D$267,Parameters!$K$2,$E$25:$E$267,Parameters!$M$7,Calendrier!$C$25:$C$267,EA24)+ COUNTIFS($D$25:$D$267,Parameters!$K$4,$E$25:$E$267,Parameters!$M$7,Calendrier!$C$25:$C$267,EA24))</f>
        <v/>
      </c>
      <c r="TF24" s="59" t="str">
        <f>IF(EB24="","",COUNTIFS($D$25:$D$267,Parameters!$K$2,$E$25:$E$267,Parameters!$M$7,Calendrier!$C$25:$C$267,EB24)+ COUNTIFS($D$25:$D$267,Parameters!$K$3,$E$25:$E$267,Parameters!$M$7,Calendrier!$C$25:$C$267,EB24))</f>
        <v/>
      </c>
      <c r="TG24" s="59" t="str">
        <f>IF(EC24="","",COUNTIFS($D$25:$D$267,Parameters!$K$2,$E$25:$E$267,Parameters!$M$7,Calendrier!$C$25:$C$267,EC24)+ COUNTIFS($D$25:$D$267,Parameters!$K$4,$E$25:$E$267,Parameters!$M$7,Calendrier!$C$25:$C$267,EC24))</f>
        <v/>
      </c>
      <c r="TH24" s="59" t="str">
        <f>IF(ED24="","",COUNTIFS($D$25:$D$267,Parameters!$K$2,$E$25:$E$267,Parameters!$M$7,Calendrier!$C$25:$C$267,ED24)+ COUNTIFS($D$25:$D$267,Parameters!$K$3,$E$25:$E$267,Parameters!$M$7,Calendrier!$C$25:$C$267,ED24))</f>
        <v/>
      </c>
      <c r="TI24" s="59" t="str">
        <f>IF(EE24="","",COUNTIFS($D$25:$D$267,Parameters!$K$2,$E$25:$E$267,Parameters!$M$7,Calendrier!$C$25:$C$267,EE24)+ COUNTIFS($D$25:$D$267,Parameters!$K$4,$E$25:$E$267,Parameters!$M$7,Calendrier!$C$25:$C$267,EE24))</f>
        <v/>
      </c>
      <c r="TJ24" s="59" t="str">
        <f>IF(EF24="","",COUNTIFS($D$25:$D$267,Parameters!$K$2,$E$25:$E$267,Parameters!$M$7,Calendrier!$C$25:$C$267,EF24)+ COUNTIFS($D$25:$D$267,Parameters!$K$3,$E$25:$E$267,Parameters!$M$7,Calendrier!$C$25:$C$267,EF24))</f>
        <v/>
      </c>
      <c r="TK24" s="59" t="str">
        <f>IF(EG24="","",COUNTIFS($D$25:$D$267,Parameters!$K$2,$E$25:$E$267,Parameters!$M$7,Calendrier!$C$25:$C$267,EG24)+ COUNTIFS($D$25:$D$267,Parameters!$K$4,$E$25:$E$267,Parameters!$M$7,Calendrier!$C$25:$C$267,EG24))</f>
        <v/>
      </c>
      <c r="TL24" s="59" t="str">
        <f>IF(EH24="","",COUNTIFS($D$25:$D$267,Parameters!$K$2,$E$25:$E$267,Parameters!$M$7,Calendrier!$C$25:$C$267,EH24)+ COUNTIFS($D$25:$D$267,Parameters!$K$3,$E$25:$E$267,Parameters!$M$7,Calendrier!$C$25:$C$267,EH24))</f>
        <v/>
      </c>
      <c r="TM24" s="59" t="str">
        <f>IF(EI24="","",COUNTIFS($D$25:$D$267,Parameters!$K$2,$E$25:$E$267,Parameters!$M$7,Calendrier!$C$25:$C$267,EI24)+ COUNTIFS($D$25:$D$267,Parameters!$K$4,$E$25:$E$267,Parameters!$M$7,Calendrier!$C$25:$C$267,EI24))</f>
        <v/>
      </c>
      <c r="TN24" s="59" t="str">
        <f>IF(EJ24="","",COUNTIFS($D$25:$D$267,Parameters!$K$2,$E$25:$E$267,Parameters!$M$7,Calendrier!$C$25:$C$267,EJ24)+ COUNTIFS($D$25:$D$267,Parameters!$K$3,$E$25:$E$267,Parameters!$M$7,Calendrier!$C$25:$C$267,EJ24))</f>
        <v/>
      </c>
      <c r="TO24" s="60" t="str">
        <f>IF(EK24="","",COUNTIFS($D$25:$D$267,Parameters!$K$2,$E$25:$E$267,Parameters!$M$7,Calendrier!$C$25:$C$267,EK24)+ COUNTIFS($D$25:$D$267,Parameters!$K$4,$E$25:$E$267,Parameters!$M$7,Calendrier!$C$25:$C$267,EK24))</f>
        <v/>
      </c>
      <c r="TR24" s="58" t="str">
        <f>IF(EN24="","",COUNTIFS($D$25:$D$267,Parameters!$K$2,$E$25:$E$267,Parameters!$M$7,Calendrier!$C$25:$C$267,EN24)+ COUNTIFS($D$25:$D$267,Parameters!$K$3,$E$25:$E$267,Parameters!$M$7,Calendrier!$C$25:$C$267,EN24))</f>
        <v/>
      </c>
      <c r="TS24" s="59" t="str">
        <f>IF(EO24="","",COUNTIFS($D$25:$D$267,Parameters!$K$2,$E$25:$E$267,Parameters!$M$7,Calendrier!$C$25:$C$267,EO24)+ COUNTIFS($D$25:$D$267,Parameters!$K$4,$E$25:$E$267,Parameters!$M$7,Calendrier!$C$25:$C$267,EO24))</f>
        <v/>
      </c>
      <c r="TT24" s="59" t="str">
        <f>IF(EP24="","",COUNTIFS($D$25:$D$267,Parameters!$K$2,$E$25:$E$267,Parameters!$M$7,Calendrier!$C$25:$C$267,EP24)+ COUNTIFS($D$25:$D$267,Parameters!$K$3,$E$25:$E$267,Parameters!$M$7,Calendrier!$C$25:$C$267,EP24))</f>
        <v/>
      </c>
      <c r="TU24" s="59" t="str">
        <f>IF(EQ24="","",COUNTIFS($D$25:$D$267,Parameters!$K$2,$E$25:$E$267,Parameters!$M$7,Calendrier!$C$25:$C$267,EQ24)+ COUNTIFS($D$25:$D$267,Parameters!$K$4,$E$25:$E$267,Parameters!$M$7,Calendrier!$C$25:$C$267,EQ24))</f>
        <v/>
      </c>
      <c r="TV24" s="59" t="str">
        <f>IF(ER24="","",COUNTIFS($D$25:$D$267,Parameters!$K$2,$E$25:$E$267,Parameters!$M$7,Calendrier!$C$25:$C$267,ER24)+ COUNTIFS($D$25:$D$267,Parameters!$K$3,$E$25:$E$267,Parameters!$M$7,Calendrier!$C$25:$C$267,ER24))</f>
        <v/>
      </c>
      <c r="TW24" s="59" t="str">
        <f>IF(ES24="","",COUNTIFS($D$25:$D$267,Parameters!$K$2,$E$25:$E$267,Parameters!$M$7,Calendrier!$C$25:$C$267,ES24)+ COUNTIFS($D$25:$D$267,Parameters!$K$4,$E$25:$E$267,Parameters!$M$7,Calendrier!$C$25:$C$267,ES24))</f>
        <v/>
      </c>
      <c r="TX24" s="59" t="str">
        <f>IF(ET24="","",COUNTIFS($D$25:$D$267,Parameters!$K$2,$E$25:$E$267,Parameters!$M$7,Calendrier!$C$25:$C$267,ET24)+ COUNTIFS($D$25:$D$267,Parameters!$K$3,$E$25:$E$267,Parameters!$M$7,Calendrier!$C$25:$C$267,ET24))</f>
        <v/>
      </c>
      <c r="TY24" s="59" t="str">
        <f>IF(EU24="","",COUNTIFS($D$25:$D$267,Parameters!$K$2,$E$25:$E$267,Parameters!$M$7,Calendrier!$C$25:$C$267,EU24)+ COUNTIFS($D$25:$D$267,Parameters!$K$4,$E$25:$E$267,Parameters!$M$7,Calendrier!$C$25:$C$267,EU24))</f>
        <v/>
      </c>
      <c r="TZ24" s="59" t="str">
        <f>IF(EV24="","",COUNTIFS($D$25:$D$267,Parameters!$K$2,$E$25:$E$267,Parameters!$M$7,Calendrier!$C$25:$C$267,EV24)+ COUNTIFS($D$25:$D$267,Parameters!$K$3,$E$25:$E$267,Parameters!$M$7,Calendrier!$C$25:$C$267,EV24))</f>
        <v/>
      </c>
      <c r="UA24" s="59" t="str">
        <f>IF(EW24="","",COUNTIFS($D$25:$D$267,Parameters!$K$2,$E$25:$E$267,Parameters!$M$7,Calendrier!$C$25:$C$267,EW24)+ COUNTIFS($D$25:$D$267,Parameters!$K$4,$E$25:$E$267,Parameters!$M$7,Calendrier!$C$25:$C$267,EW24))</f>
        <v/>
      </c>
      <c r="UB24" s="59" t="str">
        <f>IF(EX24="","",COUNTIFS($D$25:$D$267,Parameters!$K$2,$E$25:$E$267,Parameters!$M$7,Calendrier!$C$25:$C$267,EX24)+ COUNTIFS($D$25:$D$267,Parameters!$K$3,$E$25:$E$267,Parameters!$M$7,Calendrier!$C$25:$C$267,EX24))</f>
        <v/>
      </c>
      <c r="UC24" s="59" t="str">
        <f>IF(EY24="","",COUNTIFS($D$25:$D$267,Parameters!$K$2,$E$25:$E$267,Parameters!$M$7,Calendrier!$C$25:$C$267,EY24)+ COUNTIFS($D$25:$D$267,Parameters!$K$4,$E$25:$E$267,Parameters!$M$7,Calendrier!$C$25:$C$267,EY24))</f>
        <v/>
      </c>
      <c r="UD24" s="59" t="str">
        <f>IF(EZ24="","",COUNTIFS($D$25:$D$267,Parameters!$K$2,$E$25:$E$267,Parameters!$M$7,Calendrier!$C$25:$C$267,EZ24)+ COUNTIFS($D$25:$D$267,Parameters!$K$3,$E$25:$E$267,Parameters!$M$7,Calendrier!$C$25:$C$267,EZ24))</f>
        <v/>
      </c>
      <c r="UE24" s="60" t="str">
        <f>IF(FA24="","",COUNTIFS($D$25:$D$267,Parameters!$K$2,$E$25:$E$267,Parameters!$M$7,Calendrier!$C$25:$C$267,FA24)+ COUNTIFS($D$25:$D$267,Parameters!$K$4,$E$25:$E$267,Parameters!$M$7,Calendrier!$C$25:$C$267,FA24))</f>
        <v/>
      </c>
    </row>
    <row r="25" spans="2:551" x14ac:dyDescent="0.3">
      <c r="B25" s="73">
        <f>IF(C25&lt;&gt;"",YEAR(C25),"")</f>
        <v>2025</v>
      </c>
      <c r="C25" s="27">
        <v>45659</v>
      </c>
      <c r="D25" s="28" t="s">
        <v>30</v>
      </c>
      <c r="E25" s="28" t="s">
        <v>36</v>
      </c>
      <c r="F25" s="61"/>
      <c r="G25" s="77"/>
      <c r="K25" s="31"/>
      <c r="Z25" s="31"/>
      <c r="AA25" s="31"/>
      <c r="AP25" s="31"/>
      <c r="AQ25" s="31"/>
      <c r="BF25" s="31"/>
      <c r="BG25" s="31"/>
      <c r="BJ25" s="42"/>
      <c r="DG25" s="42"/>
      <c r="FE25" s="11"/>
      <c r="GW25" s="12"/>
      <c r="HB25" s="11"/>
      <c r="IT25" s="12"/>
      <c r="IY25" s="11"/>
      <c r="KQ25" s="12"/>
      <c r="KV25" s="11"/>
      <c r="MN25" s="12"/>
      <c r="MS25" s="11"/>
      <c r="OK25" s="12"/>
      <c r="OP25" s="11"/>
      <c r="QH25" s="12"/>
      <c r="QN25" s="11"/>
      <c r="SF25" s="12"/>
      <c r="SL25" s="11"/>
      <c r="UD25" s="12"/>
    </row>
    <row r="26" spans="2:551" ht="14.4" customHeight="1" x14ac:dyDescent="0.35">
      <c r="B26" s="73">
        <f t="shared" ref="B26:B89" si="317">IF(C26&lt;&gt;"",YEAR(C26),"")</f>
        <v>2025</v>
      </c>
      <c r="C26" s="27">
        <v>45695</v>
      </c>
      <c r="D26" s="28" t="s">
        <v>30</v>
      </c>
      <c r="E26" s="28" t="s">
        <v>90</v>
      </c>
      <c r="F26" s="61"/>
      <c r="G26" s="77"/>
      <c r="K26" s="31">
        <v>7</v>
      </c>
      <c r="L26" s="87" t="str">
        <f>TEXT(DATE($K$2,K26,1),"mmmm")</f>
        <v>juillet</v>
      </c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31"/>
      <c r="AA26" s="31">
        <v>8</v>
      </c>
      <c r="AB26" s="87" t="str">
        <f>TEXT(DATE($K$2,AA26,1),"mmmm")</f>
        <v>août</v>
      </c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31"/>
      <c r="AQ26" s="31">
        <v>9</v>
      </c>
      <c r="AR26" s="87" t="str">
        <f>TEXT(DATE($K$2,AQ26,1),"mmmm")</f>
        <v>septembre</v>
      </c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31"/>
      <c r="BG26" s="31"/>
      <c r="BJ26" s="42">
        <v>7</v>
      </c>
      <c r="BK26" s="6" t="s">
        <v>62</v>
      </c>
      <c r="BZ26" s="6">
        <v>8</v>
      </c>
      <c r="CA26" s="6" t="s">
        <v>63</v>
      </c>
      <c r="CP26" s="6">
        <v>9</v>
      </c>
      <c r="CQ26" s="6" t="s">
        <v>64</v>
      </c>
      <c r="DG26" s="42">
        <v>7</v>
      </c>
      <c r="DH26" s="6" t="s">
        <v>62</v>
      </c>
      <c r="DW26" s="6">
        <v>8</v>
      </c>
      <c r="DX26" s="6" t="s">
        <v>63</v>
      </c>
      <c r="EM26" s="6">
        <v>9</v>
      </c>
      <c r="EN26" s="6" t="s">
        <v>64</v>
      </c>
      <c r="FE26" s="11" t="s">
        <v>62</v>
      </c>
      <c r="FT26" s="6">
        <v>8</v>
      </c>
      <c r="FU26" s="6" t="s">
        <v>63</v>
      </c>
      <c r="GJ26" s="6">
        <v>9</v>
      </c>
      <c r="GK26" s="6" t="s">
        <v>64</v>
      </c>
      <c r="GW26" s="12"/>
      <c r="HB26" s="11" t="s">
        <v>62</v>
      </c>
      <c r="HQ26" s="6">
        <v>8</v>
      </c>
      <c r="HR26" s="6" t="s">
        <v>63</v>
      </c>
      <c r="IG26" s="6">
        <v>9</v>
      </c>
      <c r="IH26" s="6" t="s">
        <v>64</v>
      </c>
      <c r="IT26" s="12"/>
      <c r="IY26" s="11" t="s">
        <v>62</v>
      </c>
      <c r="JN26" s="6">
        <v>8</v>
      </c>
      <c r="JO26" s="6" t="s">
        <v>63</v>
      </c>
      <c r="KD26" s="6">
        <v>9</v>
      </c>
      <c r="KE26" s="6" t="s">
        <v>64</v>
      </c>
      <c r="KQ26" s="12"/>
      <c r="KV26" s="11" t="s">
        <v>62</v>
      </c>
      <c r="LK26" s="6">
        <v>8</v>
      </c>
      <c r="LL26" s="6" t="s">
        <v>63</v>
      </c>
      <c r="MA26" s="6">
        <v>9</v>
      </c>
      <c r="MB26" s="6" t="s">
        <v>64</v>
      </c>
      <c r="MN26" s="12"/>
      <c r="MS26" s="11" t="s">
        <v>62</v>
      </c>
      <c r="NH26" s="6">
        <v>8</v>
      </c>
      <c r="NI26" s="6" t="s">
        <v>63</v>
      </c>
      <c r="NX26" s="6">
        <v>9</v>
      </c>
      <c r="NY26" s="6" t="s">
        <v>64</v>
      </c>
      <c r="OK26" s="12"/>
      <c r="OP26" s="11" t="s">
        <v>62</v>
      </c>
      <c r="PE26" s="6">
        <v>8</v>
      </c>
      <c r="PF26" s="6" t="s">
        <v>63</v>
      </c>
      <c r="PU26" s="6">
        <v>9</v>
      </c>
      <c r="PV26" s="6" t="s">
        <v>64</v>
      </c>
      <c r="QH26" s="12"/>
      <c r="QN26" s="11" t="s">
        <v>62</v>
      </c>
      <c r="RC26" s="6">
        <v>8</v>
      </c>
      <c r="RD26" s="6" t="s">
        <v>63</v>
      </c>
      <c r="RS26" s="6">
        <v>9</v>
      </c>
      <c r="RT26" s="6" t="s">
        <v>64</v>
      </c>
      <c r="SF26" s="12"/>
      <c r="SL26" s="11" t="s">
        <v>62</v>
      </c>
      <c r="TA26" s="6">
        <v>8</v>
      </c>
      <c r="TB26" s="6" t="s">
        <v>63</v>
      </c>
      <c r="TQ26" s="6">
        <v>9</v>
      </c>
      <c r="TR26" s="6" t="s">
        <v>64</v>
      </c>
      <c r="UD26" s="12"/>
    </row>
    <row r="27" spans="2:551" ht="15" thickBot="1" x14ac:dyDescent="0.35">
      <c r="B27" s="73">
        <f t="shared" si="317"/>
        <v>2025</v>
      </c>
      <c r="C27" s="27">
        <v>45702</v>
      </c>
      <c r="D27" s="28" t="s">
        <v>30</v>
      </c>
      <c r="E27" s="28" t="s">
        <v>90</v>
      </c>
      <c r="F27" s="61"/>
      <c r="G27" s="77"/>
      <c r="K27" s="31">
        <f>WEEKDAY(DATE($K$2,K26,1),Parameters!$A$2)</f>
        <v>3</v>
      </c>
      <c r="L27" s="17" t="str">
        <f>TEXT(2,"jjj")</f>
        <v>lun</v>
      </c>
      <c r="M27" s="18"/>
      <c r="N27" s="18" t="str">
        <f>TEXT(3,"jjj")</f>
        <v>mar</v>
      </c>
      <c r="O27" s="18"/>
      <c r="P27" s="18" t="str">
        <f>TEXT(4,"jjj")</f>
        <v>mer</v>
      </c>
      <c r="Q27" s="18"/>
      <c r="R27" s="18" t="str">
        <f>TEXT(5,"jjj")</f>
        <v>jeu</v>
      </c>
      <c r="S27" s="18"/>
      <c r="T27" s="18" t="str">
        <f>TEXT(6,"jjj")</f>
        <v>ven</v>
      </c>
      <c r="U27" s="18"/>
      <c r="V27" s="18" t="str">
        <f>TEXT(7,"jjj")</f>
        <v>sam</v>
      </c>
      <c r="W27" s="18"/>
      <c r="X27" s="18" t="str">
        <f>TEXT(8,"jjj")</f>
        <v>dim</v>
      </c>
      <c r="Y27" s="24"/>
      <c r="Z27" s="33">
        <f>DAY(DATE($K$2,K26+1,1)-1)</f>
        <v>31</v>
      </c>
      <c r="AA27" s="31">
        <f>WEEKDAY(DATE($K$2,AA26,1),Parameters!$A$2)</f>
        <v>6</v>
      </c>
      <c r="AB27" s="17" t="str">
        <f>TEXT(2,"jjj")</f>
        <v>lun</v>
      </c>
      <c r="AC27" s="18"/>
      <c r="AD27" s="19" t="str">
        <f>TEXT(3,"jjj")</f>
        <v>mar</v>
      </c>
      <c r="AE27" s="19"/>
      <c r="AF27" s="19" t="str">
        <f>TEXT(4,"jjj")</f>
        <v>mer</v>
      </c>
      <c r="AG27" s="19"/>
      <c r="AH27" s="19" t="str">
        <f>TEXT(5,"jjj")</f>
        <v>jeu</v>
      </c>
      <c r="AI27" s="19"/>
      <c r="AJ27" s="19" t="str">
        <f>TEXT(6,"jjj")</f>
        <v>ven</v>
      </c>
      <c r="AK27" s="19"/>
      <c r="AL27" s="19" t="str">
        <f>TEXT(7,"jjj")</f>
        <v>sam</v>
      </c>
      <c r="AM27" s="19"/>
      <c r="AN27" s="20" t="str">
        <f>TEXT(8,"jjj")</f>
        <v>dim</v>
      </c>
      <c r="AO27" s="20"/>
      <c r="AP27" s="33">
        <f>DAY(DATE($K$2,AA26+1,1)-1)</f>
        <v>31</v>
      </c>
      <c r="AQ27" s="31">
        <f>WEEKDAY(DATE($K$2,AQ26,1),Parameters!$A$2)</f>
        <v>2</v>
      </c>
      <c r="AR27" s="17" t="str">
        <f>TEXT(2,"jjj")</f>
        <v>lun</v>
      </c>
      <c r="AS27" s="18"/>
      <c r="AT27" s="19" t="str">
        <f>TEXT(3,"jjj")</f>
        <v>mar</v>
      </c>
      <c r="AU27" s="19"/>
      <c r="AV27" s="19" t="str">
        <f>TEXT(4,"jjj")</f>
        <v>mer</v>
      </c>
      <c r="AW27" s="19"/>
      <c r="AX27" s="19" t="str">
        <f>TEXT(5,"jjj")</f>
        <v>jeu</v>
      </c>
      <c r="AY27" s="19"/>
      <c r="AZ27" s="19" t="str">
        <f>TEXT(6,"jjj")</f>
        <v>ven</v>
      </c>
      <c r="BA27" s="19"/>
      <c r="BB27" s="19" t="str">
        <f>TEXT(7,"jjj")</f>
        <v>sam</v>
      </c>
      <c r="BC27" s="19"/>
      <c r="BD27" s="19" t="str">
        <f>TEXT(8,"jjj")</f>
        <v>dim</v>
      </c>
      <c r="BE27" s="20"/>
      <c r="BF27" s="33">
        <f>DAY(DATE($K$2,AQ26+1,1)-1)</f>
        <v>30</v>
      </c>
      <c r="BG27" s="33"/>
      <c r="BJ27" s="42">
        <v>5</v>
      </c>
      <c r="BK27" s="6" t="s">
        <v>52</v>
      </c>
      <c r="BM27" s="6" t="s">
        <v>53</v>
      </c>
      <c r="BO27" s="6" t="s">
        <v>54</v>
      </c>
      <c r="BQ27" s="6" t="s">
        <v>55</v>
      </c>
      <c r="BS27" s="6" t="s">
        <v>56</v>
      </c>
      <c r="BU27" s="6" t="s">
        <v>57</v>
      </c>
      <c r="BW27" s="6" t="s">
        <v>58</v>
      </c>
      <c r="BY27" s="6">
        <v>31</v>
      </c>
      <c r="BZ27" s="6">
        <v>1</v>
      </c>
      <c r="CA27" s="6" t="s">
        <v>52</v>
      </c>
      <c r="CC27" s="6" t="s">
        <v>53</v>
      </c>
      <c r="CE27" s="6" t="s">
        <v>54</v>
      </c>
      <c r="CG27" s="6" t="s">
        <v>55</v>
      </c>
      <c r="CI27" s="6" t="s">
        <v>56</v>
      </c>
      <c r="CK27" s="6" t="s">
        <v>57</v>
      </c>
      <c r="CM27" s="6" t="s">
        <v>58</v>
      </c>
      <c r="CO27" s="6">
        <v>31</v>
      </c>
      <c r="CP27" s="6">
        <v>4</v>
      </c>
      <c r="CQ27" s="6" t="s">
        <v>52</v>
      </c>
      <c r="CS27" s="6" t="s">
        <v>53</v>
      </c>
      <c r="CU27" s="6" t="s">
        <v>54</v>
      </c>
      <c r="CW27" s="6" t="s">
        <v>55</v>
      </c>
      <c r="CY27" s="6" t="s">
        <v>56</v>
      </c>
      <c r="DA27" s="6" t="s">
        <v>57</v>
      </c>
      <c r="DC27" s="6" t="s">
        <v>58</v>
      </c>
      <c r="DG27" s="42">
        <v>5</v>
      </c>
      <c r="DH27" s="6" t="s">
        <v>52</v>
      </c>
      <c r="DJ27" s="6" t="s">
        <v>53</v>
      </c>
      <c r="DL27" s="6" t="s">
        <v>54</v>
      </c>
      <c r="DN27" s="6" t="s">
        <v>55</v>
      </c>
      <c r="DP27" s="6" t="s">
        <v>56</v>
      </c>
      <c r="DR27" s="6" t="s">
        <v>57</v>
      </c>
      <c r="DT27" s="6" t="s">
        <v>58</v>
      </c>
      <c r="DV27" s="6">
        <v>31</v>
      </c>
      <c r="DW27" s="6">
        <v>1</v>
      </c>
      <c r="DX27" s="6" t="s">
        <v>52</v>
      </c>
      <c r="DZ27" s="6" t="s">
        <v>53</v>
      </c>
      <c r="EB27" s="6" t="s">
        <v>54</v>
      </c>
      <c r="ED27" s="6" t="s">
        <v>55</v>
      </c>
      <c r="EF27" s="6" t="s">
        <v>56</v>
      </c>
      <c r="EH27" s="6" t="s">
        <v>57</v>
      </c>
      <c r="EJ27" s="6" t="s">
        <v>58</v>
      </c>
      <c r="EL27" s="6">
        <v>31</v>
      </c>
      <c r="EM27" s="6">
        <v>4</v>
      </c>
      <c r="EN27" s="6" t="s">
        <v>52</v>
      </c>
      <c r="EP27" s="6" t="s">
        <v>53</v>
      </c>
      <c r="ER27" s="6" t="s">
        <v>54</v>
      </c>
      <c r="ET27" s="6" t="s">
        <v>55</v>
      </c>
      <c r="EV27" s="6" t="s">
        <v>56</v>
      </c>
      <c r="EX27" s="6" t="s">
        <v>57</v>
      </c>
      <c r="EZ27" s="6" t="s">
        <v>58</v>
      </c>
      <c r="FE27" s="11" t="s">
        <v>52</v>
      </c>
      <c r="FG27" s="6" t="s">
        <v>53</v>
      </c>
      <c r="FI27" s="6" t="s">
        <v>54</v>
      </c>
      <c r="FK27" s="6" t="s">
        <v>55</v>
      </c>
      <c r="FM27" s="6" t="s">
        <v>56</v>
      </c>
      <c r="FO27" s="6" t="s">
        <v>57</v>
      </c>
      <c r="FQ27" s="6" t="s">
        <v>58</v>
      </c>
      <c r="FS27" s="6">
        <v>31</v>
      </c>
      <c r="FT27" s="6">
        <v>1</v>
      </c>
      <c r="FU27" s="6" t="s">
        <v>52</v>
      </c>
      <c r="FW27" s="6" t="s">
        <v>53</v>
      </c>
      <c r="FY27" s="6" t="s">
        <v>54</v>
      </c>
      <c r="GA27" s="6" t="s">
        <v>55</v>
      </c>
      <c r="GC27" s="6" t="s">
        <v>56</v>
      </c>
      <c r="GE27" s="6" t="s">
        <v>57</v>
      </c>
      <c r="GG27" s="6" t="s">
        <v>58</v>
      </c>
      <c r="GI27" s="6">
        <v>31</v>
      </c>
      <c r="GJ27" s="6">
        <v>4</v>
      </c>
      <c r="GK27" s="6" t="s">
        <v>52</v>
      </c>
      <c r="GM27" s="6" t="s">
        <v>53</v>
      </c>
      <c r="GO27" s="6" t="s">
        <v>54</v>
      </c>
      <c r="GQ27" s="6" t="s">
        <v>55</v>
      </c>
      <c r="GS27" s="6" t="s">
        <v>56</v>
      </c>
      <c r="GU27" s="6" t="s">
        <v>57</v>
      </c>
      <c r="GW27" s="12" t="s">
        <v>58</v>
      </c>
      <c r="HB27" s="11" t="s">
        <v>52</v>
      </c>
      <c r="HD27" s="6" t="s">
        <v>53</v>
      </c>
      <c r="HF27" s="6" t="s">
        <v>54</v>
      </c>
      <c r="HH27" s="6" t="s">
        <v>55</v>
      </c>
      <c r="HJ27" s="6" t="s">
        <v>56</v>
      </c>
      <c r="HL27" s="6" t="s">
        <v>57</v>
      </c>
      <c r="HN27" s="6" t="s">
        <v>58</v>
      </c>
      <c r="HP27" s="6">
        <v>31</v>
      </c>
      <c r="HQ27" s="6">
        <v>1</v>
      </c>
      <c r="HR27" s="6" t="s">
        <v>52</v>
      </c>
      <c r="HT27" s="6" t="s">
        <v>53</v>
      </c>
      <c r="HV27" s="6" t="s">
        <v>54</v>
      </c>
      <c r="HX27" s="6" t="s">
        <v>55</v>
      </c>
      <c r="HZ27" s="6" t="s">
        <v>56</v>
      </c>
      <c r="IB27" s="6" t="s">
        <v>57</v>
      </c>
      <c r="ID27" s="6" t="s">
        <v>58</v>
      </c>
      <c r="IF27" s="6">
        <v>31</v>
      </c>
      <c r="IG27" s="6">
        <v>4</v>
      </c>
      <c r="IH27" s="6" t="s">
        <v>52</v>
      </c>
      <c r="IJ27" s="6" t="s">
        <v>53</v>
      </c>
      <c r="IL27" s="6" t="s">
        <v>54</v>
      </c>
      <c r="IN27" s="6" t="s">
        <v>55</v>
      </c>
      <c r="IP27" s="6" t="s">
        <v>56</v>
      </c>
      <c r="IR27" s="6" t="s">
        <v>57</v>
      </c>
      <c r="IT27" s="12" t="s">
        <v>58</v>
      </c>
      <c r="IY27" s="11" t="s">
        <v>52</v>
      </c>
      <c r="JA27" s="6" t="s">
        <v>53</v>
      </c>
      <c r="JC27" s="6" t="s">
        <v>54</v>
      </c>
      <c r="JE27" s="6" t="s">
        <v>55</v>
      </c>
      <c r="JG27" s="6" t="s">
        <v>56</v>
      </c>
      <c r="JI27" s="6" t="s">
        <v>57</v>
      </c>
      <c r="JK27" s="6" t="s">
        <v>58</v>
      </c>
      <c r="JM27" s="6">
        <v>31</v>
      </c>
      <c r="JN27" s="6">
        <v>1</v>
      </c>
      <c r="JO27" s="6" t="s">
        <v>52</v>
      </c>
      <c r="JQ27" s="6" t="s">
        <v>53</v>
      </c>
      <c r="JS27" s="6" t="s">
        <v>54</v>
      </c>
      <c r="JU27" s="6" t="s">
        <v>55</v>
      </c>
      <c r="JW27" s="6" t="s">
        <v>56</v>
      </c>
      <c r="JY27" s="6" t="s">
        <v>57</v>
      </c>
      <c r="KA27" s="6" t="s">
        <v>58</v>
      </c>
      <c r="KC27" s="6">
        <v>31</v>
      </c>
      <c r="KD27" s="6">
        <v>4</v>
      </c>
      <c r="KE27" s="6" t="s">
        <v>52</v>
      </c>
      <c r="KG27" s="6" t="s">
        <v>53</v>
      </c>
      <c r="KI27" s="6" t="s">
        <v>54</v>
      </c>
      <c r="KK27" s="6" t="s">
        <v>55</v>
      </c>
      <c r="KM27" s="6" t="s">
        <v>56</v>
      </c>
      <c r="KO27" s="6" t="s">
        <v>57</v>
      </c>
      <c r="KQ27" s="12" t="s">
        <v>58</v>
      </c>
      <c r="KV27" s="11" t="s">
        <v>52</v>
      </c>
      <c r="KX27" s="6" t="s">
        <v>53</v>
      </c>
      <c r="KZ27" s="6" t="s">
        <v>54</v>
      </c>
      <c r="LB27" s="6" t="s">
        <v>55</v>
      </c>
      <c r="LD27" s="6" t="s">
        <v>56</v>
      </c>
      <c r="LF27" s="6" t="s">
        <v>57</v>
      </c>
      <c r="LH27" s="6" t="s">
        <v>58</v>
      </c>
      <c r="LJ27" s="6">
        <v>31</v>
      </c>
      <c r="LK27" s="6">
        <v>1</v>
      </c>
      <c r="LL27" s="6" t="s">
        <v>52</v>
      </c>
      <c r="LN27" s="6" t="s">
        <v>53</v>
      </c>
      <c r="LP27" s="6" t="s">
        <v>54</v>
      </c>
      <c r="LR27" s="6" t="s">
        <v>55</v>
      </c>
      <c r="LT27" s="6" t="s">
        <v>56</v>
      </c>
      <c r="LV27" s="6" t="s">
        <v>57</v>
      </c>
      <c r="LX27" s="6" t="s">
        <v>58</v>
      </c>
      <c r="LZ27" s="6">
        <v>31</v>
      </c>
      <c r="MA27" s="6">
        <v>4</v>
      </c>
      <c r="MB27" s="6" t="s">
        <v>52</v>
      </c>
      <c r="MD27" s="6" t="s">
        <v>53</v>
      </c>
      <c r="MF27" s="6" t="s">
        <v>54</v>
      </c>
      <c r="MH27" s="6" t="s">
        <v>55</v>
      </c>
      <c r="MJ27" s="6" t="s">
        <v>56</v>
      </c>
      <c r="ML27" s="6" t="s">
        <v>57</v>
      </c>
      <c r="MN27" s="12" t="s">
        <v>58</v>
      </c>
      <c r="MS27" s="11" t="s">
        <v>52</v>
      </c>
      <c r="MU27" s="6" t="s">
        <v>53</v>
      </c>
      <c r="MW27" s="6" t="s">
        <v>54</v>
      </c>
      <c r="MY27" s="6" t="s">
        <v>55</v>
      </c>
      <c r="NA27" s="6" t="s">
        <v>56</v>
      </c>
      <c r="NC27" s="6" t="s">
        <v>57</v>
      </c>
      <c r="NE27" s="6" t="s">
        <v>58</v>
      </c>
      <c r="NG27" s="6">
        <v>31</v>
      </c>
      <c r="NH27" s="6">
        <v>1</v>
      </c>
      <c r="NI27" s="6" t="s">
        <v>52</v>
      </c>
      <c r="NK27" s="6" t="s">
        <v>53</v>
      </c>
      <c r="NM27" s="6" t="s">
        <v>54</v>
      </c>
      <c r="NO27" s="6" t="s">
        <v>55</v>
      </c>
      <c r="NQ27" s="6" t="s">
        <v>56</v>
      </c>
      <c r="NS27" s="6" t="s">
        <v>57</v>
      </c>
      <c r="NU27" s="6" t="s">
        <v>58</v>
      </c>
      <c r="NW27" s="6">
        <v>31</v>
      </c>
      <c r="NX27" s="6">
        <v>4</v>
      </c>
      <c r="NY27" s="6" t="s">
        <v>52</v>
      </c>
      <c r="OA27" s="6" t="s">
        <v>53</v>
      </c>
      <c r="OC27" s="6" t="s">
        <v>54</v>
      </c>
      <c r="OE27" s="6" t="s">
        <v>55</v>
      </c>
      <c r="OG27" s="6" t="s">
        <v>56</v>
      </c>
      <c r="OI27" s="6" t="s">
        <v>57</v>
      </c>
      <c r="OK27" s="12" t="s">
        <v>58</v>
      </c>
      <c r="OP27" s="11" t="s">
        <v>52</v>
      </c>
      <c r="OR27" s="6" t="s">
        <v>53</v>
      </c>
      <c r="OT27" s="6" t="s">
        <v>54</v>
      </c>
      <c r="OV27" s="6" t="s">
        <v>55</v>
      </c>
      <c r="OX27" s="6" t="s">
        <v>56</v>
      </c>
      <c r="OZ27" s="6" t="s">
        <v>57</v>
      </c>
      <c r="PB27" s="6" t="s">
        <v>58</v>
      </c>
      <c r="PD27" s="6">
        <v>31</v>
      </c>
      <c r="PE27" s="6">
        <v>1</v>
      </c>
      <c r="PF27" s="6" t="s">
        <v>52</v>
      </c>
      <c r="PH27" s="6" t="s">
        <v>53</v>
      </c>
      <c r="PJ27" s="6" t="s">
        <v>54</v>
      </c>
      <c r="PL27" s="6" t="s">
        <v>55</v>
      </c>
      <c r="PN27" s="6" t="s">
        <v>56</v>
      </c>
      <c r="PP27" s="6" t="s">
        <v>57</v>
      </c>
      <c r="PR27" s="6" t="s">
        <v>58</v>
      </c>
      <c r="PT27" s="6">
        <v>31</v>
      </c>
      <c r="PU27" s="6">
        <v>4</v>
      </c>
      <c r="PV27" s="6" t="s">
        <v>52</v>
      </c>
      <c r="PX27" s="6" t="s">
        <v>53</v>
      </c>
      <c r="PZ27" s="6" t="s">
        <v>54</v>
      </c>
      <c r="QB27" s="6" t="s">
        <v>55</v>
      </c>
      <c r="QD27" s="6" t="s">
        <v>56</v>
      </c>
      <c r="QF27" s="6" t="s">
        <v>57</v>
      </c>
      <c r="QH27" s="12" t="s">
        <v>58</v>
      </c>
      <c r="QN27" s="11" t="s">
        <v>52</v>
      </c>
      <c r="QP27" s="6" t="s">
        <v>53</v>
      </c>
      <c r="QR27" s="6" t="s">
        <v>54</v>
      </c>
      <c r="QT27" s="6" t="s">
        <v>55</v>
      </c>
      <c r="QV27" s="6" t="s">
        <v>56</v>
      </c>
      <c r="QX27" s="6" t="s">
        <v>57</v>
      </c>
      <c r="QZ27" s="6" t="s">
        <v>58</v>
      </c>
      <c r="RB27" s="6">
        <v>31</v>
      </c>
      <c r="RC27" s="6">
        <v>1</v>
      </c>
      <c r="RD27" s="6" t="s">
        <v>52</v>
      </c>
      <c r="RF27" s="6" t="s">
        <v>53</v>
      </c>
      <c r="RH27" s="6" t="s">
        <v>54</v>
      </c>
      <c r="RJ27" s="6" t="s">
        <v>55</v>
      </c>
      <c r="RL27" s="6" t="s">
        <v>56</v>
      </c>
      <c r="RN27" s="6" t="s">
        <v>57</v>
      </c>
      <c r="RP27" s="6" t="s">
        <v>58</v>
      </c>
      <c r="RR27" s="6">
        <v>31</v>
      </c>
      <c r="RS27" s="6">
        <v>4</v>
      </c>
      <c r="RT27" s="6" t="s">
        <v>52</v>
      </c>
      <c r="RV27" s="6" t="s">
        <v>53</v>
      </c>
      <c r="RX27" s="6" t="s">
        <v>54</v>
      </c>
      <c r="RZ27" s="6" t="s">
        <v>55</v>
      </c>
      <c r="SB27" s="6" t="s">
        <v>56</v>
      </c>
      <c r="SD27" s="6" t="s">
        <v>57</v>
      </c>
      <c r="SF27" s="12" t="s">
        <v>58</v>
      </c>
      <c r="SL27" s="11" t="s">
        <v>52</v>
      </c>
      <c r="SN27" s="6" t="s">
        <v>53</v>
      </c>
      <c r="SP27" s="6" t="s">
        <v>54</v>
      </c>
      <c r="SR27" s="6" t="s">
        <v>55</v>
      </c>
      <c r="ST27" s="6" t="s">
        <v>56</v>
      </c>
      <c r="SV27" s="6" t="s">
        <v>57</v>
      </c>
      <c r="SX27" s="6" t="s">
        <v>58</v>
      </c>
      <c r="SZ27" s="6">
        <v>31</v>
      </c>
      <c r="TA27" s="6">
        <v>1</v>
      </c>
      <c r="TB27" s="6" t="s">
        <v>52</v>
      </c>
      <c r="TD27" s="6" t="s">
        <v>53</v>
      </c>
      <c r="TF27" s="6" t="s">
        <v>54</v>
      </c>
      <c r="TH27" s="6" t="s">
        <v>55</v>
      </c>
      <c r="TJ27" s="6" t="s">
        <v>56</v>
      </c>
      <c r="TL27" s="6" t="s">
        <v>57</v>
      </c>
      <c r="TN27" s="6" t="s">
        <v>58</v>
      </c>
      <c r="TP27" s="6">
        <v>31</v>
      </c>
      <c r="TQ27" s="6">
        <v>4</v>
      </c>
      <c r="TR27" s="6" t="s">
        <v>52</v>
      </c>
      <c r="TT27" s="6" t="s">
        <v>53</v>
      </c>
      <c r="TV27" s="6" t="s">
        <v>54</v>
      </c>
      <c r="TX27" s="6" t="s">
        <v>55</v>
      </c>
      <c r="TZ27" s="6" t="s">
        <v>56</v>
      </c>
      <c r="UB27" s="6" t="s">
        <v>57</v>
      </c>
      <c r="UD27" s="12" t="s">
        <v>58</v>
      </c>
    </row>
    <row r="28" spans="2:551" x14ac:dyDescent="0.3">
      <c r="B28" s="73">
        <f t="shared" si="317"/>
        <v>2025</v>
      </c>
      <c r="C28" s="29">
        <v>45778</v>
      </c>
      <c r="D28" s="30" t="s">
        <v>30</v>
      </c>
      <c r="E28" s="30" t="s">
        <v>37</v>
      </c>
      <c r="F28" s="61"/>
      <c r="G28" s="77"/>
      <c r="K28" s="31"/>
      <c r="L28" s="22" t="str">
        <f>IF($K27=L$6,1,IF(J28&lt;&gt;"",J28+1,""))</f>
        <v/>
      </c>
      <c r="M28" s="23"/>
      <c r="N28" s="22" t="str">
        <f>IF($K27=N$6,1,IF(L28&lt;&gt;"",L28+1,""))</f>
        <v/>
      </c>
      <c r="O28" s="23"/>
      <c r="P28" s="22">
        <f>IF($K27=P$6,1,IF(N28&lt;&gt;"",N28+1,""))</f>
        <v>1</v>
      </c>
      <c r="Q28" s="23"/>
      <c r="R28" s="22">
        <f>IF($K27=R$6,1,IF(P28&lt;&gt;"",P28+1,""))</f>
        <v>2</v>
      </c>
      <c r="S28" s="23"/>
      <c r="T28" s="22">
        <f>IF($K27=T$6,1,IF(R28&lt;&gt;"",R28+1,""))</f>
        <v>3</v>
      </c>
      <c r="U28" s="23"/>
      <c r="V28" s="22">
        <f>IF($K27=V$6,1,IF(T28&lt;&gt;"",T28+1,""))</f>
        <v>4</v>
      </c>
      <c r="W28" s="23"/>
      <c r="X28" s="22">
        <f>IF($K27=X$6,1,IF(V28&lt;&gt;"",V28+1,""))</f>
        <v>5</v>
      </c>
      <c r="Y28" s="23"/>
      <c r="Z28" s="31"/>
      <c r="AA28" s="31"/>
      <c r="AB28" s="22" t="str">
        <f>IF($AA$27=AB$6,1,IF(Z28&lt;&gt;"",Z28+1,""))</f>
        <v/>
      </c>
      <c r="AC28" s="23"/>
      <c r="AD28" s="22" t="str">
        <f>IF($AA$27=AD$6,1,IF(AB28&lt;&gt;"",AB28+1,""))</f>
        <v/>
      </c>
      <c r="AE28" s="23"/>
      <c r="AF28" s="22" t="str">
        <f>IF($AA$27=AF$6,1,IF(AD28&lt;&gt;"",AD28+1,""))</f>
        <v/>
      </c>
      <c r="AG28" s="23"/>
      <c r="AH28" s="22" t="str">
        <f>IF($AA$27=AH$6,1,IF(AF28&lt;&gt;"",AF28+1,""))</f>
        <v/>
      </c>
      <c r="AI28" s="23"/>
      <c r="AJ28" s="22" t="str">
        <f>IF($AA$27=AJ$6,1,IF(AH28&lt;&gt;"",AH28+1,""))</f>
        <v/>
      </c>
      <c r="AK28" s="23"/>
      <c r="AL28" s="22">
        <f>IF($AA$27=AL$6,1,IF(AJ28&lt;&gt;"",AJ28+1,""))</f>
        <v>1</v>
      </c>
      <c r="AM28" s="23"/>
      <c r="AN28" s="22">
        <f>IF($AA$27=AN$6,1,IF(AL28&lt;&gt;"",AL28+1,""))</f>
        <v>2</v>
      </c>
      <c r="AO28" s="23"/>
      <c r="AP28" s="31"/>
      <c r="AQ28" s="31"/>
      <c r="AR28" s="22" t="str">
        <f>IF($AQ$27=AR$6,1,IF(AP28&lt;&gt;"",AP28+1,""))</f>
        <v/>
      </c>
      <c r="AS28" s="23"/>
      <c r="AT28" s="22">
        <f>IF($AQ$27=AT$6,1,IF(AR28&lt;&gt;"",AR28+1,""))</f>
        <v>1</v>
      </c>
      <c r="AU28" s="23"/>
      <c r="AV28" s="22">
        <f>IF($AQ$27=AV$6,1,IF(AT28&lt;&gt;"",AT28+1,""))</f>
        <v>2</v>
      </c>
      <c r="AW28" s="23"/>
      <c r="AX28" s="22">
        <f>IF($AQ$27=AX$6,1,IF(AV28&lt;&gt;"",AV28+1,""))</f>
        <v>3</v>
      </c>
      <c r="AY28" s="23"/>
      <c r="AZ28" s="22">
        <f>IF($AQ$27=AZ$6,1,IF(AX28&lt;&gt;"",AX28+1,""))</f>
        <v>4</v>
      </c>
      <c r="BA28" s="23"/>
      <c r="BB28" s="22">
        <f>IF($AQ$27=BB$6,1,IF(AZ28&lt;&gt;"",AZ28+1,""))</f>
        <v>5</v>
      </c>
      <c r="BC28" s="23"/>
      <c r="BD28" s="22">
        <f>IF($AQ$27=BD$6,1,IF(BB28&lt;&gt;"",BB28+1,""))</f>
        <v>6</v>
      </c>
      <c r="BE28" s="23"/>
      <c r="BF28" s="31"/>
      <c r="BG28" s="31"/>
      <c r="BJ28" s="42"/>
      <c r="BK28" s="6">
        <v>7</v>
      </c>
      <c r="BL28" s="6">
        <v>7</v>
      </c>
      <c r="BM28" s="6">
        <v>7</v>
      </c>
      <c r="BN28" s="6">
        <v>7</v>
      </c>
      <c r="BO28" s="6">
        <v>7</v>
      </c>
      <c r="BP28" s="6">
        <v>7</v>
      </c>
      <c r="BQ28" s="6">
        <v>7</v>
      </c>
      <c r="BR28" s="6">
        <v>7</v>
      </c>
      <c r="BS28" s="6">
        <v>7</v>
      </c>
      <c r="BT28" s="6">
        <v>7</v>
      </c>
      <c r="BU28" s="6">
        <v>7</v>
      </c>
      <c r="BV28" s="6">
        <v>7</v>
      </c>
      <c r="BW28" s="6">
        <v>7</v>
      </c>
      <c r="CA28" s="6">
        <v>8</v>
      </c>
      <c r="CB28" s="6">
        <v>8</v>
      </c>
      <c r="CC28" s="6">
        <v>8</v>
      </c>
      <c r="CD28" s="6">
        <v>8</v>
      </c>
      <c r="CE28" s="6">
        <v>8</v>
      </c>
      <c r="CF28" s="6">
        <v>8</v>
      </c>
      <c r="CG28" s="6">
        <v>8</v>
      </c>
      <c r="CH28" s="6">
        <v>8</v>
      </c>
      <c r="CI28" s="6">
        <v>8</v>
      </c>
      <c r="CJ28" s="6">
        <v>8</v>
      </c>
      <c r="CK28" s="6">
        <v>8</v>
      </c>
      <c r="CL28" s="6">
        <v>8</v>
      </c>
      <c r="CM28" s="6">
        <v>8</v>
      </c>
      <c r="CQ28" s="6">
        <v>9</v>
      </c>
      <c r="CR28" s="6">
        <v>9</v>
      </c>
      <c r="CS28" s="6">
        <v>9</v>
      </c>
      <c r="CT28" s="6">
        <v>9</v>
      </c>
      <c r="CU28" s="6">
        <v>9</v>
      </c>
      <c r="CV28" s="6">
        <v>9</v>
      </c>
      <c r="CW28" s="6">
        <v>9</v>
      </c>
      <c r="CX28" s="6">
        <v>9</v>
      </c>
      <c r="CY28" s="6">
        <v>9</v>
      </c>
      <c r="CZ28" s="6">
        <v>9</v>
      </c>
      <c r="DA28" s="6">
        <v>9</v>
      </c>
      <c r="DB28" s="6">
        <v>9</v>
      </c>
      <c r="DC28" s="6">
        <v>9</v>
      </c>
      <c r="DG28" s="42"/>
      <c r="DH28" s="51" t="str">
        <f>IF(L28="","",DATE($K$2,BK28,L28))</f>
        <v/>
      </c>
      <c r="DI28" s="52" t="str">
        <f>DH28</f>
        <v/>
      </c>
      <c r="DJ28" s="52" t="str">
        <f t="shared" ref="DJ28:DJ33" si="318">IF(N28="","",DATE($K$2,BM28,N28))</f>
        <v/>
      </c>
      <c r="DK28" s="52" t="str">
        <f t="shared" ref="DK28" si="319">DJ28</f>
        <v/>
      </c>
      <c r="DL28" s="52">
        <f t="shared" ref="DL28:DL33" si="320">IF(P28="","",DATE($K$2,BO28,P28))</f>
        <v>46204</v>
      </c>
      <c r="DM28" s="52">
        <f t="shared" ref="DM28" si="321">DL28</f>
        <v>46204</v>
      </c>
      <c r="DN28" s="52">
        <f t="shared" ref="DN28:DN33" si="322">IF(R28="","",DATE($K$2,BQ28,R28))</f>
        <v>46205</v>
      </c>
      <c r="DO28" s="52">
        <f t="shared" ref="DO28" si="323">DN28</f>
        <v>46205</v>
      </c>
      <c r="DP28" s="52">
        <f t="shared" ref="DP28:DP33" si="324">IF(T28="","",DATE($K$2,BS28,T28))</f>
        <v>46206</v>
      </c>
      <c r="DQ28" s="52">
        <f t="shared" ref="DQ28" si="325">DP28</f>
        <v>46206</v>
      </c>
      <c r="DR28" s="52">
        <f t="shared" ref="DR28:DR33" si="326">IF(V28="","",DATE($K$2,BU28,V28))</f>
        <v>46207</v>
      </c>
      <c r="DS28" s="52">
        <f t="shared" ref="DS28" si="327">DR28</f>
        <v>46207</v>
      </c>
      <c r="DT28" s="52">
        <f t="shared" ref="DT28:DT33" si="328">IF(X28="","",DATE($K$2,BW28,X28))</f>
        <v>46208</v>
      </c>
      <c r="DU28" s="53">
        <f t="shared" ref="DU28:DU33" si="329">DT28</f>
        <v>46208</v>
      </c>
      <c r="DX28" s="51" t="str">
        <f>IF(AB28="","",DATE($K$2,CA28,AB28))</f>
        <v/>
      </c>
      <c r="DY28" s="52" t="str">
        <f>DX28</f>
        <v/>
      </c>
      <c r="DZ28" s="52" t="str">
        <f t="shared" ref="DZ28:DZ33" si="330">IF(AD28="","",DATE($K$2,CC28,AD28))</f>
        <v/>
      </c>
      <c r="EA28" s="52" t="str">
        <f t="shared" ref="EA28" si="331">DZ28</f>
        <v/>
      </c>
      <c r="EB28" s="52" t="str">
        <f t="shared" ref="EB28:EB33" si="332">IF(AF28="","",DATE($K$2,CE28,AF28))</f>
        <v/>
      </c>
      <c r="EC28" s="52" t="str">
        <f t="shared" ref="EC28" si="333">EB28</f>
        <v/>
      </c>
      <c r="ED28" s="52" t="str">
        <f t="shared" ref="ED28:ED33" si="334">IF(AH28="","",DATE($K$2,CG28,AH28))</f>
        <v/>
      </c>
      <c r="EE28" s="52" t="str">
        <f t="shared" ref="EE28" si="335">ED28</f>
        <v/>
      </c>
      <c r="EF28" s="52" t="str">
        <f t="shared" ref="EF28:EF33" si="336">IF(AJ28="","",DATE($K$2,CI28,AJ28))</f>
        <v/>
      </c>
      <c r="EG28" s="52" t="str">
        <f t="shared" ref="EG28" si="337">EF28</f>
        <v/>
      </c>
      <c r="EH28" s="52">
        <f t="shared" ref="EH28:EH33" si="338">IF(AL28="","",DATE($K$2,CK28,AL28))</f>
        <v>46235</v>
      </c>
      <c r="EI28" s="52">
        <f t="shared" ref="EI28" si="339">EH28</f>
        <v>46235</v>
      </c>
      <c r="EJ28" s="52">
        <f t="shared" ref="EJ28:EJ33" si="340">IF(AN28="","",DATE($K$2,CM28,AN28))</f>
        <v>46236</v>
      </c>
      <c r="EK28" s="53">
        <f t="shared" ref="EK28:EK33" si="341">EJ28</f>
        <v>46236</v>
      </c>
      <c r="EN28" s="51" t="str">
        <f>IF(AR28="","",DATE($K$2,CQ28,AR28))</f>
        <v/>
      </c>
      <c r="EO28" s="52" t="str">
        <f>EN28</f>
        <v/>
      </c>
      <c r="EP28" s="52">
        <f t="shared" ref="EP28:EP33" si="342">IF(AT28="","",DATE($K$2,CS28,AT28))</f>
        <v>46266</v>
      </c>
      <c r="EQ28" s="52">
        <f t="shared" ref="EQ28" si="343">EP28</f>
        <v>46266</v>
      </c>
      <c r="ER28" s="52">
        <f t="shared" ref="ER28:ER33" si="344">IF(AV28="","",DATE($K$2,CU28,AV28))</f>
        <v>46267</v>
      </c>
      <c r="ES28" s="52">
        <f t="shared" ref="ES28" si="345">ER28</f>
        <v>46267</v>
      </c>
      <c r="ET28" s="52">
        <f t="shared" ref="ET28:ET33" si="346">IF(AX28="","",DATE($K$2,CW28,AX28))</f>
        <v>46268</v>
      </c>
      <c r="EU28" s="52">
        <f t="shared" ref="EU28" si="347">ET28</f>
        <v>46268</v>
      </c>
      <c r="EV28" s="52">
        <f t="shared" ref="EV28:EV33" si="348">IF(AZ28="","",DATE($K$2,CY28,AZ28))</f>
        <v>46269</v>
      </c>
      <c r="EW28" s="52">
        <f t="shared" ref="EW28" si="349">EV28</f>
        <v>46269</v>
      </c>
      <c r="EX28" s="52">
        <f t="shared" ref="EX28:EX33" si="350">IF(BB28="","",DATE($K$2,DA28,BB28))</f>
        <v>46270</v>
      </c>
      <c r="EY28" s="52">
        <f t="shared" ref="EY28" si="351">EX28</f>
        <v>46270</v>
      </c>
      <c r="EZ28" s="52">
        <f t="shared" ref="EZ28:EZ33" si="352">IF(BD28="","",DATE($K$2,DC28,BD28))</f>
        <v>46271</v>
      </c>
      <c r="FA28" s="53">
        <f t="shared" ref="FA28:FA33" si="353">EZ28</f>
        <v>46271</v>
      </c>
      <c r="FE28" s="54">
        <f>COUNTIFS(Parameters!$S:$S,$D$4,Parameters!$Q:$Q,DH28)</f>
        <v>0</v>
      </c>
      <c r="FF28" s="55">
        <f>COUNTIFS(Parameters!$S:$S,$D$4,Parameters!$Q:$Q,DI28)</f>
        <v>0</v>
      </c>
      <c r="FG28" s="55">
        <f>COUNTIFS(Parameters!$S:$S,$D$4,Parameters!$Q:$Q,DJ28)</f>
        <v>0</v>
      </c>
      <c r="FH28" s="55">
        <f>COUNTIFS(Parameters!$S:$S,$D$4,Parameters!$Q:$Q,DK28)</f>
        <v>0</v>
      </c>
      <c r="FI28" s="55">
        <f>COUNTIFS(Parameters!$S:$S,$D$4,Parameters!$Q:$Q,DL28)</f>
        <v>0</v>
      </c>
      <c r="FJ28" s="55">
        <f>COUNTIFS(Parameters!$S:$S,$D$4,Parameters!$Q:$Q,DM28)</f>
        <v>0</v>
      </c>
      <c r="FK28" s="55">
        <f>COUNTIFS(Parameters!$S:$S,$D$4,Parameters!$Q:$Q,DN28)</f>
        <v>0</v>
      </c>
      <c r="FL28" s="55">
        <f>COUNTIFS(Parameters!$S:$S,$D$4,Parameters!$Q:$Q,DO28)</f>
        <v>0</v>
      </c>
      <c r="FM28" s="55">
        <f>COUNTIFS(Parameters!$S:$S,$D$4,Parameters!$Q:$Q,DP28)</f>
        <v>0</v>
      </c>
      <c r="FN28" s="55">
        <f>COUNTIFS(Parameters!$S:$S,$D$4,Parameters!$Q:$Q,DQ28)</f>
        <v>0</v>
      </c>
      <c r="FO28" s="55">
        <f>COUNTIFS(Parameters!$S:$S,$D$4,Parameters!$Q:$Q,DR28)</f>
        <v>0</v>
      </c>
      <c r="FP28" s="55">
        <f>COUNTIFS(Parameters!$S:$S,$D$4,Parameters!$Q:$Q,DS28)</f>
        <v>0</v>
      </c>
      <c r="FQ28" s="55">
        <f>COUNTIFS(Parameters!$S:$S,$D$4,Parameters!$Q:$Q,DT28)</f>
        <v>0</v>
      </c>
      <c r="FR28" s="56">
        <f>COUNTIFS(Parameters!$S:$S,$D$4,Parameters!$Q:$Q,DU28)</f>
        <v>0</v>
      </c>
      <c r="FU28" s="54">
        <f>COUNTIFS(Parameters!$S:$S,$D$4,Parameters!$Q:$Q,DX28)</f>
        <v>0</v>
      </c>
      <c r="FV28" s="55">
        <f>COUNTIFS(Parameters!$S:$S,$D$4,Parameters!$Q:$Q,DY28)</f>
        <v>0</v>
      </c>
      <c r="FW28" s="55">
        <f>COUNTIFS(Parameters!$S:$S,$D$4,Parameters!$Q:$Q,DZ28)</f>
        <v>0</v>
      </c>
      <c r="FX28" s="55">
        <f>COUNTIFS(Parameters!$S:$S,$D$4,Parameters!$Q:$Q,EA28)</f>
        <v>0</v>
      </c>
      <c r="FY28" s="55">
        <f>COUNTIFS(Parameters!$S:$S,$D$4,Parameters!$Q:$Q,EB28)</f>
        <v>0</v>
      </c>
      <c r="FZ28" s="55">
        <f>COUNTIFS(Parameters!$S:$S,$D$4,Parameters!$Q:$Q,EC28)</f>
        <v>0</v>
      </c>
      <c r="GA28" s="55">
        <f>COUNTIFS(Parameters!$S:$S,$D$4,Parameters!$Q:$Q,ED28)</f>
        <v>0</v>
      </c>
      <c r="GB28" s="55">
        <f>COUNTIFS(Parameters!$S:$S,$D$4,Parameters!$Q:$Q,EE28)</f>
        <v>0</v>
      </c>
      <c r="GC28" s="55">
        <f>COUNTIFS(Parameters!$S:$S,$D$4,Parameters!$Q:$Q,EF28)</f>
        <v>0</v>
      </c>
      <c r="GD28" s="55">
        <f>COUNTIFS(Parameters!$S:$S,$D$4,Parameters!$Q:$Q,EG28)</f>
        <v>0</v>
      </c>
      <c r="GE28" s="55">
        <f>COUNTIFS(Parameters!$S:$S,$D$4,Parameters!$Q:$Q,EH28)</f>
        <v>1</v>
      </c>
      <c r="GF28" s="55">
        <f>COUNTIFS(Parameters!$S:$S,$D$4,Parameters!$Q:$Q,EI28)</f>
        <v>1</v>
      </c>
      <c r="GG28" s="55">
        <f>COUNTIFS(Parameters!$S:$S,$D$4,Parameters!$Q:$Q,EJ28)</f>
        <v>0</v>
      </c>
      <c r="GH28" s="56">
        <f>COUNTIFS(Parameters!$S:$S,$D$4,Parameters!$Q:$Q,EK28)</f>
        <v>0</v>
      </c>
      <c r="GK28" s="54">
        <f>COUNTIFS(Parameters!$S:$S,$D$4,Parameters!$Q:$Q,EN28)</f>
        <v>0</v>
      </c>
      <c r="GL28" s="55">
        <f>COUNTIFS(Parameters!$S:$S,$D$4,Parameters!$Q:$Q,EO28)</f>
        <v>0</v>
      </c>
      <c r="GM28" s="55">
        <f>COUNTIFS(Parameters!$S:$S,$D$4,Parameters!$Q:$Q,EP28)</f>
        <v>0</v>
      </c>
      <c r="GN28" s="55">
        <f>COUNTIFS(Parameters!$S:$S,$D$4,Parameters!$Q:$Q,EQ28)</f>
        <v>0</v>
      </c>
      <c r="GO28" s="55">
        <f>COUNTIFS(Parameters!$S:$S,$D$4,Parameters!$Q:$Q,ER28)</f>
        <v>0</v>
      </c>
      <c r="GP28" s="55">
        <f>COUNTIFS(Parameters!$S:$S,$D$4,Parameters!$Q:$Q,ES28)</f>
        <v>0</v>
      </c>
      <c r="GQ28" s="55">
        <f>COUNTIFS(Parameters!$S:$S,$D$4,Parameters!$Q:$Q,ET28)</f>
        <v>0</v>
      </c>
      <c r="GR28" s="55">
        <f>COUNTIFS(Parameters!$S:$S,$D$4,Parameters!$Q:$Q,EU28)</f>
        <v>0</v>
      </c>
      <c r="GS28" s="55">
        <f>COUNTIFS(Parameters!$S:$S,$D$4,Parameters!$Q:$Q,EV28)</f>
        <v>0</v>
      </c>
      <c r="GT28" s="55">
        <f>COUNTIFS(Parameters!$S:$S,$D$4,Parameters!$Q:$Q,EW28)</f>
        <v>0</v>
      </c>
      <c r="GU28" s="55">
        <f>COUNTIFS(Parameters!$S:$S,$D$4,Parameters!$Q:$Q,EX28)</f>
        <v>0</v>
      </c>
      <c r="GV28" s="55">
        <f>COUNTIFS(Parameters!$S:$S,$D$4,Parameters!$Q:$Q,EY28)</f>
        <v>0</v>
      </c>
      <c r="GW28" s="55">
        <f>COUNTIFS(Parameters!$S:$S,$D$4,Parameters!$Q:$Q,EZ28)</f>
        <v>0</v>
      </c>
      <c r="GX28" s="56">
        <f>COUNTIFS(Parameters!$S:$S,$D$4,Parameters!$Q:$Q,FA28)</f>
        <v>0</v>
      </c>
      <c r="HB28" s="54" t="str">
        <f>IF(DH28="","",COUNTIFS($D$25:$D$267,Parameters!$K$2,$E$25:$E$267,Parameters!$M$2,Calendrier!$C$25:$C$267,DH28)+ COUNTIFS($D$25:$D$267,Parameters!$K$3,$E$25:$E$267,Parameters!$M$2,Calendrier!$C$25:$C$267,DH28))</f>
        <v/>
      </c>
      <c r="HC28" s="55" t="str">
        <f>IF(DI28="","",COUNTIFS($D$25:$D$267,Parameters!$K$2,$E$25:$E$267,Parameters!$M$2,Calendrier!$C$25:$C$267,DI28)+ COUNTIFS($D$25:$D$267,Parameters!$K$4,$E$25:$E$267,Parameters!$M$2,Calendrier!$C$25:$C$267,DI28))</f>
        <v/>
      </c>
      <c r="HD28" s="55" t="str">
        <f>IF(DJ28="","",COUNTIFS($D$25:$D$267,Parameters!$K$2,$E$25:$E$267,Parameters!$M$2,Calendrier!$C$25:$C$267,DJ28)+ COUNTIFS($D$25:$D$267,Parameters!$K$3,$E$25:$E$267,Parameters!$M$2,Calendrier!$C$25:$C$267,DJ28))</f>
        <v/>
      </c>
      <c r="HE28" s="55" t="str">
        <f>IF(DK28="","",COUNTIFS($D$25:$D$267,Parameters!$K$2,$E$25:$E$267,Parameters!$M$2,Calendrier!$C$25:$C$267,DK28)+ COUNTIFS($D$25:$D$267,Parameters!$K$4,$E$25:$E$267,Parameters!$M$2,Calendrier!$C$25:$C$267,DK28))</f>
        <v/>
      </c>
      <c r="HF28" s="55">
        <f>IF(DL28="","",COUNTIFS($D$25:$D$267,Parameters!$K$2,$E$25:$E$267,Parameters!$M$2,Calendrier!$C$25:$C$267,DL28)+ COUNTIFS($D$25:$D$267,Parameters!$K$3,$E$25:$E$267,Parameters!$M$2,Calendrier!$C$25:$C$267,DL28))</f>
        <v>0</v>
      </c>
      <c r="HG28" s="55">
        <f>IF(DM28="","",COUNTIFS($D$25:$D$267,Parameters!$K$2,$E$25:$E$267,Parameters!$M$2,Calendrier!$C$25:$C$267,DM28)+ COUNTIFS($D$25:$D$267,Parameters!$K$4,$E$25:$E$267,Parameters!$M$2,Calendrier!$C$25:$C$267,DM28))</f>
        <v>0</v>
      </c>
      <c r="HH28" s="55">
        <f>IF(DN28="","",COUNTIFS($D$25:$D$267,Parameters!$K$2,$E$25:$E$267,Parameters!$M$2,Calendrier!$C$25:$C$267,DN28)+ COUNTIFS($D$25:$D$267,Parameters!$K$3,$E$25:$E$267,Parameters!$M$2,Calendrier!$C$25:$C$267,DN28))</f>
        <v>0</v>
      </c>
      <c r="HI28" s="55">
        <f>IF(DO28="","",COUNTIFS($D$25:$D$267,Parameters!$K$2,$E$25:$E$267,Parameters!$M$2,Calendrier!$C$25:$C$267,DO28)+ COUNTIFS($D$25:$D$267,Parameters!$K$4,$E$25:$E$267,Parameters!$M$2,Calendrier!$C$25:$C$267,DO28))</f>
        <v>0</v>
      </c>
      <c r="HJ28" s="55">
        <f>IF(DP28="","",COUNTIFS($D$25:$D$267,Parameters!$K$2,$E$25:$E$267,Parameters!$M$2,Calendrier!$C$25:$C$267,DP28)+ COUNTIFS($D$25:$D$267,Parameters!$K$3,$E$25:$E$267,Parameters!$M$2,Calendrier!$C$25:$C$267,DP28))</f>
        <v>0</v>
      </c>
      <c r="HK28" s="55">
        <f>IF(DQ28="","",COUNTIFS($D$25:$D$267,Parameters!$K$2,$E$25:$E$267,Parameters!$M$2,Calendrier!$C$25:$C$267,DQ28)+ COUNTIFS($D$25:$D$267,Parameters!$K$4,$E$25:$E$267,Parameters!$M$2,Calendrier!$C$25:$C$267,DQ28))</f>
        <v>0</v>
      </c>
      <c r="HL28" s="55">
        <f>IF(DR28="","",COUNTIFS($D$25:$D$267,Parameters!$K$2,$E$25:$E$267,Parameters!$M$2,Calendrier!$C$25:$C$267,DR28)+ COUNTIFS($D$25:$D$267,Parameters!$K$3,$E$25:$E$267,Parameters!$M$2,Calendrier!$C$25:$C$267,DR28))</f>
        <v>0</v>
      </c>
      <c r="HM28" s="55">
        <f>IF(DS28="","",COUNTIFS($D$25:$D$267,Parameters!$K$2,$E$25:$E$267,Parameters!$M$2,Calendrier!$C$25:$C$267,DS28)+ COUNTIFS($D$25:$D$267,Parameters!$K$4,$E$25:$E$267,Parameters!$M$2,Calendrier!$C$25:$C$267,DS28))</f>
        <v>0</v>
      </c>
      <c r="HN28" s="55">
        <f>IF(DT28="","",COUNTIFS($D$25:$D$267,Parameters!$K$2,$E$25:$E$267,Parameters!$M$2,Calendrier!$C$25:$C$267,DT28)+ COUNTIFS($D$25:$D$267,Parameters!$K$3,$E$25:$E$267,Parameters!$M$2,Calendrier!$C$25:$C$267,DT28))</f>
        <v>0</v>
      </c>
      <c r="HO28" s="56">
        <f>IF(DU28="","",COUNTIFS($D$25:$D$267,Parameters!$K$2,$E$25:$E$267,Parameters!$M$2,Calendrier!$C$25:$C$267,DU28)+ COUNTIFS($D$25:$D$267,Parameters!$K$4,$E$25:$E$267,Parameters!$M$2,Calendrier!$C$25:$C$267,DU28))</f>
        <v>0</v>
      </c>
      <c r="HR28" s="54" t="str">
        <f>IF(DX28="","",COUNTIFS($D$25:$D$267,Parameters!$K$2,$E$25:$E$267,Parameters!$M$2,Calendrier!$C$25:$C$267,DX28)+ COUNTIFS($D$25:$D$267,Parameters!$K$3,$E$25:$E$267,Parameters!$M$2,Calendrier!$C$25:$C$267,DX28))</f>
        <v/>
      </c>
      <c r="HS28" s="55" t="str">
        <f>IF(DY28="","",COUNTIFS($D$25:$D$267,Parameters!$K$2,$E$25:$E$267,Parameters!$M$2,Calendrier!$C$25:$C$267,DY28)+ COUNTIFS($D$25:$D$267,Parameters!$K$4,$E$25:$E$267,Parameters!$M$2,Calendrier!$C$25:$C$267,DY28))</f>
        <v/>
      </c>
      <c r="HT28" s="55" t="str">
        <f>IF(DZ28="","",COUNTIFS($D$25:$D$267,Parameters!$K$2,$E$25:$E$267,Parameters!$M$2,Calendrier!$C$25:$C$267,DZ28)+ COUNTIFS($D$25:$D$267,Parameters!$K$3,$E$25:$E$267,Parameters!$M$2,Calendrier!$C$25:$C$267,DZ28))</f>
        <v/>
      </c>
      <c r="HU28" s="55" t="str">
        <f>IF(EA28="","",COUNTIFS($D$25:$D$267,Parameters!$K$2,$E$25:$E$267,Parameters!$M$2,Calendrier!$C$25:$C$267,EA28)+ COUNTIFS($D$25:$D$267,Parameters!$K$4,$E$25:$E$267,Parameters!$M$2,Calendrier!$C$25:$C$267,EA28))</f>
        <v/>
      </c>
      <c r="HV28" s="55" t="str">
        <f>IF(EB28="","",COUNTIFS($D$25:$D$267,Parameters!$K$2,$E$25:$E$267,Parameters!$M$2,Calendrier!$C$25:$C$267,EB28)+ COUNTIFS($D$25:$D$267,Parameters!$K$3,$E$25:$E$267,Parameters!$M$2,Calendrier!$C$25:$C$267,EB28))</f>
        <v/>
      </c>
      <c r="HW28" s="55" t="str">
        <f>IF(EC28="","",COUNTIFS($D$25:$D$267,Parameters!$K$2,$E$25:$E$267,Parameters!$M$2,Calendrier!$C$25:$C$267,EC28)+ COUNTIFS($D$25:$D$267,Parameters!$K$4,$E$25:$E$267,Parameters!$M$2,Calendrier!$C$25:$C$267,EC28))</f>
        <v/>
      </c>
      <c r="HX28" s="55" t="str">
        <f>IF(ED28="","",COUNTIFS($D$25:$D$267,Parameters!$K$2,$E$25:$E$267,Parameters!$M$2,Calendrier!$C$25:$C$267,ED28)+ COUNTIFS($D$25:$D$267,Parameters!$K$3,$E$25:$E$267,Parameters!$M$2,Calendrier!$C$25:$C$267,ED28))</f>
        <v/>
      </c>
      <c r="HY28" s="55" t="str">
        <f>IF(EE28="","",COUNTIFS($D$25:$D$267,Parameters!$K$2,$E$25:$E$267,Parameters!$M$2,Calendrier!$C$25:$C$267,EE28)+ COUNTIFS($D$25:$D$267,Parameters!$K$4,$E$25:$E$267,Parameters!$M$2,Calendrier!$C$25:$C$267,EE28))</f>
        <v/>
      </c>
      <c r="HZ28" s="55" t="str">
        <f>IF(EF28="","",COUNTIFS($D$25:$D$267,Parameters!$K$2,$E$25:$E$267,Parameters!$M$2,Calendrier!$C$25:$C$267,EF28)+ COUNTIFS($D$25:$D$267,Parameters!$K$3,$E$25:$E$267,Parameters!$M$2,Calendrier!$C$25:$C$267,EF28))</f>
        <v/>
      </c>
      <c r="IA28" s="55" t="str">
        <f>IF(EG28="","",COUNTIFS($D$25:$D$267,Parameters!$K$2,$E$25:$E$267,Parameters!$M$2,Calendrier!$C$25:$C$267,EG28)+ COUNTIFS($D$25:$D$267,Parameters!$K$4,$E$25:$E$267,Parameters!$M$2,Calendrier!$C$25:$C$267,EG28))</f>
        <v/>
      </c>
      <c r="IB28" s="55">
        <f>IF(EH28="","",COUNTIFS($D$25:$D$267,Parameters!$K$2,$E$25:$E$267,Parameters!$M$2,Calendrier!$C$25:$C$267,EH28)+ COUNTIFS($D$25:$D$267,Parameters!$K$3,$E$25:$E$267,Parameters!$M$2,Calendrier!$C$25:$C$267,EH28))</f>
        <v>0</v>
      </c>
      <c r="IC28" s="55">
        <f>IF(EI28="","",COUNTIFS($D$25:$D$267,Parameters!$K$2,$E$25:$E$267,Parameters!$M$2,Calendrier!$C$25:$C$267,EI28)+ COUNTIFS($D$25:$D$267,Parameters!$K$4,$E$25:$E$267,Parameters!$M$2,Calendrier!$C$25:$C$267,EI28))</f>
        <v>0</v>
      </c>
      <c r="ID28" s="55">
        <f>IF(EJ28="","",COUNTIFS($D$25:$D$267,Parameters!$K$2,$E$25:$E$267,Parameters!$M$2,Calendrier!$C$25:$C$267,EJ28)+ COUNTIFS($D$25:$D$267,Parameters!$K$3,$E$25:$E$267,Parameters!$M$2,Calendrier!$C$25:$C$267,EJ28))</f>
        <v>0</v>
      </c>
      <c r="IE28" s="56">
        <f>IF(EK28="","",COUNTIFS($D$25:$D$267,Parameters!$K$2,$E$25:$E$267,Parameters!$M$2,Calendrier!$C$25:$C$267,EK28)+ COUNTIFS($D$25:$D$267,Parameters!$K$4,$E$25:$E$267,Parameters!$M$2,Calendrier!$C$25:$C$267,EK28))</f>
        <v>0</v>
      </c>
      <c r="IH28" s="54" t="str">
        <f>IF(EN28="","",COUNTIFS($D$25:$D$267,Parameters!$K$2,$E$25:$E$267,Parameters!$M$2,Calendrier!$C$25:$C$267,EN28)+ COUNTIFS($D$25:$D$267,Parameters!$K$3,$E$25:$E$267,Parameters!$M$2,Calendrier!$C$25:$C$267,EN28))</f>
        <v/>
      </c>
      <c r="II28" s="55" t="str">
        <f>IF(EO28="","",COUNTIFS($D$25:$D$267,Parameters!$K$2,$E$25:$E$267,Parameters!$M$2,Calendrier!$C$25:$C$267,EO28)+ COUNTIFS($D$25:$D$267,Parameters!$K$4,$E$25:$E$267,Parameters!$M$2,Calendrier!$C$25:$C$267,EO28))</f>
        <v/>
      </c>
      <c r="IJ28" s="55">
        <f>IF(EP28="","",COUNTIFS($D$25:$D$267,Parameters!$K$2,$E$25:$E$267,Parameters!$M$2,Calendrier!$C$25:$C$267,EP28)+ COUNTIFS($D$25:$D$267,Parameters!$K$3,$E$25:$E$267,Parameters!$M$2,Calendrier!$C$25:$C$267,EP28))</f>
        <v>0</v>
      </c>
      <c r="IK28" s="55">
        <f>IF(EQ28="","",COUNTIFS($D$25:$D$267,Parameters!$K$2,$E$25:$E$267,Parameters!$M$2,Calendrier!$C$25:$C$267,EQ28)+ COUNTIFS($D$25:$D$267,Parameters!$K$4,$E$25:$E$267,Parameters!$M$2,Calendrier!$C$25:$C$267,EQ28))</f>
        <v>0</v>
      </c>
      <c r="IL28" s="55">
        <f>IF(ER28="","",COUNTIFS($D$25:$D$267,Parameters!$K$2,$E$25:$E$267,Parameters!$M$2,Calendrier!$C$25:$C$267,ER28)+ COUNTIFS($D$25:$D$267,Parameters!$K$3,$E$25:$E$267,Parameters!$M$2,Calendrier!$C$25:$C$267,ER28))</f>
        <v>0</v>
      </c>
      <c r="IM28" s="55">
        <f>IF(ES28="","",COUNTIFS($D$25:$D$267,Parameters!$K$2,$E$25:$E$267,Parameters!$M$2,Calendrier!$C$25:$C$267,ES28)+ COUNTIFS($D$25:$D$267,Parameters!$K$4,$E$25:$E$267,Parameters!$M$2,Calendrier!$C$25:$C$267,ES28))</f>
        <v>0</v>
      </c>
      <c r="IN28" s="55">
        <f>IF(ET28="","",COUNTIFS($D$25:$D$267,Parameters!$K$2,$E$25:$E$267,Parameters!$M$2,Calendrier!$C$25:$C$267,ET28)+ COUNTIFS($D$25:$D$267,Parameters!$K$3,$E$25:$E$267,Parameters!$M$2,Calendrier!$C$25:$C$267,ET28))</f>
        <v>0</v>
      </c>
      <c r="IO28" s="55">
        <f>IF(EU28="","",COUNTIFS($D$25:$D$267,Parameters!$K$2,$E$25:$E$267,Parameters!$M$2,Calendrier!$C$25:$C$267,EU28)+ COUNTIFS($D$25:$D$267,Parameters!$K$4,$E$25:$E$267,Parameters!$M$2,Calendrier!$C$25:$C$267,EU28))</f>
        <v>0</v>
      </c>
      <c r="IP28" s="55">
        <f>IF(EV28="","",COUNTIFS($D$25:$D$267,Parameters!$K$2,$E$25:$E$267,Parameters!$M$2,Calendrier!$C$25:$C$267,EV28)+ COUNTIFS($D$25:$D$267,Parameters!$K$3,$E$25:$E$267,Parameters!$M$2,Calendrier!$C$25:$C$267,EV28))</f>
        <v>0</v>
      </c>
      <c r="IQ28" s="55">
        <f>IF(EW28="","",COUNTIFS($D$25:$D$267,Parameters!$K$2,$E$25:$E$267,Parameters!$M$2,Calendrier!$C$25:$C$267,EW28)+ COUNTIFS($D$25:$D$267,Parameters!$K$4,$E$25:$E$267,Parameters!$M$2,Calendrier!$C$25:$C$267,EW28))</f>
        <v>0</v>
      </c>
      <c r="IR28" s="55">
        <f>IF(EX28="","",COUNTIFS($D$25:$D$267,Parameters!$K$2,$E$25:$E$267,Parameters!$M$2,Calendrier!$C$25:$C$267,EX28)+ COUNTIFS($D$25:$D$267,Parameters!$K$3,$E$25:$E$267,Parameters!$M$2,Calendrier!$C$25:$C$267,EX28))</f>
        <v>0</v>
      </c>
      <c r="IS28" s="55">
        <f>IF(EY28="","",COUNTIFS($D$25:$D$267,Parameters!$K$2,$E$25:$E$267,Parameters!$M$2,Calendrier!$C$25:$C$267,EY28)+ COUNTIFS($D$25:$D$267,Parameters!$K$4,$E$25:$E$267,Parameters!$M$2,Calendrier!$C$25:$C$267,EY28))</f>
        <v>0</v>
      </c>
      <c r="IT28" s="55">
        <f>IF(EZ28="","",COUNTIFS($D$25:$D$267,Parameters!$K$2,$E$25:$E$267,Parameters!$M$2,Calendrier!$C$25:$C$267,EZ28)+ COUNTIFS($D$25:$D$267,Parameters!$K$3,$E$25:$E$267,Parameters!$M$2,Calendrier!$C$25:$C$267,EZ28))</f>
        <v>0</v>
      </c>
      <c r="IU28" s="56">
        <f>IF(FA28="","",COUNTIFS($D$25:$D$267,Parameters!$K$2,$E$25:$E$267,Parameters!$M$2,Calendrier!$C$25:$C$267,FA28)+ COUNTIFS($D$25:$D$267,Parameters!$K$4,$E$25:$E$267,Parameters!$M$2,Calendrier!$C$25:$C$267,FA28))</f>
        <v>0</v>
      </c>
      <c r="IY28" s="54" t="str">
        <f>IF(DH28="","",COUNTIFS($D$25:$D$267,Parameters!$K$2,$E$25:$E$267,Parameters!$M$3,Calendrier!$C$25:$C$267,DH28)+ COUNTIFS($D$25:$D$267,Parameters!$K$3,$E$25:$E$267,Parameters!$M$3,Calendrier!$C$25:$C$267,DH28))</f>
        <v/>
      </c>
      <c r="IZ28" s="55" t="str">
        <f>IF(DI28="","",COUNTIFS($D$25:$D$267,Parameters!$K$2,$E$25:$E$267,Parameters!$M$3,Calendrier!$C$25:$C$267,DI28)+ COUNTIFS($D$25:$D$267,Parameters!$K$4,$E$25:$E$267,Parameters!$M$3,Calendrier!$C$25:$C$267,DI28))</f>
        <v/>
      </c>
      <c r="JA28" s="55" t="str">
        <f>IF(DJ28="","",COUNTIFS($D$25:$D$267,Parameters!$K$2,$E$25:$E$267,Parameters!$M$3,Calendrier!$C$25:$C$267,DJ28)+ COUNTIFS($D$25:$D$267,Parameters!$K$3,$E$25:$E$267,Parameters!$M$3,Calendrier!$C$25:$C$267,DJ28))</f>
        <v/>
      </c>
      <c r="JB28" s="55" t="str">
        <f>IF(DK28="","",COUNTIFS($D$25:$D$267,Parameters!$K$2,$E$25:$E$267,Parameters!$M$3,Calendrier!$C$25:$C$267,DK28)+ COUNTIFS($D$25:$D$267,Parameters!$K$4,$E$25:$E$267,Parameters!$M$3,Calendrier!$C$25:$C$267,DK28))</f>
        <v/>
      </c>
      <c r="JC28" s="55">
        <f>IF(DL28="","",COUNTIFS($D$25:$D$267,Parameters!$K$2,$E$25:$E$267,Parameters!$M$3,Calendrier!$C$25:$C$267,DL28)+ COUNTIFS($D$25:$D$267,Parameters!$K$3,$E$25:$E$267,Parameters!$M$3,Calendrier!$C$25:$C$267,DL28))</f>
        <v>0</v>
      </c>
      <c r="JD28" s="55">
        <f>IF(DM28="","",COUNTIFS($D$25:$D$267,Parameters!$K$2,$E$25:$E$267,Parameters!$M$3,Calendrier!$C$25:$C$267,DM28)+ COUNTIFS($D$25:$D$267,Parameters!$K$4,$E$25:$E$267,Parameters!$M$3,Calendrier!$C$25:$C$267,DM28))</f>
        <v>0</v>
      </c>
      <c r="JE28" s="55">
        <f>IF(DN28="","",COUNTIFS($D$25:$D$267,Parameters!$K$2,$E$25:$E$267,Parameters!$M$3,Calendrier!$C$25:$C$267,DN28)+ COUNTIFS($D$25:$D$267,Parameters!$K$3,$E$25:$E$267,Parameters!$M$3,Calendrier!$C$25:$C$267,DN28))</f>
        <v>0</v>
      </c>
      <c r="JF28" s="55">
        <f>IF(DO28="","",COUNTIFS($D$25:$D$267,Parameters!$K$2,$E$25:$E$267,Parameters!$M$3,Calendrier!$C$25:$C$267,DO28)+ COUNTIFS($D$25:$D$267,Parameters!$K$4,$E$25:$E$267,Parameters!$M$3,Calendrier!$C$25:$C$267,DO28))</f>
        <v>0</v>
      </c>
      <c r="JG28" s="55">
        <f>IF(DP28="","",COUNTIFS($D$25:$D$267,Parameters!$K$2,$E$25:$E$267,Parameters!$M$3,Calendrier!$C$25:$C$267,DP28)+ COUNTIFS($D$25:$D$267,Parameters!$K$3,$E$25:$E$267,Parameters!$M$3,Calendrier!$C$25:$C$267,DP28))</f>
        <v>0</v>
      </c>
      <c r="JH28" s="55">
        <f>IF(DQ28="","",COUNTIFS($D$25:$D$267,Parameters!$K$2,$E$25:$E$267,Parameters!$M$3,Calendrier!$C$25:$C$267,DQ28)+ COUNTIFS($D$25:$D$267,Parameters!$K$4,$E$25:$E$267,Parameters!$M$3,Calendrier!$C$25:$C$267,DQ28))</f>
        <v>0</v>
      </c>
      <c r="JI28" s="55">
        <f>IF(DR28="","",COUNTIFS($D$25:$D$267,Parameters!$K$2,$E$25:$E$267,Parameters!$M$3,Calendrier!$C$25:$C$267,DR28)+ COUNTIFS($D$25:$D$267,Parameters!$K$3,$E$25:$E$267,Parameters!$M$3,Calendrier!$C$25:$C$267,DR28))</f>
        <v>0</v>
      </c>
      <c r="JJ28" s="55">
        <f>IF(DS28="","",COUNTIFS($D$25:$D$267,Parameters!$K$2,$E$25:$E$267,Parameters!$M$3,Calendrier!$C$25:$C$267,DS28)+ COUNTIFS($D$25:$D$267,Parameters!$K$4,$E$25:$E$267,Parameters!$M$3,Calendrier!$C$25:$C$267,DS28))</f>
        <v>0</v>
      </c>
      <c r="JK28" s="55">
        <f>IF(DT28="","",COUNTIFS($D$25:$D$267,Parameters!$K$2,$E$25:$E$267,Parameters!$M$3,Calendrier!$C$25:$C$267,DT28)+ COUNTIFS($D$25:$D$267,Parameters!$K$3,$E$25:$E$267,Parameters!$M$3,Calendrier!$C$25:$C$267,DT28))</f>
        <v>0</v>
      </c>
      <c r="JL28" s="56">
        <f>IF(DU28="","",COUNTIFS($D$25:$D$267,Parameters!$K$2,$E$25:$E$267,Parameters!$M$3,Calendrier!$C$25:$C$267,DU28)+ COUNTIFS($D$25:$D$267,Parameters!$K$4,$E$25:$E$267,Parameters!$M$3,Calendrier!$C$25:$C$267,DU28))</f>
        <v>0</v>
      </c>
      <c r="JO28" s="54" t="str">
        <f>IF(DX28="","",COUNTIFS($D$25:$D$267,Parameters!$K$2,$E$25:$E$267,Parameters!$M$3,Calendrier!$C$25:$C$267,DX28)+ COUNTIFS($D$25:$D$267,Parameters!$K$3,$E$25:$E$267,Parameters!$M$3,Calendrier!$C$25:$C$267,DX28))</f>
        <v/>
      </c>
      <c r="JP28" s="55" t="str">
        <f>IF(DY28="","",COUNTIFS($D$25:$D$267,Parameters!$K$2,$E$25:$E$267,Parameters!$M$3,Calendrier!$C$25:$C$267,DY28)+ COUNTIFS($D$25:$D$267,Parameters!$K$4,$E$25:$E$267,Parameters!$M$3,Calendrier!$C$25:$C$267,DY28))</f>
        <v/>
      </c>
      <c r="JQ28" s="55" t="str">
        <f>IF(DZ28="","",COUNTIFS($D$25:$D$267,Parameters!$K$2,$E$25:$E$267,Parameters!$M$3,Calendrier!$C$25:$C$267,DZ28)+ COUNTIFS($D$25:$D$267,Parameters!$K$3,$E$25:$E$267,Parameters!$M$3,Calendrier!$C$25:$C$267,DZ28))</f>
        <v/>
      </c>
      <c r="JR28" s="55" t="str">
        <f>IF(EA28="","",COUNTIFS($D$25:$D$267,Parameters!$K$2,$E$25:$E$267,Parameters!$M$3,Calendrier!$C$25:$C$267,EA28)+ COUNTIFS($D$25:$D$267,Parameters!$K$4,$E$25:$E$267,Parameters!$M$3,Calendrier!$C$25:$C$267,EA28))</f>
        <v/>
      </c>
      <c r="JS28" s="55" t="str">
        <f>IF(EB28="","",COUNTIFS($D$25:$D$267,Parameters!$K$2,$E$25:$E$267,Parameters!$M$3,Calendrier!$C$25:$C$267,EB28)+ COUNTIFS($D$25:$D$267,Parameters!$K$3,$E$25:$E$267,Parameters!$M$3,Calendrier!$C$25:$C$267,EB28))</f>
        <v/>
      </c>
      <c r="JT28" s="55" t="str">
        <f>IF(EC28="","",COUNTIFS($D$25:$D$267,Parameters!$K$2,$E$25:$E$267,Parameters!$M$3,Calendrier!$C$25:$C$267,EC28)+ COUNTIFS($D$25:$D$267,Parameters!$K$4,$E$25:$E$267,Parameters!$M$3,Calendrier!$C$25:$C$267,EC28))</f>
        <v/>
      </c>
      <c r="JU28" s="55" t="str">
        <f>IF(ED28="","",COUNTIFS($D$25:$D$267,Parameters!$K$2,$E$25:$E$267,Parameters!$M$3,Calendrier!$C$25:$C$267,ED28)+ COUNTIFS($D$25:$D$267,Parameters!$K$3,$E$25:$E$267,Parameters!$M$3,Calendrier!$C$25:$C$267,ED28))</f>
        <v/>
      </c>
      <c r="JV28" s="55" t="str">
        <f>IF(EE28="","",COUNTIFS($D$25:$D$267,Parameters!$K$2,$E$25:$E$267,Parameters!$M$3,Calendrier!$C$25:$C$267,EE28)+ COUNTIFS($D$25:$D$267,Parameters!$K$4,$E$25:$E$267,Parameters!$M$3,Calendrier!$C$25:$C$267,EE28))</f>
        <v/>
      </c>
      <c r="JW28" s="55" t="str">
        <f>IF(EF28="","",COUNTIFS($D$25:$D$267,Parameters!$K$2,$E$25:$E$267,Parameters!$M$3,Calendrier!$C$25:$C$267,EF28)+ COUNTIFS($D$25:$D$267,Parameters!$K$3,$E$25:$E$267,Parameters!$M$3,Calendrier!$C$25:$C$267,EF28))</f>
        <v/>
      </c>
      <c r="JX28" s="55" t="str">
        <f>IF(EG28="","",COUNTIFS($D$25:$D$267,Parameters!$K$2,$E$25:$E$267,Parameters!$M$3,Calendrier!$C$25:$C$267,EG28)+ COUNTIFS($D$25:$D$267,Parameters!$K$4,$E$25:$E$267,Parameters!$M$3,Calendrier!$C$25:$C$267,EG28))</f>
        <v/>
      </c>
      <c r="JY28" s="55">
        <f>IF(EH28="","",COUNTIFS($D$25:$D$267,Parameters!$K$2,$E$25:$E$267,Parameters!$M$3,Calendrier!$C$25:$C$267,EH28)+ COUNTIFS($D$25:$D$267,Parameters!$K$3,$E$25:$E$267,Parameters!$M$3,Calendrier!$C$25:$C$267,EH28))</f>
        <v>0</v>
      </c>
      <c r="JZ28" s="55">
        <f>IF(EI28="","",COUNTIFS($D$25:$D$267,Parameters!$K$2,$E$25:$E$267,Parameters!$M$3,Calendrier!$C$25:$C$267,EI28)+ COUNTIFS($D$25:$D$267,Parameters!$K$4,$E$25:$E$267,Parameters!$M$3,Calendrier!$C$25:$C$267,EI28))</f>
        <v>0</v>
      </c>
      <c r="KA28" s="55">
        <f>IF(EJ28="","",COUNTIFS($D$25:$D$267,Parameters!$K$2,$E$25:$E$267,Parameters!$M$3,Calendrier!$C$25:$C$267,EJ28)+ COUNTIFS($D$25:$D$267,Parameters!$K$3,$E$25:$E$267,Parameters!$M$3,Calendrier!$C$25:$C$267,EJ28))</f>
        <v>0</v>
      </c>
      <c r="KB28" s="56">
        <f>IF(EK28="","",COUNTIFS($D$25:$D$267,Parameters!$K$2,$E$25:$E$267,Parameters!$M$3,Calendrier!$C$25:$C$267,EK28)+ COUNTIFS($D$25:$D$267,Parameters!$K$4,$E$25:$E$267,Parameters!$M$3,Calendrier!$C$25:$C$267,EK28))</f>
        <v>0</v>
      </c>
      <c r="KE28" s="54" t="str">
        <f>IF(EN28="","",COUNTIFS($D$25:$D$267,Parameters!$K$2,$E$25:$E$267,Parameters!$M$3,Calendrier!$C$25:$C$267,EN28)+ COUNTIFS($D$25:$D$267,Parameters!$K$3,$E$25:$E$267,Parameters!$M$3,Calendrier!$C$25:$C$267,EN28))</f>
        <v/>
      </c>
      <c r="KF28" s="55" t="str">
        <f>IF(EO28="","",COUNTIFS($D$25:$D$267,Parameters!$K$2,$E$25:$E$267,Parameters!$M$3,Calendrier!$C$25:$C$267,EO28)+ COUNTIFS($D$25:$D$267,Parameters!$K$4,$E$25:$E$267,Parameters!$M$3,Calendrier!$C$25:$C$267,EO28))</f>
        <v/>
      </c>
      <c r="KG28" s="55">
        <f>IF(EP28="","",COUNTIFS($D$25:$D$267,Parameters!$K$2,$E$25:$E$267,Parameters!$M$3,Calendrier!$C$25:$C$267,EP28)+ COUNTIFS($D$25:$D$267,Parameters!$K$3,$E$25:$E$267,Parameters!$M$3,Calendrier!$C$25:$C$267,EP28))</f>
        <v>0</v>
      </c>
      <c r="KH28" s="55">
        <f>IF(EQ28="","",COUNTIFS($D$25:$D$267,Parameters!$K$2,$E$25:$E$267,Parameters!$M$3,Calendrier!$C$25:$C$267,EQ28)+ COUNTIFS($D$25:$D$267,Parameters!$K$4,$E$25:$E$267,Parameters!$M$3,Calendrier!$C$25:$C$267,EQ28))</f>
        <v>0</v>
      </c>
      <c r="KI28" s="55">
        <f>IF(ER28="","",COUNTIFS($D$25:$D$267,Parameters!$K$2,$E$25:$E$267,Parameters!$M$3,Calendrier!$C$25:$C$267,ER28)+ COUNTIFS($D$25:$D$267,Parameters!$K$3,$E$25:$E$267,Parameters!$M$3,Calendrier!$C$25:$C$267,ER28))</f>
        <v>0</v>
      </c>
      <c r="KJ28" s="55">
        <f>IF(ES28="","",COUNTIFS($D$25:$D$267,Parameters!$K$2,$E$25:$E$267,Parameters!$M$3,Calendrier!$C$25:$C$267,ES28)+ COUNTIFS($D$25:$D$267,Parameters!$K$4,$E$25:$E$267,Parameters!$M$3,Calendrier!$C$25:$C$267,ES28))</f>
        <v>0</v>
      </c>
      <c r="KK28" s="55">
        <f>IF(ET28="","",COUNTIFS($D$25:$D$267,Parameters!$K$2,$E$25:$E$267,Parameters!$M$3,Calendrier!$C$25:$C$267,ET28)+ COUNTIFS($D$25:$D$267,Parameters!$K$3,$E$25:$E$267,Parameters!$M$3,Calendrier!$C$25:$C$267,ET28))</f>
        <v>0</v>
      </c>
      <c r="KL28" s="55">
        <f>IF(EU28="","",COUNTIFS($D$25:$D$267,Parameters!$K$2,$E$25:$E$267,Parameters!$M$3,Calendrier!$C$25:$C$267,EU28)+ COUNTIFS($D$25:$D$267,Parameters!$K$4,$E$25:$E$267,Parameters!$M$3,Calendrier!$C$25:$C$267,EU28))</f>
        <v>0</v>
      </c>
      <c r="KM28" s="55">
        <f>IF(EV28="","",COUNTIFS($D$25:$D$267,Parameters!$K$2,$E$25:$E$267,Parameters!$M$3,Calendrier!$C$25:$C$267,EV28)+ COUNTIFS($D$25:$D$267,Parameters!$K$3,$E$25:$E$267,Parameters!$M$3,Calendrier!$C$25:$C$267,EV28))</f>
        <v>0</v>
      </c>
      <c r="KN28" s="55">
        <f>IF(EW28="","",COUNTIFS($D$25:$D$267,Parameters!$K$2,$E$25:$E$267,Parameters!$M$3,Calendrier!$C$25:$C$267,EW28)+ COUNTIFS($D$25:$D$267,Parameters!$K$4,$E$25:$E$267,Parameters!$M$3,Calendrier!$C$25:$C$267,EW28))</f>
        <v>0</v>
      </c>
      <c r="KO28" s="55">
        <f>IF(EX28="","",COUNTIFS($D$25:$D$267,Parameters!$K$2,$E$25:$E$267,Parameters!$M$3,Calendrier!$C$25:$C$267,EX28)+ COUNTIFS($D$25:$D$267,Parameters!$K$3,$E$25:$E$267,Parameters!$M$3,Calendrier!$C$25:$C$267,EX28))</f>
        <v>0</v>
      </c>
      <c r="KP28" s="55">
        <f>IF(EY28="","",COUNTIFS($D$25:$D$267,Parameters!$K$2,$E$25:$E$267,Parameters!$M$3,Calendrier!$C$25:$C$267,EY28)+ COUNTIFS($D$25:$D$267,Parameters!$K$4,$E$25:$E$267,Parameters!$M$3,Calendrier!$C$25:$C$267,EY28))</f>
        <v>0</v>
      </c>
      <c r="KQ28" s="55">
        <f>IF(EZ28="","",COUNTIFS($D$25:$D$267,Parameters!$K$2,$E$25:$E$267,Parameters!$M$3,Calendrier!$C$25:$C$267,EZ28)+ COUNTIFS($D$25:$D$267,Parameters!$K$3,$E$25:$E$267,Parameters!$M$3,Calendrier!$C$25:$C$267,EZ28))</f>
        <v>0</v>
      </c>
      <c r="KR28" s="56">
        <f>IF(FA28="","",COUNTIFS($D$25:$D$267,Parameters!$K$2,$E$25:$E$267,Parameters!$M$3,Calendrier!$C$25:$C$267,FA28)+ COUNTIFS($D$25:$D$267,Parameters!$K$4,$E$25:$E$267,Parameters!$M$3,Calendrier!$C$25:$C$267,FA28))</f>
        <v>0</v>
      </c>
      <c r="KV28" s="54" t="str">
        <f>IF(DH28="","",COUNTIFS($D$25:$D$267,Parameters!$K$2,$E$25:$E$267,Parameters!$M$4,Calendrier!$C$25:$C$267,DH28)+ COUNTIFS($D$25:$D$267,Parameters!$K$3,$E$25:$E$267,Parameters!$M$4,Calendrier!$C$25:$C$267,DH28))</f>
        <v/>
      </c>
      <c r="KW28" s="55" t="str">
        <f>IF(DI28="","",COUNTIFS($D$25:$D$267,Parameters!$K$2,$E$25:$E$267,Parameters!$M$4,Calendrier!$C$25:$C$267,DI28)+ COUNTIFS($D$25:$D$267,Parameters!$K$4,$E$25:$E$267,Parameters!$M$4,Calendrier!$C$25:$C$267,DI28))</f>
        <v/>
      </c>
      <c r="KX28" s="55" t="str">
        <f>IF(DJ28="","",COUNTIFS($D$25:$D$267,Parameters!$K$2,$E$25:$E$267,Parameters!$M$4,Calendrier!$C$25:$C$267,DJ28)+ COUNTIFS($D$25:$D$267,Parameters!$K$3,$E$25:$E$267,Parameters!$M$4,Calendrier!$C$25:$C$267,DJ28))</f>
        <v/>
      </c>
      <c r="KY28" s="55" t="str">
        <f>IF(DK28="","",COUNTIFS($D$25:$D$267,Parameters!$K$2,$E$25:$E$267,Parameters!$M$4,Calendrier!$C$25:$C$267,DK28)+ COUNTIFS($D$25:$D$267,Parameters!$K$4,$E$25:$E$267,Parameters!$M$4,Calendrier!$C$25:$C$267,DK28))</f>
        <v/>
      </c>
      <c r="KZ28" s="55">
        <f>IF(DL28="","",COUNTIFS($D$25:$D$267,Parameters!$K$2,$E$25:$E$267,Parameters!$M$4,Calendrier!$C$25:$C$267,DL28)+ COUNTIFS($D$25:$D$267,Parameters!$K$3,$E$25:$E$267,Parameters!$M$4,Calendrier!$C$25:$C$267,DL28))</f>
        <v>0</v>
      </c>
      <c r="LA28" s="55">
        <f>IF(DM28="","",COUNTIFS($D$25:$D$267,Parameters!$K$2,$E$25:$E$267,Parameters!$M$4,Calendrier!$C$25:$C$267,DM28)+ COUNTIFS($D$25:$D$267,Parameters!$K$4,$E$25:$E$267,Parameters!$M$4,Calendrier!$C$25:$C$267,DM28))</f>
        <v>0</v>
      </c>
      <c r="LB28" s="55">
        <f>IF(DN28="","",COUNTIFS($D$25:$D$267,Parameters!$K$2,$E$25:$E$267,Parameters!$M$4,Calendrier!$C$25:$C$267,DN28)+ COUNTIFS($D$25:$D$267,Parameters!$K$3,$E$25:$E$267,Parameters!$M$4,Calendrier!$C$25:$C$267,DN28))</f>
        <v>0</v>
      </c>
      <c r="LC28" s="55">
        <f>IF(DO28="","",COUNTIFS($D$25:$D$267,Parameters!$K$2,$E$25:$E$267,Parameters!$M$4,Calendrier!$C$25:$C$267,DO28)+ COUNTIFS($D$25:$D$267,Parameters!$K$4,$E$25:$E$267,Parameters!$M$4,Calendrier!$C$25:$C$267,DO28))</f>
        <v>0</v>
      </c>
      <c r="LD28" s="55">
        <f>IF(DP28="","",COUNTIFS($D$25:$D$267,Parameters!$K$2,$E$25:$E$267,Parameters!$M$4,Calendrier!$C$25:$C$267,DP28)+ COUNTIFS($D$25:$D$267,Parameters!$K$3,$E$25:$E$267,Parameters!$M$4,Calendrier!$C$25:$C$267,DP28))</f>
        <v>0</v>
      </c>
      <c r="LE28" s="55">
        <f>IF(DQ28="","",COUNTIFS($D$25:$D$267,Parameters!$K$2,$E$25:$E$267,Parameters!$M$4,Calendrier!$C$25:$C$267,DQ28)+ COUNTIFS($D$25:$D$267,Parameters!$K$4,$E$25:$E$267,Parameters!$M$4,Calendrier!$C$25:$C$267,DQ28))</f>
        <v>0</v>
      </c>
      <c r="LF28" s="55">
        <f>IF(DR28="","",COUNTIFS($D$25:$D$267,Parameters!$K$2,$E$25:$E$267,Parameters!$M$4,Calendrier!$C$25:$C$267,DR28)+ COUNTIFS($D$25:$D$267,Parameters!$K$3,$E$25:$E$267,Parameters!$M$4,Calendrier!$C$25:$C$267,DR28))</f>
        <v>0</v>
      </c>
      <c r="LG28" s="55">
        <f>IF(DS28="","",COUNTIFS($D$25:$D$267,Parameters!$K$2,$E$25:$E$267,Parameters!$M$4,Calendrier!$C$25:$C$267,DS28)+ COUNTIFS($D$25:$D$267,Parameters!$K$4,$E$25:$E$267,Parameters!$M$4,Calendrier!$C$25:$C$267,DS28))</f>
        <v>0</v>
      </c>
      <c r="LH28" s="55">
        <f>IF(DT28="","",COUNTIFS($D$25:$D$267,Parameters!$K$2,$E$25:$E$267,Parameters!$M$4,Calendrier!$C$25:$C$267,DT28)+ COUNTIFS($D$25:$D$267,Parameters!$K$3,$E$25:$E$267,Parameters!$M$4,Calendrier!$C$25:$C$267,DT28))</f>
        <v>0</v>
      </c>
      <c r="LI28" s="56">
        <f>IF(DU28="","",COUNTIFS($D$25:$D$267,Parameters!$K$2,$E$25:$E$267,Parameters!$M$4,Calendrier!$C$25:$C$267,DU28)+ COUNTIFS($D$25:$D$267,Parameters!$K$4,$E$25:$E$267,Parameters!$M$4,Calendrier!$C$25:$C$267,DU28))</f>
        <v>0</v>
      </c>
      <c r="LL28" s="54" t="str">
        <f>IF(DX28="","",COUNTIFS($D$25:$D$267,Parameters!$K$2,$E$25:$E$267,Parameters!$M$4,Calendrier!$C$25:$C$267,DX28)+ COUNTIFS($D$25:$D$267,Parameters!$K$3,$E$25:$E$267,Parameters!$M$4,Calendrier!$C$25:$C$267,DX28))</f>
        <v/>
      </c>
      <c r="LM28" s="55" t="str">
        <f>IF(DY28="","",COUNTIFS($D$25:$D$267,Parameters!$K$2,$E$25:$E$267,Parameters!$M$4,Calendrier!$C$25:$C$267,DY28)+ COUNTIFS($D$25:$D$267,Parameters!$K$4,$E$25:$E$267,Parameters!$M$4,Calendrier!$C$25:$C$267,DY28))</f>
        <v/>
      </c>
      <c r="LN28" s="55" t="str">
        <f>IF(DZ28="","",COUNTIFS($D$25:$D$267,Parameters!$K$2,$E$25:$E$267,Parameters!$M$4,Calendrier!$C$25:$C$267,DZ28)+ COUNTIFS($D$25:$D$267,Parameters!$K$3,$E$25:$E$267,Parameters!$M$4,Calendrier!$C$25:$C$267,DZ28))</f>
        <v/>
      </c>
      <c r="LO28" s="55" t="str">
        <f>IF(EA28="","",COUNTIFS($D$25:$D$267,Parameters!$K$2,$E$25:$E$267,Parameters!$M$4,Calendrier!$C$25:$C$267,EA28)+ COUNTIFS($D$25:$D$267,Parameters!$K$4,$E$25:$E$267,Parameters!$M$4,Calendrier!$C$25:$C$267,EA28))</f>
        <v/>
      </c>
      <c r="LP28" s="55" t="str">
        <f>IF(EB28="","",COUNTIFS($D$25:$D$267,Parameters!$K$2,$E$25:$E$267,Parameters!$M$4,Calendrier!$C$25:$C$267,EB28)+ COUNTIFS($D$25:$D$267,Parameters!$K$3,$E$25:$E$267,Parameters!$M$4,Calendrier!$C$25:$C$267,EB28))</f>
        <v/>
      </c>
      <c r="LQ28" s="55" t="str">
        <f>IF(EC28="","",COUNTIFS($D$25:$D$267,Parameters!$K$2,$E$25:$E$267,Parameters!$M$4,Calendrier!$C$25:$C$267,EC28)+ COUNTIFS($D$25:$D$267,Parameters!$K$4,$E$25:$E$267,Parameters!$M$4,Calendrier!$C$25:$C$267,EC28))</f>
        <v/>
      </c>
      <c r="LR28" s="55" t="str">
        <f>IF(ED28="","",COUNTIFS($D$25:$D$267,Parameters!$K$2,$E$25:$E$267,Parameters!$M$4,Calendrier!$C$25:$C$267,ED28)+ COUNTIFS($D$25:$D$267,Parameters!$K$3,$E$25:$E$267,Parameters!$M$4,Calendrier!$C$25:$C$267,ED28))</f>
        <v/>
      </c>
      <c r="LS28" s="55" t="str">
        <f>IF(EE28="","",COUNTIFS($D$25:$D$267,Parameters!$K$2,$E$25:$E$267,Parameters!$M$4,Calendrier!$C$25:$C$267,EE28)+ COUNTIFS($D$25:$D$267,Parameters!$K$4,$E$25:$E$267,Parameters!$M$4,Calendrier!$C$25:$C$267,EE28))</f>
        <v/>
      </c>
      <c r="LT28" s="55" t="str">
        <f>IF(EF28="","",COUNTIFS($D$25:$D$267,Parameters!$K$2,$E$25:$E$267,Parameters!$M$4,Calendrier!$C$25:$C$267,EF28)+ COUNTIFS($D$25:$D$267,Parameters!$K$3,$E$25:$E$267,Parameters!$M$4,Calendrier!$C$25:$C$267,EF28))</f>
        <v/>
      </c>
      <c r="LU28" s="55" t="str">
        <f>IF(EG28="","",COUNTIFS($D$25:$D$267,Parameters!$K$2,$E$25:$E$267,Parameters!$M$4,Calendrier!$C$25:$C$267,EG28)+ COUNTIFS($D$25:$D$267,Parameters!$K$4,$E$25:$E$267,Parameters!$M$4,Calendrier!$C$25:$C$267,EG28))</f>
        <v/>
      </c>
      <c r="LV28" s="55">
        <f>IF(EH28="","",COUNTIFS($D$25:$D$267,Parameters!$K$2,$E$25:$E$267,Parameters!$M$4,Calendrier!$C$25:$C$267,EH28)+ COUNTIFS($D$25:$D$267,Parameters!$K$3,$E$25:$E$267,Parameters!$M$4,Calendrier!$C$25:$C$267,EH28))</f>
        <v>0</v>
      </c>
      <c r="LW28" s="55">
        <f>IF(EI28="","",COUNTIFS($D$25:$D$267,Parameters!$K$2,$E$25:$E$267,Parameters!$M$4,Calendrier!$C$25:$C$267,EI28)+ COUNTIFS($D$25:$D$267,Parameters!$K$4,$E$25:$E$267,Parameters!$M$4,Calendrier!$C$25:$C$267,EI28))</f>
        <v>0</v>
      </c>
      <c r="LX28" s="55">
        <f>IF(EJ28="","",COUNTIFS($D$25:$D$267,Parameters!$K$2,$E$25:$E$267,Parameters!$M$4,Calendrier!$C$25:$C$267,EJ28)+ COUNTIFS($D$25:$D$267,Parameters!$K$3,$E$25:$E$267,Parameters!$M$4,Calendrier!$C$25:$C$267,EJ28))</f>
        <v>0</v>
      </c>
      <c r="LY28" s="56">
        <f>IF(EK28="","",COUNTIFS($D$25:$D$267,Parameters!$K$2,$E$25:$E$267,Parameters!$M$4,Calendrier!$C$25:$C$267,EK28)+ COUNTIFS($D$25:$D$267,Parameters!$K$4,$E$25:$E$267,Parameters!$M$4,Calendrier!$C$25:$C$267,EK28))</f>
        <v>0</v>
      </c>
      <c r="MB28" s="54" t="str">
        <f>IF(EN28="","",COUNTIFS($D$25:$D$267,Parameters!$K$2,$E$25:$E$267,Parameters!$M$4,Calendrier!$C$25:$C$267,EN28)+ COUNTIFS($D$25:$D$267,Parameters!$K$3,$E$25:$E$267,Parameters!$M$4,Calendrier!$C$25:$C$267,EN28))</f>
        <v/>
      </c>
      <c r="MC28" s="55" t="str">
        <f>IF(EO28="","",COUNTIFS($D$25:$D$267,Parameters!$K$2,$E$25:$E$267,Parameters!$M$4,Calendrier!$C$25:$C$267,EO28)+ COUNTIFS($D$25:$D$267,Parameters!$K$4,$E$25:$E$267,Parameters!$M$4,Calendrier!$C$25:$C$267,EO28))</f>
        <v/>
      </c>
      <c r="MD28" s="55">
        <f>IF(EP28="","",COUNTIFS($D$25:$D$267,Parameters!$K$2,$E$25:$E$267,Parameters!$M$4,Calendrier!$C$25:$C$267,EP28)+ COUNTIFS($D$25:$D$267,Parameters!$K$3,$E$25:$E$267,Parameters!$M$4,Calendrier!$C$25:$C$267,EP28))</f>
        <v>0</v>
      </c>
      <c r="ME28" s="55">
        <f>IF(EQ28="","",COUNTIFS($D$25:$D$267,Parameters!$K$2,$E$25:$E$267,Parameters!$M$4,Calendrier!$C$25:$C$267,EQ28)+ COUNTIFS($D$25:$D$267,Parameters!$K$4,$E$25:$E$267,Parameters!$M$4,Calendrier!$C$25:$C$267,EQ28))</f>
        <v>0</v>
      </c>
      <c r="MF28" s="55">
        <f>IF(ER28="","",COUNTIFS($D$25:$D$267,Parameters!$K$2,$E$25:$E$267,Parameters!$M$4,Calendrier!$C$25:$C$267,ER28)+ COUNTIFS($D$25:$D$267,Parameters!$K$3,$E$25:$E$267,Parameters!$M$4,Calendrier!$C$25:$C$267,ER28))</f>
        <v>0</v>
      </c>
      <c r="MG28" s="55">
        <f>IF(ES28="","",COUNTIFS($D$25:$D$267,Parameters!$K$2,$E$25:$E$267,Parameters!$M$4,Calendrier!$C$25:$C$267,ES28)+ COUNTIFS($D$25:$D$267,Parameters!$K$4,$E$25:$E$267,Parameters!$M$4,Calendrier!$C$25:$C$267,ES28))</f>
        <v>0</v>
      </c>
      <c r="MH28" s="55">
        <f>IF(ET28="","",COUNTIFS($D$25:$D$267,Parameters!$K$2,$E$25:$E$267,Parameters!$M$4,Calendrier!$C$25:$C$267,ET28)+ COUNTIFS($D$25:$D$267,Parameters!$K$3,$E$25:$E$267,Parameters!$M$4,Calendrier!$C$25:$C$267,ET28))</f>
        <v>0</v>
      </c>
      <c r="MI28" s="55">
        <f>IF(EU28="","",COUNTIFS($D$25:$D$267,Parameters!$K$2,$E$25:$E$267,Parameters!$M$4,Calendrier!$C$25:$C$267,EU28)+ COUNTIFS($D$25:$D$267,Parameters!$K$4,$E$25:$E$267,Parameters!$M$4,Calendrier!$C$25:$C$267,EU28))</f>
        <v>0</v>
      </c>
      <c r="MJ28" s="55">
        <f>IF(EV28="","",COUNTIFS($D$25:$D$267,Parameters!$K$2,$E$25:$E$267,Parameters!$M$4,Calendrier!$C$25:$C$267,EV28)+ COUNTIFS($D$25:$D$267,Parameters!$K$3,$E$25:$E$267,Parameters!$M$4,Calendrier!$C$25:$C$267,EV28))</f>
        <v>0</v>
      </c>
      <c r="MK28" s="55">
        <f>IF(EW28="","",COUNTIFS($D$25:$D$267,Parameters!$K$2,$E$25:$E$267,Parameters!$M$4,Calendrier!$C$25:$C$267,EW28)+ COUNTIFS($D$25:$D$267,Parameters!$K$4,$E$25:$E$267,Parameters!$M$4,Calendrier!$C$25:$C$267,EW28))</f>
        <v>0</v>
      </c>
      <c r="ML28" s="55">
        <f>IF(EX28="","",COUNTIFS($D$25:$D$267,Parameters!$K$2,$E$25:$E$267,Parameters!$M$4,Calendrier!$C$25:$C$267,EX28)+ COUNTIFS($D$25:$D$267,Parameters!$K$3,$E$25:$E$267,Parameters!$M$4,Calendrier!$C$25:$C$267,EX28))</f>
        <v>0</v>
      </c>
      <c r="MM28" s="55">
        <f>IF(EY28="","",COUNTIFS($D$25:$D$267,Parameters!$K$2,$E$25:$E$267,Parameters!$M$4,Calendrier!$C$25:$C$267,EY28)+ COUNTIFS($D$25:$D$267,Parameters!$K$4,$E$25:$E$267,Parameters!$M$4,Calendrier!$C$25:$C$267,EY28))</f>
        <v>0</v>
      </c>
      <c r="MN28" s="55">
        <f>IF(EZ28="","",COUNTIFS($D$25:$D$267,Parameters!$K$2,$E$25:$E$267,Parameters!$M$4,Calendrier!$C$25:$C$267,EZ28)+ COUNTIFS($D$25:$D$267,Parameters!$K$3,$E$25:$E$267,Parameters!$M$4,Calendrier!$C$25:$C$267,EZ28))</f>
        <v>0</v>
      </c>
      <c r="MO28" s="56">
        <f>IF(FA28="","",COUNTIFS($D$25:$D$267,Parameters!$K$2,$E$25:$E$267,Parameters!$M$4,Calendrier!$C$25:$C$267,FA28)+ COUNTIFS($D$25:$D$267,Parameters!$K$4,$E$25:$E$267,Parameters!$M$4,Calendrier!$C$25:$C$267,FA28))</f>
        <v>0</v>
      </c>
      <c r="MS28" s="54" t="str">
        <f>IF(DH28="","",COUNTIFS($D$25:$D$267,Parameters!$K$2,$E$25:$E$267,Parameters!$M$5,Calendrier!$C$25:$C$267,DH28)+ COUNTIFS($D$25:$D$267,Parameters!$K$3,$E$25:$E$267,Parameters!$M$5,Calendrier!$C$25:$C$267,DH28))</f>
        <v/>
      </c>
      <c r="MT28" s="55" t="str">
        <f>IF(DI28="","",COUNTIFS($D$25:$D$267,Parameters!$K$2,$E$25:$E$267,Parameters!$M$5,Calendrier!$C$25:$C$267,DI28)+ COUNTIFS($D$25:$D$267,Parameters!$K$4,$E$25:$E$267,Parameters!$M$5,Calendrier!$C$25:$C$267,DI28))</f>
        <v/>
      </c>
      <c r="MU28" s="55" t="str">
        <f>IF(DJ28="","",COUNTIFS($D$25:$D$267,Parameters!$K$2,$E$25:$E$267,Parameters!$M$5,Calendrier!$C$25:$C$267,DJ28)+ COUNTIFS($D$25:$D$267,Parameters!$K$3,$E$25:$E$267,Parameters!$M$5,Calendrier!$C$25:$C$267,DJ28))</f>
        <v/>
      </c>
      <c r="MV28" s="55" t="str">
        <f>IF(DK28="","",COUNTIFS($D$25:$D$267,Parameters!$K$2,$E$25:$E$267,Parameters!$M$5,Calendrier!$C$25:$C$267,DK28)+ COUNTIFS($D$25:$D$267,Parameters!$K$4,$E$25:$E$267,Parameters!$M$5,Calendrier!$C$25:$C$267,DK28))</f>
        <v/>
      </c>
      <c r="MW28" s="55">
        <f>IF(DL28="","",COUNTIFS($D$25:$D$267,Parameters!$K$2,$E$25:$E$267,Parameters!$M$5,Calendrier!$C$25:$C$267,DL28)+ COUNTIFS($D$25:$D$267,Parameters!$K$3,$E$25:$E$267,Parameters!$M$5,Calendrier!$C$25:$C$267,DL28))</f>
        <v>0</v>
      </c>
      <c r="MX28" s="55">
        <f>IF(DM28="","",COUNTIFS($D$25:$D$267,Parameters!$K$2,$E$25:$E$267,Parameters!$M$5,Calendrier!$C$25:$C$267,DM28)+ COUNTIFS($D$25:$D$267,Parameters!$K$4,$E$25:$E$267,Parameters!$M$5,Calendrier!$C$25:$C$267,DM28))</f>
        <v>0</v>
      </c>
      <c r="MY28" s="55">
        <f>IF(DN28="","",COUNTIFS($D$25:$D$267,Parameters!$K$2,$E$25:$E$267,Parameters!$M$5,Calendrier!$C$25:$C$267,DN28)+ COUNTIFS($D$25:$D$267,Parameters!$K$3,$E$25:$E$267,Parameters!$M$5,Calendrier!$C$25:$C$267,DN28))</f>
        <v>0</v>
      </c>
      <c r="MZ28" s="55">
        <f>IF(DO28="","",COUNTIFS($D$25:$D$267,Parameters!$K$2,$E$25:$E$267,Parameters!$M$5,Calendrier!$C$25:$C$267,DO28)+ COUNTIFS($D$25:$D$267,Parameters!$K$4,$E$25:$E$267,Parameters!$M$5,Calendrier!$C$25:$C$267,DO28))</f>
        <v>0</v>
      </c>
      <c r="NA28" s="55">
        <f>IF(DP28="","",COUNTIFS($D$25:$D$267,Parameters!$K$2,$E$25:$E$267,Parameters!$M$5,Calendrier!$C$25:$C$267,DP28)+ COUNTIFS($D$25:$D$267,Parameters!$K$3,$E$25:$E$267,Parameters!$M$5,Calendrier!$C$25:$C$267,DP28))</f>
        <v>0</v>
      </c>
      <c r="NB28" s="55">
        <f>IF(DQ28="","",COUNTIFS($D$25:$D$267,Parameters!$K$2,$E$25:$E$267,Parameters!$M$5,Calendrier!$C$25:$C$267,DQ28)+ COUNTIFS($D$25:$D$267,Parameters!$K$4,$E$25:$E$267,Parameters!$M$5,Calendrier!$C$25:$C$267,DQ28))</f>
        <v>0</v>
      </c>
      <c r="NC28" s="55">
        <f>IF(DR28="","",COUNTIFS($D$25:$D$267,Parameters!$K$2,$E$25:$E$267,Parameters!$M$5,Calendrier!$C$25:$C$267,DR28)+ COUNTIFS($D$25:$D$267,Parameters!$K$3,$E$25:$E$267,Parameters!$M$5,Calendrier!$C$25:$C$267,DR28))</f>
        <v>0</v>
      </c>
      <c r="ND28" s="55">
        <f>IF(DS28="","",COUNTIFS($D$25:$D$267,Parameters!$K$2,$E$25:$E$267,Parameters!$M$5,Calendrier!$C$25:$C$267,DS28)+ COUNTIFS($D$25:$D$267,Parameters!$K$4,$E$25:$E$267,Parameters!$M$5,Calendrier!$C$25:$C$267,DS28))</f>
        <v>0</v>
      </c>
      <c r="NE28" s="55">
        <f>IF(DT28="","",COUNTIFS($D$25:$D$267,Parameters!$K$2,$E$25:$E$267,Parameters!$M$5,Calendrier!$C$25:$C$267,DT28)+ COUNTIFS($D$25:$D$267,Parameters!$K$3,$E$25:$E$267,Parameters!$M$5,Calendrier!$C$25:$C$267,DT28))</f>
        <v>0</v>
      </c>
      <c r="NF28" s="56">
        <f>IF(DU28="","",COUNTIFS($D$25:$D$267,Parameters!$K$2,$E$25:$E$267,Parameters!$M$5,Calendrier!$C$25:$C$267,DU28)+ COUNTIFS($D$25:$D$267,Parameters!$K$4,$E$25:$E$267,Parameters!$M$5,Calendrier!$C$25:$C$267,DU28))</f>
        <v>0</v>
      </c>
      <c r="NI28" s="54" t="str">
        <f>IF(DX28="","",COUNTIFS($D$25:$D$267,Parameters!$K$2,$E$25:$E$267,Parameters!$M$5,Calendrier!$C$25:$C$267,DX28)+ COUNTIFS($D$25:$D$267,Parameters!$K$3,$E$25:$E$267,Parameters!$M$5,Calendrier!$C$25:$C$267,DX28))</f>
        <v/>
      </c>
      <c r="NJ28" s="55" t="str">
        <f>IF(DY28="","",COUNTIFS($D$25:$D$267,Parameters!$K$2,$E$25:$E$267,Parameters!$M$5,Calendrier!$C$25:$C$267,DY28)+ COUNTIFS($D$25:$D$267,Parameters!$K$4,$E$25:$E$267,Parameters!$M$5,Calendrier!$C$25:$C$267,DY28))</f>
        <v/>
      </c>
      <c r="NK28" s="55" t="str">
        <f>IF(DZ28="","",COUNTIFS($D$25:$D$267,Parameters!$K$2,$E$25:$E$267,Parameters!$M$5,Calendrier!$C$25:$C$267,DZ28)+ COUNTIFS($D$25:$D$267,Parameters!$K$3,$E$25:$E$267,Parameters!$M$5,Calendrier!$C$25:$C$267,DZ28))</f>
        <v/>
      </c>
      <c r="NL28" s="55" t="str">
        <f>IF(EA28="","",COUNTIFS($D$25:$D$267,Parameters!$K$2,$E$25:$E$267,Parameters!$M$5,Calendrier!$C$25:$C$267,EA28)+ COUNTIFS($D$25:$D$267,Parameters!$K$4,$E$25:$E$267,Parameters!$M$5,Calendrier!$C$25:$C$267,EA28))</f>
        <v/>
      </c>
      <c r="NM28" s="55" t="str">
        <f>IF(EB28="","",COUNTIFS($D$25:$D$267,Parameters!$K$2,$E$25:$E$267,Parameters!$M$5,Calendrier!$C$25:$C$267,EB28)+ COUNTIFS($D$25:$D$267,Parameters!$K$3,$E$25:$E$267,Parameters!$M$5,Calendrier!$C$25:$C$267,EB28))</f>
        <v/>
      </c>
      <c r="NN28" s="55" t="str">
        <f>IF(EC28="","",COUNTIFS($D$25:$D$267,Parameters!$K$2,$E$25:$E$267,Parameters!$M$5,Calendrier!$C$25:$C$267,EC28)+ COUNTIFS($D$25:$D$267,Parameters!$K$4,$E$25:$E$267,Parameters!$M$5,Calendrier!$C$25:$C$267,EC28))</f>
        <v/>
      </c>
      <c r="NO28" s="55" t="str">
        <f>IF(ED28="","",COUNTIFS($D$25:$D$267,Parameters!$K$2,$E$25:$E$267,Parameters!$M$5,Calendrier!$C$25:$C$267,ED28)+ COUNTIFS($D$25:$D$267,Parameters!$K$3,$E$25:$E$267,Parameters!$M$5,Calendrier!$C$25:$C$267,ED28))</f>
        <v/>
      </c>
      <c r="NP28" s="55" t="str">
        <f>IF(EE28="","",COUNTIFS($D$25:$D$267,Parameters!$K$2,$E$25:$E$267,Parameters!$M$5,Calendrier!$C$25:$C$267,EE28)+ COUNTIFS($D$25:$D$267,Parameters!$K$4,$E$25:$E$267,Parameters!$M$5,Calendrier!$C$25:$C$267,EE28))</f>
        <v/>
      </c>
      <c r="NQ28" s="55" t="str">
        <f>IF(EF28="","",COUNTIFS($D$25:$D$267,Parameters!$K$2,$E$25:$E$267,Parameters!$M$5,Calendrier!$C$25:$C$267,EF28)+ COUNTIFS($D$25:$D$267,Parameters!$K$3,$E$25:$E$267,Parameters!$M$5,Calendrier!$C$25:$C$267,EF28))</f>
        <v/>
      </c>
      <c r="NR28" s="55" t="str">
        <f>IF(EG28="","",COUNTIFS($D$25:$D$267,Parameters!$K$2,$E$25:$E$267,Parameters!$M$5,Calendrier!$C$25:$C$267,EG28)+ COUNTIFS($D$25:$D$267,Parameters!$K$4,$E$25:$E$267,Parameters!$M$5,Calendrier!$C$25:$C$267,EG28))</f>
        <v/>
      </c>
      <c r="NS28" s="55">
        <f>IF(EH28="","",COUNTIFS($D$25:$D$267,Parameters!$K$2,$E$25:$E$267,Parameters!$M$5,Calendrier!$C$25:$C$267,EH28)+ COUNTIFS($D$25:$D$267,Parameters!$K$3,$E$25:$E$267,Parameters!$M$5,Calendrier!$C$25:$C$267,EH28))</f>
        <v>0</v>
      </c>
      <c r="NT28" s="55">
        <f>IF(EI28="","",COUNTIFS($D$25:$D$267,Parameters!$K$2,$E$25:$E$267,Parameters!$M$5,Calendrier!$C$25:$C$267,EI28)+ COUNTIFS($D$25:$D$267,Parameters!$K$4,$E$25:$E$267,Parameters!$M$5,Calendrier!$C$25:$C$267,EI28))</f>
        <v>0</v>
      </c>
      <c r="NU28" s="55">
        <f>IF(EJ28="","",COUNTIFS($D$25:$D$267,Parameters!$K$2,$E$25:$E$267,Parameters!$M$5,Calendrier!$C$25:$C$267,EJ28)+ COUNTIFS($D$25:$D$267,Parameters!$K$3,$E$25:$E$267,Parameters!$M$5,Calendrier!$C$25:$C$267,EJ28))</f>
        <v>0</v>
      </c>
      <c r="NV28" s="56">
        <f>IF(EK28="","",COUNTIFS($D$25:$D$267,Parameters!$K$2,$E$25:$E$267,Parameters!$M$5,Calendrier!$C$25:$C$267,EK28)+ COUNTIFS($D$25:$D$267,Parameters!$K$4,$E$25:$E$267,Parameters!$M$5,Calendrier!$C$25:$C$267,EK28))</f>
        <v>0</v>
      </c>
      <c r="NY28" s="54" t="str">
        <f>IF(EN28="","",COUNTIFS($D$25:$D$267,Parameters!$K$2,$E$25:$E$267,Parameters!$M$5,Calendrier!$C$25:$C$267,EN28)+ COUNTIFS($D$25:$D$267,Parameters!$K$3,$E$25:$E$267,Parameters!$M$5,Calendrier!$C$25:$C$267,EN28))</f>
        <v/>
      </c>
      <c r="NZ28" s="55" t="str">
        <f>IF(EO28="","",COUNTIFS($D$25:$D$267,Parameters!$K$2,$E$25:$E$267,Parameters!$M$5,Calendrier!$C$25:$C$267,EO28)+ COUNTIFS($D$25:$D$267,Parameters!$K$4,$E$25:$E$267,Parameters!$M$5,Calendrier!$C$25:$C$267,EO28))</f>
        <v/>
      </c>
      <c r="OA28" s="55">
        <f>IF(EP28="","",COUNTIFS($D$25:$D$267,Parameters!$K$2,$E$25:$E$267,Parameters!$M$5,Calendrier!$C$25:$C$267,EP28)+ COUNTIFS($D$25:$D$267,Parameters!$K$3,$E$25:$E$267,Parameters!$M$5,Calendrier!$C$25:$C$267,EP28))</f>
        <v>0</v>
      </c>
      <c r="OB28" s="55">
        <f>IF(EQ28="","",COUNTIFS($D$25:$D$267,Parameters!$K$2,$E$25:$E$267,Parameters!$M$5,Calendrier!$C$25:$C$267,EQ28)+ COUNTIFS($D$25:$D$267,Parameters!$K$4,$E$25:$E$267,Parameters!$M$5,Calendrier!$C$25:$C$267,EQ28))</f>
        <v>0</v>
      </c>
      <c r="OC28" s="55">
        <f>IF(ER28="","",COUNTIFS($D$25:$D$267,Parameters!$K$2,$E$25:$E$267,Parameters!$M$5,Calendrier!$C$25:$C$267,ER28)+ COUNTIFS($D$25:$D$267,Parameters!$K$3,$E$25:$E$267,Parameters!$M$5,Calendrier!$C$25:$C$267,ER28))</f>
        <v>0</v>
      </c>
      <c r="OD28" s="55">
        <f>IF(ES28="","",COUNTIFS($D$25:$D$267,Parameters!$K$2,$E$25:$E$267,Parameters!$M$5,Calendrier!$C$25:$C$267,ES28)+ COUNTIFS($D$25:$D$267,Parameters!$K$4,$E$25:$E$267,Parameters!$M$5,Calendrier!$C$25:$C$267,ES28))</f>
        <v>0</v>
      </c>
      <c r="OE28" s="55">
        <f>IF(ET28="","",COUNTIFS($D$25:$D$267,Parameters!$K$2,$E$25:$E$267,Parameters!$M$5,Calendrier!$C$25:$C$267,ET28)+ COUNTIFS($D$25:$D$267,Parameters!$K$3,$E$25:$E$267,Parameters!$M$5,Calendrier!$C$25:$C$267,ET28))</f>
        <v>0</v>
      </c>
      <c r="OF28" s="55">
        <f>IF(EU28="","",COUNTIFS($D$25:$D$267,Parameters!$K$2,$E$25:$E$267,Parameters!$M$5,Calendrier!$C$25:$C$267,EU28)+ COUNTIFS($D$25:$D$267,Parameters!$K$4,$E$25:$E$267,Parameters!$M$5,Calendrier!$C$25:$C$267,EU28))</f>
        <v>0</v>
      </c>
      <c r="OG28" s="55">
        <f>IF(EV28="","",COUNTIFS($D$25:$D$267,Parameters!$K$2,$E$25:$E$267,Parameters!$M$5,Calendrier!$C$25:$C$267,EV28)+ COUNTIFS($D$25:$D$267,Parameters!$K$3,$E$25:$E$267,Parameters!$M$5,Calendrier!$C$25:$C$267,EV28))</f>
        <v>0</v>
      </c>
      <c r="OH28" s="55">
        <f>IF(EW28="","",COUNTIFS($D$25:$D$267,Parameters!$K$2,$E$25:$E$267,Parameters!$M$5,Calendrier!$C$25:$C$267,EW28)+ COUNTIFS($D$25:$D$267,Parameters!$K$4,$E$25:$E$267,Parameters!$M$5,Calendrier!$C$25:$C$267,EW28))</f>
        <v>0</v>
      </c>
      <c r="OI28" s="55">
        <f>IF(EX28="","",COUNTIFS($D$25:$D$267,Parameters!$K$2,$E$25:$E$267,Parameters!$M$5,Calendrier!$C$25:$C$267,EX28)+ COUNTIFS($D$25:$D$267,Parameters!$K$3,$E$25:$E$267,Parameters!$M$5,Calendrier!$C$25:$C$267,EX28))</f>
        <v>0</v>
      </c>
      <c r="OJ28" s="55">
        <f>IF(EY28="","",COUNTIFS($D$25:$D$267,Parameters!$K$2,$E$25:$E$267,Parameters!$M$5,Calendrier!$C$25:$C$267,EY28)+ COUNTIFS($D$25:$D$267,Parameters!$K$4,$E$25:$E$267,Parameters!$M$5,Calendrier!$C$25:$C$267,EY28))</f>
        <v>0</v>
      </c>
      <c r="OK28" s="55">
        <f>IF(EZ28="","",COUNTIFS($D$25:$D$267,Parameters!$K$2,$E$25:$E$267,Parameters!$M$5,Calendrier!$C$25:$C$267,EZ28)+ COUNTIFS($D$25:$D$267,Parameters!$K$3,$E$25:$E$267,Parameters!$M$5,Calendrier!$C$25:$C$267,EZ28))</f>
        <v>0</v>
      </c>
      <c r="OL28" s="56">
        <f>IF(FA28="","",COUNTIFS($D$25:$D$267,Parameters!$K$2,$E$25:$E$267,Parameters!$M$5,Calendrier!$C$25:$C$267,FA28)+ COUNTIFS($D$25:$D$267,Parameters!$K$4,$E$25:$E$267,Parameters!$M$5,Calendrier!$C$25:$C$267,FA28))</f>
        <v>0</v>
      </c>
      <c r="OP28" s="54" t="str">
        <f>IF(DH28="","",COUNTIFS(Parameters!$Y:$Y,$BF$4,Parameters!$X:$X,DH28))</f>
        <v/>
      </c>
      <c r="OQ28" s="55" t="str">
        <f>IF(DI28="","",COUNTIFS(Parameters!$Y:$Y,$BF$4,Parameters!$X:$X,DI28))</f>
        <v/>
      </c>
      <c r="OR28" s="55" t="str">
        <f>IF(DJ28="","",COUNTIFS(Parameters!$Y:$Y,$BF$4,Parameters!$X:$X,DJ28))</f>
        <v/>
      </c>
      <c r="OS28" s="55" t="str">
        <f>IF(DK28="","",COUNTIFS(Parameters!$Y:$Y,$BF$4,Parameters!$X:$X,DK28))</f>
        <v/>
      </c>
      <c r="OT28" s="55">
        <f>IF(DL28="","",COUNTIFS(Parameters!$Y:$Y,$BF$4,Parameters!$X:$X,DL28))</f>
        <v>1</v>
      </c>
      <c r="OU28" s="55">
        <f>IF(DM28="","",COUNTIFS(Parameters!$Y:$Y,$BF$4,Parameters!$X:$X,DM28))</f>
        <v>1</v>
      </c>
      <c r="OV28" s="55">
        <f>IF(DN28="","",COUNTIFS(Parameters!$Y:$Y,$BF$4,Parameters!$X:$X,DN28))</f>
        <v>1</v>
      </c>
      <c r="OW28" s="55">
        <f>IF(DO28="","",COUNTIFS(Parameters!$Y:$Y,$BF$4,Parameters!$X:$X,DO28))</f>
        <v>1</v>
      </c>
      <c r="OX28" s="55">
        <f>IF(DP28="","",COUNTIFS(Parameters!$Y:$Y,$BF$4,Parameters!$X:$X,DP28))</f>
        <v>1</v>
      </c>
      <c r="OY28" s="55">
        <f>IF(DQ28="","",COUNTIFS(Parameters!$Y:$Y,$BF$4,Parameters!$X:$X,DQ28))</f>
        <v>1</v>
      </c>
      <c r="OZ28" s="55">
        <f>IF(DR28="","",COUNTIFS(Parameters!$Y:$Y,$BF$4,Parameters!$X:$X,DR28))</f>
        <v>1</v>
      </c>
      <c r="PA28" s="55">
        <f>IF(DS28="","",COUNTIFS(Parameters!$Y:$Y,$BF$4,Parameters!$X:$X,DS28))</f>
        <v>1</v>
      </c>
      <c r="PB28" s="55">
        <f>IF(DT28="","",COUNTIFS(Parameters!$Y:$Y,$BF$4,Parameters!$X:$X,DT28))</f>
        <v>1</v>
      </c>
      <c r="PC28" s="56">
        <f>IF(DU28="","",COUNTIFS(Parameters!$Y:$Y,$BF$4,Parameters!$X:$X,DU28))</f>
        <v>1</v>
      </c>
      <c r="PF28" s="54" t="str">
        <f>IF(DX28="","",COUNTIFS(Parameters!$Y:$Y,$BF$4,Parameters!$X:$X,DX28))</f>
        <v/>
      </c>
      <c r="PG28" s="55" t="str">
        <f>IF(DY28="","",COUNTIFS(Parameters!$Y:$Y,$BF$4,Parameters!$X:$X,DY28))</f>
        <v/>
      </c>
      <c r="PH28" s="55" t="str">
        <f>IF(DZ28="","",COUNTIFS(Parameters!$Y:$Y,$BF$4,Parameters!$X:$X,DZ28))</f>
        <v/>
      </c>
      <c r="PI28" s="55" t="str">
        <f>IF(EA28="","",COUNTIFS(Parameters!$Y:$Y,$BF$4,Parameters!$X:$X,EA28))</f>
        <v/>
      </c>
      <c r="PJ28" s="55" t="str">
        <f>IF(EB28="","",COUNTIFS(Parameters!$Y:$Y,$BF$4,Parameters!$X:$X,EB28))</f>
        <v/>
      </c>
      <c r="PK28" s="55" t="str">
        <f>IF(EC28="","",COUNTIFS(Parameters!$Y:$Y,$BF$4,Parameters!$X:$X,EC28))</f>
        <v/>
      </c>
      <c r="PL28" s="55" t="str">
        <f>IF(ED28="","",COUNTIFS(Parameters!$Y:$Y,$BF$4,Parameters!$X:$X,ED28))</f>
        <v/>
      </c>
      <c r="PM28" s="55" t="str">
        <f>IF(EE28="","",COUNTIFS(Parameters!$Y:$Y,$BF$4,Parameters!$X:$X,EE28))</f>
        <v/>
      </c>
      <c r="PN28" s="55" t="str">
        <f>IF(EF28="","",COUNTIFS(Parameters!$Y:$Y,$BF$4,Parameters!$X:$X,EF28))</f>
        <v/>
      </c>
      <c r="PO28" s="55" t="str">
        <f>IF(EG28="","",COUNTIFS(Parameters!$Y:$Y,$BF$4,Parameters!$X:$X,EG28))</f>
        <v/>
      </c>
      <c r="PP28" s="55">
        <f>IF(EH28="","",COUNTIFS(Parameters!$Y:$Y,$BF$4,Parameters!$X:$X,EH28))</f>
        <v>1</v>
      </c>
      <c r="PQ28" s="55">
        <f>IF(EI28="","",COUNTIFS(Parameters!$Y:$Y,$BF$4,Parameters!$X:$X,EI28))</f>
        <v>1</v>
      </c>
      <c r="PR28" s="55">
        <f>IF(EJ28="","",COUNTIFS(Parameters!$Y:$Y,$BF$4,Parameters!$X:$X,EJ28))</f>
        <v>1</v>
      </c>
      <c r="PS28" s="56">
        <f>IF(EK28="","",COUNTIFS(Parameters!$Y:$Y,$BF$4,Parameters!$X:$X,EK28))</f>
        <v>1</v>
      </c>
      <c r="PV28" s="54" t="str">
        <f>IF(EN28="","",COUNTIFS(Parameters!$Y:$Y,$BF$4,Parameters!$X:$X,EN28))</f>
        <v/>
      </c>
      <c r="PW28" s="55" t="str">
        <f>IF(EO28="","",COUNTIFS(Parameters!$Y:$Y,$BF$4,Parameters!$X:$X,EO28))</f>
        <v/>
      </c>
      <c r="PX28" s="55">
        <f>IF(EP28="","",COUNTIFS(Parameters!$Y:$Y,$BF$4,Parameters!$X:$X,EP28))</f>
        <v>0</v>
      </c>
      <c r="PY28" s="55">
        <f>IF(EQ28="","",COUNTIFS(Parameters!$Y:$Y,$BF$4,Parameters!$X:$X,EQ28))</f>
        <v>0</v>
      </c>
      <c r="PZ28" s="55">
        <f>IF(ER28="","",COUNTIFS(Parameters!$Y:$Y,$BF$4,Parameters!$X:$X,ER28))</f>
        <v>0</v>
      </c>
      <c r="QA28" s="55">
        <f>IF(ES28="","",COUNTIFS(Parameters!$Y:$Y,$BF$4,Parameters!$X:$X,ES28))</f>
        <v>0</v>
      </c>
      <c r="QB28" s="55">
        <f>IF(ET28="","",COUNTIFS(Parameters!$Y:$Y,$BF$4,Parameters!$X:$X,ET28))</f>
        <v>0</v>
      </c>
      <c r="QC28" s="55">
        <f>IF(EU28="","",COUNTIFS(Parameters!$Y:$Y,$BF$4,Parameters!$X:$X,EU28))</f>
        <v>0</v>
      </c>
      <c r="QD28" s="55">
        <f>IF(EV28="","",COUNTIFS(Parameters!$Y:$Y,$BF$4,Parameters!$X:$X,EV28))</f>
        <v>0</v>
      </c>
      <c r="QE28" s="55">
        <f>IF(EW28="","",COUNTIFS(Parameters!$Y:$Y,$BF$4,Parameters!$X:$X,EW28))</f>
        <v>0</v>
      </c>
      <c r="QF28" s="55">
        <f>IF(EX28="","",COUNTIFS(Parameters!$Y:$Y,$BF$4,Parameters!$X:$X,EX28))</f>
        <v>0</v>
      </c>
      <c r="QG28" s="55">
        <f>IF(EY28="","",COUNTIFS(Parameters!$Y:$Y,$BF$4,Parameters!$X:$X,EY28))</f>
        <v>0</v>
      </c>
      <c r="QH28" s="55">
        <f>IF(EZ28="","",COUNTIFS(Parameters!$Y:$Y,$BF$4,Parameters!$X:$X,EZ28))</f>
        <v>0</v>
      </c>
      <c r="QI28" s="56">
        <f>IF(FA28="","",COUNTIFS(Parameters!$Y:$Y,$BF$4,Parameters!$X:$X,FA28))</f>
        <v>0</v>
      </c>
      <c r="QN28" s="54" t="str">
        <f>IF(DH28="","",COUNTIFS($D$25:$D$267,Parameters!$K$2,$E$25:$E$267,Parameters!$M$6,Calendrier!$C$25:$C$267,DH28)+ COUNTIFS($D$25:$D$267,Parameters!$K$3,$E$25:$E$267,Parameters!$M$6,Calendrier!$C$25:$C$267,DH28))</f>
        <v/>
      </c>
      <c r="QO28" s="55" t="str">
        <f>IF(DI28="","",COUNTIFS($D$25:$D$267,Parameters!$K$2,$E$25:$E$267,Parameters!$M$6,Calendrier!$C$25:$C$267,DI28)+ COUNTIFS($D$25:$D$267,Parameters!$K$4,$E$25:$E$267,Parameters!$M$6,Calendrier!$C$25:$C$267,DI28))</f>
        <v/>
      </c>
      <c r="QP28" s="55" t="str">
        <f>IF(DJ28="","",COUNTIFS($D$25:$D$267,Parameters!$K$2,$E$25:$E$267,Parameters!$M$6,Calendrier!$C$25:$C$267,DJ28)+ COUNTIFS($D$25:$D$267,Parameters!$K$3,$E$25:$E$267,Parameters!$M$6,Calendrier!$C$25:$C$267,DJ28))</f>
        <v/>
      </c>
      <c r="QQ28" s="55" t="str">
        <f>IF(DK28="","",COUNTIFS($D$25:$D$267,Parameters!$K$2,$E$25:$E$267,Parameters!$M$6,Calendrier!$C$25:$C$267,DK28)+ COUNTIFS($D$25:$D$267,Parameters!$K$4,$E$25:$E$267,Parameters!$M$6,Calendrier!$C$25:$C$267,DK28))</f>
        <v/>
      </c>
      <c r="QR28" s="55">
        <f>IF(DL28="","",COUNTIFS($D$25:$D$267,Parameters!$K$2,$E$25:$E$267,Parameters!$M$6,Calendrier!$C$25:$C$267,DL28)+ COUNTIFS($D$25:$D$267,Parameters!$K$3,$E$25:$E$267,Parameters!$M$6,Calendrier!$C$25:$C$267,DL28))</f>
        <v>0</v>
      </c>
      <c r="QS28" s="55">
        <f>IF(DM28="","",COUNTIFS($D$25:$D$267,Parameters!$K$2,$E$25:$E$267,Parameters!$M$6,Calendrier!$C$25:$C$267,DM28)+ COUNTIFS($D$25:$D$267,Parameters!$K$4,$E$25:$E$267,Parameters!$M$6,Calendrier!$C$25:$C$267,DM28))</f>
        <v>0</v>
      </c>
      <c r="QT28" s="55">
        <f>IF(DN28="","",COUNTIFS($D$25:$D$267,Parameters!$K$2,$E$25:$E$267,Parameters!$M$6,Calendrier!$C$25:$C$267,DN28)+ COUNTIFS($D$25:$D$267,Parameters!$K$3,$E$25:$E$267,Parameters!$M$6,Calendrier!$C$25:$C$267,DN28))</f>
        <v>0</v>
      </c>
      <c r="QU28" s="55">
        <f>IF(DO28="","",COUNTIFS($D$25:$D$267,Parameters!$K$2,$E$25:$E$267,Parameters!$M$6,Calendrier!$C$25:$C$267,DO28)+ COUNTIFS($D$25:$D$267,Parameters!$K$4,$E$25:$E$267,Parameters!$M$6,Calendrier!$C$25:$C$267,DO28))</f>
        <v>0</v>
      </c>
      <c r="QV28" s="55">
        <f>IF(DP28="","",COUNTIFS($D$25:$D$267,Parameters!$K$2,$E$25:$E$267,Parameters!$M$6,Calendrier!$C$25:$C$267,DP28)+ COUNTIFS($D$25:$D$267,Parameters!$K$3,$E$25:$E$267,Parameters!$M$6,Calendrier!$C$25:$C$267,DP28))</f>
        <v>0</v>
      </c>
      <c r="QW28" s="55">
        <f>IF(DQ28="","",COUNTIFS($D$25:$D$267,Parameters!$K$2,$E$25:$E$267,Parameters!$M$6,Calendrier!$C$25:$C$267,DQ28)+ COUNTIFS($D$25:$D$267,Parameters!$K$4,$E$25:$E$267,Parameters!$M$6,Calendrier!$C$25:$C$267,DQ28))</f>
        <v>0</v>
      </c>
      <c r="QX28" s="55">
        <f>IF(DR28="","",COUNTIFS($D$25:$D$267,Parameters!$K$2,$E$25:$E$267,Parameters!$M$6,Calendrier!$C$25:$C$267,DR28)+ COUNTIFS($D$25:$D$267,Parameters!$K$3,$E$25:$E$267,Parameters!$M$6,Calendrier!$C$25:$C$267,DR28))</f>
        <v>0</v>
      </c>
      <c r="QY28" s="55">
        <f>IF(DS28="","",COUNTIFS($D$25:$D$267,Parameters!$K$2,$E$25:$E$267,Parameters!$M$6,Calendrier!$C$25:$C$267,DS28)+ COUNTIFS($D$25:$D$267,Parameters!$K$4,$E$25:$E$267,Parameters!$M$6,Calendrier!$C$25:$C$267,DS28))</f>
        <v>0</v>
      </c>
      <c r="QZ28" s="55">
        <f>IF(DT28="","",COUNTIFS($D$25:$D$267,Parameters!$K$2,$E$25:$E$267,Parameters!$M$6,Calendrier!$C$25:$C$267,DT28)+ COUNTIFS($D$25:$D$267,Parameters!$K$3,$E$25:$E$267,Parameters!$M$6,Calendrier!$C$25:$C$267,DT28))</f>
        <v>0</v>
      </c>
      <c r="RA28" s="56">
        <f>IF(DU28="","",COUNTIFS($D$25:$D$267,Parameters!$K$2,$E$25:$E$267,Parameters!$M$6,Calendrier!$C$25:$C$267,DU28)+ COUNTIFS($D$25:$D$267,Parameters!$K$4,$E$25:$E$267,Parameters!$M$6,Calendrier!$C$25:$C$267,DU28))</f>
        <v>0</v>
      </c>
      <c r="RD28" s="54" t="str">
        <f>IF(DX28="","",COUNTIFS($D$25:$D$267,Parameters!$K$2,$E$25:$E$267,Parameters!$M$6,Calendrier!$C$25:$C$267,DX28)+ COUNTIFS($D$25:$D$267,Parameters!$K$3,$E$25:$E$267,Parameters!$M$6,Calendrier!$C$25:$C$267,DX28))</f>
        <v/>
      </c>
      <c r="RE28" s="55" t="str">
        <f>IF(DY28="","",COUNTIFS($D$25:$D$267,Parameters!$K$2,$E$25:$E$267,Parameters!$M$6,Calendrier!$C$25:$C$267,DY28)+ COUNTIFS($D$25:$D$267,Parameters!$K$4,$E$25:$E$267,Parameters!$M$6,Calendrier!$C$25:$C$267,DY28))</f>
        <v/>
      </c>
      <c r="RF28" s="55" t="str">
        <f>IF(DZ28="","",COUNTIFS($D$25:$D$267,Parameters!$K$2,$E$25:$E$267,Parameters!$M$6,Calendrier!$C$25:$C$267,DZ28)+ COUNTIFS($D$25:$D$267,Parameters!$K$3,$E$25:$E$267,Parameters!$M$6,Calendrier!$C$25:$C$267,DZ28))</f>
        <v/>
      </c>
      <c r="RG28" s="55" t="str">
        <f>IF(EA28="","",COUNTIFS($D$25:$D$267,Parameters!$K$2,$E$25:$E$267,Parameters!$M$6,Calendrier!$C$25:$C$267,EA28)+ COUNTIFS($D$25:$D$267,Parameters!$K$4,$E$25:$E$267,Parameters!$M$6,Calendrier!$C$25:$C$267,EA28))</f>
        <v/>
      </c>
      <c r="RH28" s="55" t="str">
        <f>IF(EB28="","",COUNTIFS($D$25:$D$267,Parameters!$K$2,$E$25:$E$267,Parameters!$M$6,Calendrier!$C$25:$C$267,EB28)+ COUNTIFS($D$25:$D$267,Parameters!$K$3,$E$25:$E$267,Parameters!$M$6,Calendrier!$C$25:$C$267,EB28))</f>
        <v/>
      </c>
      <c r="RI28" s="55" t="str">
        <f>IF(EC28="","",COUNTIFS($D$25:$D$267,Parameters!$K$2,$E$25:$E$267,Parameters!$M$6,Calendrier!$C$25:$C$267,EC28)+ COUNTIFS($D$25:$D$267,Parameters!$K$4,$E$25:$E$267,Parameters!$M$6,Calendrier!$C$25:$C$267,EC28))</f>
        <v/>
      </c>
      <c r="RJ28" s="55" t="str">
        <f>IF(ED28="","",COUNTIFS($D$25:$D$267,Parameters!$K$2,$E$25:$E$267,Parameters!$M$6,Calendrier!$C$25:$C$267,ED28)+ COUNTIFS($D$25:$D$267,Parameters!$K$3,$E$25:$E$267,Parameters!$M$6,Calendrier!$C$25:$C$267,ED28))</f>
        <v/>
      </c>
      <c r="RK28" s="55" t="str">
        <f>IF(EE28="","",COUNTIFS($D$25:$D$267,Parameters!$K$2,$E$25:$E$267,Parameters!$M$6,Calendrier!$C$25:$C$267,EE28)+ COUNTIFS($D$25:$D$267,Parameters!$K$4,$E$25:$E$267,Parameters!$M$6,Calendrier!$C$25:$C$267,EE28))</f>
        <v/>
      </c>
      <c r="RL28" s="55" t="str">
        <f>IF(EF28="","",COUNTIFS($D$25:$D$267,Parameters!$K$2,$E$25:$E$267,Parameters!$M$6,Calendrier!$C$25:$C$267,EF28)+ COUNTIFS($D$25:$D$267,Parameters!$K$3,$E$25:$E$267,Parameters!$M$6,Calendrier!$C$25:$C$267,EF28))</f>
        <v/>
      </c>
      <c r="RM28" s="55" t="str">
        <f>IF(EG28="","",COUNTIFS($D$25:$D$267,Parameters!$K$2,$E$25:$E$267,Parameters!$M$6,Calendrier!$C$25:$C$267,EG28)+ COUNTIFS($D$25:$D$267,Parameters!$K$4,$E$25:$E$267,Parameters!$M$6,Calendrier!$C$25:$C$267,EG28))</f>
        <v/>
      </c>
      <c r="RN28" s="55">
        <f>IF(EH28="","",COUNTIFS($D$25:$D$267,Parameters!$K$2,$E$25:$E$267,Parameters!$M$6,Calendrier!$C$25:$C$267,EH28)+ COUNTIFS($D$25:$D$267,Parameters!$K$3,$E$25:$E$267,Parameters!$M$6,Calendrier!$C$25:$C$267,EH28))</f>
        <v>0</v>
      </c>
      <c r="RO28" s="55">
        <f>IF(EI28="","",COUNTIFS($D$25:$D$267,Parameters!$K$2,$E$25:$E$267,Parameters!$M$6,Calendrier!$C$25:$C$267,EI28)+ COUNTIFS($D$25:$D$267,Parameters!$K$4,$E$25:$E$267,Parameters!$M$6,Calendrier!$C$25:$C$267,EI28))</f>
        <v>0</v>
      </c>
      <c r="RP28" s="55">
        <f>IF(EJ28="","",COUNTIFS($D$25:$D$267,Parameters!$K$2,$E$25:$E$267,Parameters!$M$6,Calendrier!$C$25:$C$267,EJ28)+ COUNTIFS($D$25:$D$267,Parameters!$K$3,$E$25:$E$267,Parameters!$M$6,Calendrier!$C$25:$C$267,EJ28))</f>
        <v>0</v>
      </c>
      <c r="RQ28" s="56">
        <f>IF(EK28="","",COUNTIFS($D$25:$D$267,Parameters!$K$2,$E$25:$E$267,Parameters!$M$6,Calendrier!$C$25:$C$267,EK28)+ COUNTIFS($D$25:$D$267,Parameters!$K$4,$E$25:$E$267,Parameters!$M$6,Calendrier!$C$25:$C$267,EK28))</f>
        <v>0</v>
      </c>
      <c r="RT28" s="54" t="str">
        <f>IF(EN28="","",COUNTIFS($D$25:$D$267,Parameters!$K$2,$E$25:$E$267,Parameters!$M$6,Calendrier!$C$25:$C$267,EN28)+ COUNTIFS($D$25:$D$267,Parameters!$K$3,$E$25:$E$267,Parameters!$M$6,Calendrier!$C$25:$C$267,EN28))</f>
        <v/>
      </c>
      <c r="RU28" s="55" t="str">
        <f>IF(EO28="","",COUNTIFS($D$25:$D$267,Parameters!$K$2,$E$25:$E$267,Parameters!$M$6,Calendrier!$C$25:$C$267,EO28)+ COUNTIFS($D$25:$D$267,Parameters!$K$4,$E$25:$E$267,Parameters!$M$6,Calendrier!$C$25:$C$267,EO28))</f>
        <v/>
      </c>
      <c r="RV28" s="55">
        <f>IF(EP28="","",COUNTIFS($D$25:$D$267,Parameters!$K$2,$E$25:$E$267,Parameters!$M$6,Calendrier!$C$25:$C$267,EP28)+ COUNTIFS($D$25:$D$267,Parameters!$K$3,$E$25:$E$267,Parameters!$M$6,Calendrier!$C$25:$C$267,EP28))</f>
        <v>0</v>
      </c>
      <c r="RW28" s="55">
        <f>IF(EQ28="","",COUNTIFS($D$25:$D$267,Parameters!$K$2,$E$25:$E$267,Parameters!$M$6,Calendrier!$C$25:$C$267,EQ28)+ COUNTIFS($D$25:$D$267,Parameters!$K$4,$E$25:$E$267,Parameters!$M$6,Calendrier!$C$25:$C$267,EQ28))</f>
        <v>0</v>
      </c>
      <c r="RX28" s="55">
        <f>IF(ER28="","",COUNTIFS($D$25:$D$267,Parameters!$K$2,$E$25:$E$267,Parameters!$M$6,Calendrier!$C$25:$C$267,ER28)+ COUNTIFS($D$25:$D$267,Parameters!$K$3,$E$25:$E$267,Parameters!$M$6,Calendrier!$C$25:$C$267,ER28))</f>
        <v>0</v>
      </c>
      <c r="RY28" s="55">
        <f>IF(ES28="","",COUNTIFS($D$25:$D$267,Parameters!$K$2,$E$25:$E$267,Parameters!$M$6,Calendrier!$C$25:$C$267,ES28)+ COUNTIFS($D$25:$D$267,Parameters!$K$4,$E$25:$E$267,Parameters!$M$6,Calendrier!$C$25:$C$267,ES28))</f>
        <v>0</v>
      </c>
      <c r="RZ28" s="55">
        <f>IF(ET28="","",COUNTIFS($D$25:$D$267,Parameters!$K$2,$E$25:$E$267,Parameters!$M$6,Calendrier!$C$25:$C$267,ET28)+ COUNTIFS($D$25:$D$267,Parameters!$K$3,$E$25:$E$267,Parameters!$M$6,Calendrier!$C$25:$C$267,ET28))</f>
        <v>0</v>
      </c>
      <c r="SA28" s="55">
        <f>IF(EU28="","",COUNTIFS($D$25:$D$267,Parameters!$K$2,$E$25:$E$267,Parameters!$M$6,Calendrier!$C$25:$C$267,EU28)+ COUNTIFS($D$25:$D$267,Parameters!$K$4,$E$25:$E$267,Parameters!$M$6,Calendrier!$C$25:$C$267,EU28))</f>
        <v>0</v>
      </c>
      <c r="SB28" s="55">
        <f>IF(EV28="","",COUNTIFS($D$25:$D$267,Parameters!$K$2,$E$25:$E$267,Parameters!$M$6,Calendrier!$C$25:$C$267,EV28)+ COUNTIFS($D$25:$D$267,Parameters!$K$3,$E$25:$E$267,Parameters!$M$6,Calendrier!$C$25:$C$267,EV28))</f>
        <v>0</v>
      </c>
      <c r="SC28" s="55">
        <f>IF(EW28="","",COUNTIFS($D$25:$D$267,Parameters!$K$2,$E$25:$E$267,Parameters!$M$6,Calendrier!$C$25:$C$267,EW28)+ COUNTIFS($D$25:$D$267,Parameters!$K$4,$E$25:$E$267,Parameters!$M$6,Calendrier!$C$25:$C$267,EW28))</f>
        <v>0</v>
      </c>
      <c r="SD28" s="55">
        <f>IF(EX28="","",COUNTIFS($D$25:$D$267,Parameters!$K$2,$E$25:$E$267,Parameters!$M$6,Calendrier!$C$25:$C$267,EX28)+ COUNTIFS($D$25:$D$267,Parameters!$K$3,$E$25:$E$267,Parameters!$M$6,Calendrier!$C$25:$C$267,EX28))</f>
        <v>0</v>
      </c>
      <c r="SE28" s="55">
        <f>IF(EY28="","",COUNTIFS($D$25:$D$267,Parameters!$K$2,$E$25:$E$267,Parameters!$M$6,Calendrier!$C$25:$C$267,EY28)+ COUNTIFS($D$25:$D$267,Parameters!$K$4,$E$25:$E$267,Parameters!$M$6,Calendrier!$C$25:$C$267,EY28))</f>
        <v>0</v>
      </c>
      <c r="SF28" s="55">
        <f>IF(EZ28="","",COUNTIFS($D$25:$D$267,Parameters!$K$2,$E$25:$E$267,Parameters!$M$6,Calendrier!$C$25:$C$267,EZ28)+ COUNTIFS($D$25:$D$267,Parameters!$K$3,$E$25:$E$267,Parameters!$M$6,Calendrier!$C$25:$C$267,EZ28))</f>
        <v>0</v>
      </c>
      <c r="SG28" s="56">
        <f>IF(FA28="","",COUNTIFS($D$25:$D$267,Parameters!$K$2,$E$25:$E$267,Parameters!$M$6,Calendrier!$C$25:$C$267,FA28)+ COUNTIFS($D$25:$D$267,Parameters!$K$4,$E$25:$E$267,Parameters!$M$6,Calendrier!$C$25:$C$267,FA28))</f>
        <v>0</v>
      </c>
      <c r="SL28" s="54" t="str">
        <f>IF(DH28="","",COUNTIFS($D$25:$D$267,Parameters!$K$2,$E$25:$E$267,Parameters!$M$7,Calendrier!$C$25:$C$267,DH28)+ COUNTIFS($D$25:$D$267,Parameters!$K$3,$E$25:$E$267,Parameters!$M$7,Calendrier!$C$25:$C$267,DH28))</f>
        <v/>
      </c>
      <c r="SM28" s="55" t="str">
        <f>IF(DI28="","",COUNTIFS($D$25:$D$267,Parameters!$K$2,$E$25:$E$267,Parameters!$M$7,Calendrier!$C$25:$C$267,DI28)+ COUNTIFS($D$25:$D$267,Parameters!$K$4,$E$25:$E$267,Parameters!$M$7,Calendrier!$C$25:$C$267,DI28))</f>
        <v/>
      </c>
      <c r="SN28" s="55" t="str">
        <f>IF(DJ28="","",COUNTIFS($D$25:$D$267,Parameters!$K$2,$E$25:$E$267,Parameters!$M$7,Calendrier!$C$25:$C$267,DJ28)+ COUNTIFS($D$25:$D$267,Parameters!$K$3,$E$25:$E$267,Parameters!$M$7,Calendrier!$C$25:$C$267,DJ28))</f>
        <v/>
      </c>
      <c r="SO28" s="55" t="str">
        <f>IF(DK28="","",COUNTIFS($D$25:$D$267,Parameters!$K$2,$E$25:$E$267,Parameters!$M$7,Calendrier!$C$25:$C$267,DK28)+ COUNTIFS($D$25:$D$267,Parameters!$K$4,$E$25:$E$267,Parameters!$M$7,Calendrier!$C$25:$C$267,DK28))</f>
        <v/>
      </c>
      <c r="SP28" s="55">
        <f>IF(DL28="","",COUNTIFS($D$25:$D$267,Parameters!$K$2,$E$25:$E$267,Parameters!$M$7,Calendrier!$C$25:$C$267,DL28)+ COUNTIFS($D$25:$D$267,Parameters!$K$3,$E$25:$E$267,Parameters!$M$7,Calendrier!$C$25:$C$267,DL28))</f>
        <v>0</v>
      </c>
      <c r="SQ28" s="55">
        <f>IF(DM28="","",COUNTIFS($D$25:$D$267,Parameters!$K$2,$E$25:$E$267,Parameters!$M$7,Calendrier!$C$25:$C$267,DM28)+ COUNTIFS($D$25:$D$267,Parameters!$K$4,$E$25:$E$267,Parameters!$M$7,Calendrier!$C$25:$C$267,DM28))</f>
        <v>0</v>
      </c>
      <c r="SR28" s="55">
        <f>IF(DN28="","",COUNTIFS($D$25:$D$267,Parameters!$K$2,$E$25:$E$267,Parameters!$M$7,Calendrier!$C$25:$C$267,DN28)+ COUNTIFS($D$25:$D$267,Parameters!$K$3,$E$25:$E$267,Parameters!$M$7,Calendrier!$C$25:$C$267,DN28))</f>
        <v>0</v>
      </c>
      <c r="SS28" s="55">
        <f>IF(DO28="","",COUNTIFS($D$25:$D$267,Parameters!$K$2,$E$25:$E$267,Parameters!$M$7,Calendrier!$C$25:$C$267,DO28)+ COUNTIFS($D$25:$D$267,Parameters!$K$4,$E$25:$E$267,Parameters!$M$7,Calendrier!$C$25:$C$267,DO28))</f>
        <v>0</v>
      </c>
      <c r="ST28" s="55">
        <f>IF(DP28="","",COUNTIFS($D$25:$D$267,Parameters!$K$2,$E$25:$E$267,Parameters!$M$7,Calendrier!$C$25:$C$267,DP28)+ COUNTIFS($D$25:$D$267,Parameters!$K$3,$E$25:$E$267,Parameters!$M$7,Calendrier!$C$25:$C$267,DP28))</f>
        <v>0</v>
      </c>
      <c r="SU28" s="55">
        <f>IF(DQ28="","",COUNTIFS($D$25:$D$267,Parameters!$K$2,$E$25:$E$267,Parameters!$M$7,Calendrier!$C$25:$C$267,DQ28)+ COUNTIFS($D$25:$D$267,Parameters!$K$4,$E$25:$E$267,Parameters!$M$7,Calendrier!$C$25:$C$267,DQ28))</f>
        <v>0</v>
      </c>
      <c r="SV28" s="55">
        <f>IF(DR28="","",COUNTIFS($D$25:$D$267,Parameters!$K$2,$E$25:$E$267,Parameters!$M$7,Calendrier!$C$25:$C$267,DR28)+ COUNTIFS($D$25:$D$267,Parameters!$K$3,$E$25:$E$267,Parameters!$M$7,Calendrier!$C$25:$C$267,DR28))</f>
        <v>0</v>
      </c>
      <c r="SW28" s="55">
        <f>IF(DS28="","",COUNTIFS($D$25:$D$267,Parameters!$K$2,$E$25:$E$267,Parameters!$M$7,Calendrier!$C$25:$C$267,DS28)+ COUNTIFS($D$25:$D$267,Parameters!$K$4,$E$25:$E$267,Parameters!$M$7,Calendrier!$C$25:$C$267,DS28))</f>
        <v>0</v>
      </c>
      <c r="SX28" s="55">
        <f>IF(DT28="","",COUNTIFS($D$25:$D$267,Parameters!$K$2,$E$25:$E$267,Parameters!$M$7,Calendrier!$C$25:$C$267,DT28)+ COUNTIFS($D$25:$D$267,Parameters!$K$3,$E$25:$E$267,Parameters!$M$7,Calendrier!$C$25:$C$267,DT28))</f>
        <v>0</v>
      </c>
      <c r="SY28" s="56">
        <f>IF(DU28="","",COUNTIFS($D$25:$D$267,Parameters!$K$2,$E$25:$E$267,Parameters!$M$7,Calendrier!$C$25:$C$267,DU28)+ COUNTIFS($D$25:$D$267,Parameters!$K$4,$E$25:$E$267,Parameters!$M$7,Calendrier!$C$25:$C$267,DU28))</f>
        <v>0</v>
      </c>
      <c r="TB28" s="54" t="str">
        <f>IF(DX28="","",COUNTIFS($D$25:$D$267,Parameters!$K$2,$E$25:$E$267,Parameters!$M$7,Calendrier!$C$25:$C$267,DX28)+ COUNTIFS($D$25:$D$267,Parameters!$K$3,$E$25:$E$267,Parameters!$M$7,Calendrier!$C$25:$C$267,DX28))</f>
        <v/>
      </c>
      <c r="TC28" s="55" t="str">
        <f>IF(DY28="","",COUNTIFS($D$25:$D$267,Parameters!$K$2,$E$25:$E$267,Parameters!$M$7,Calendrier!$C$25:$C$267,DY28)+ COUNTIFS($D$25:$D$267,Parameters!$K$4,$E$25:$E$267,Parameters!$M$7,Calendrier!$C$25:$C$267,DY28))</f>
        <v/>
      </c>
      <c r="TD28" s="55" t="str">
        <f>IF(DZ28="","",COUNTIFS($D$25:$D$267,Parameters!$K$2,$E$25:$E$267,Parameters!$M$7,Calendrier!$C$25:$C$267,DZ28)+ COUNTIFS($D$25:$D$267,Parameters!$K$3,$E$25:$E$267,Parameters!$M$7,Calendrier!$C$25:$C$267,DZ28))</f>
        <v/>
      </c>
      <c r="TE28" s="55" t="str">
        <f>IF(EA28="","",COUNTIFS($D$25:$D$267,Parameters!$K$2,$E$25:$E$267,Parameters!$M$7,Calendrier!$C$25:$C$267,EA28)+ COUNTIFS($D$25:$D$267,Parameters!$K$4,$E$25:$E$267,Parameters!$M$7,Calendrier!$C$25:$C$267,EA28))</f>
        <v/>
      </c>
      <c r="TF28" s="55" t="str">
        <f>IF(EB28="","",COUNTIFS($D$25:$D$267,Parameters!$K$2,$E$25:$E$267,Parameters!$M$7,Calendrier!$C$25:$C$267,EB28)+ COUNTIFS($D$25:$D$267,Parameters!$K$3,$E$25:$E$267,Parameters!$M$7,Calendrier!$C$25:$C$267,EB28))</f>
        <v/>
      </c>
      <c r="TG28" s="55" t="str">
        <f>IF(EC28="","",COUNTIFS($D$25:$D$267,Parameters!$K$2,$E$25:$E$267,Parameters!$M$7,Calendrier!$C$25:$C$267,EC28)+ COUNTIFS($D$25:$D$267,Parameters!$K$4,$E$25:$E$267,Parameters!$M$7,Calendrier!$C$25:$C$267,EC28))</f>
        <v/>
      </c>
      <c r="TH28" s="55" t="str">
        <f>IF(ED28="","",COUNTIFS($D$25:$D$267,Parameters!$K$2,$E$25:$E$267,Parameters!$M$7,Calendrier!$C$25:$C$267,ED28)+ COUNTIFS($D$25:$D$267,Parameters!$K$3,$E$25:$E$267,Parameters!$M$7,Calendrier!$C$25:$C$267,ED28))</f>
        <v/>
      </c>
      <c r="TI28" s="55" t="str">
        <f>IF(EE28="","",COUNTIFS($D$25:$D$267,Parameters!$K$2,$E$25:$E$267,Parameters!$M$7,Calendrier!$C$25:$C$267,EE28)+ COUNTIFS($D$25:$D$267,Parameters!$K$4,$E$25:$E$267,Parameters!$M$7,Calendrier!$C$25:$C$267,EE28))</f>
        <v/>
      </c>
      <c r="TJ28" s="55" t="str">
        <f>IF(EF28="","",COUNTIFS($D$25:$D$267,Parameters!$K$2,$E$25:$E$267,Parameters!$M$7,Calendrier!$C$25:$C$267,EF28)+ COUNTIFS($D$25:$D$267,Parameters!$K$3,$E$25:$E$267,Parameters!$M$7,Calendrier!$C$25:$C$267,EF28))</f>
        <v/>
      </c>
      <c r="TK28" s="55" t="str">
        <f>IF(EG28="","",COUNTIFS($D$25:$D$267,Parameters!$K$2,$E$25:$E$267,Parameters!$M$7,Calendrier!$C$25:$C$267,EG28)+ COUNTIFS($D$25:$D$267,Parameters!$K$4,$E$25:$E$267,Parameters!$M$7,Calendrier!$C$25:$C$267,EG28))</f>
        <v/>
      </c>
      <c r="TL28" s="55">
        <f>IF(EH28="","",COUNTIFS($D$25:$D$267,Parameters!$K$2,$E$25:$E$267,Parameters!$M$7,Calendrier!$C$25:$C$267,EH28)+ COUNTIFS($D$25:$D$267,Parameters!$K$3,$E$25:$E$267,Parameters!$M$7,Calendrier!$C$25:$C$267,EH28))</f>
        <v>0</v>
      </c>
      <c r="TM28" s="55">
        <f>IF(EI28="","",COUNTIFS($D$25:$D$267,Parameters!$K$2,$E$25:$E$267,Parameters!$M$7,Calendrier!$C$25:$C$267,EI28)+ COUNTIFS($D$25:$D$267,Parameters!$K$4,$E$25:$E$267,Parameters!$M$7,Calendrier!$C$25:$C$267,EI28))</f>
        <v>0</v>
      </c>
      <c r="TN28" s="55">
        <f>IF(EJ28="","",COUNTIFS($D$25:$D$267,Parameters!$K$2,$E$25:$E$267,Parameters!$M$7,Calendrier!$C$25:$C$267,EJ28)+ COUNTIFS($D$25:$D$267,Parameters!$K$3,$E$25:$E$267,Parameters!$M$7,Calendrier!$C$25:$C$267,EJ28))</f>
        <v>0</v>
      </c>
      <c r="TO28" s="56">
        <f>IF(EK28="","",COUNTIFS($D$25:$D$267,Parameters!$K$2,$E$25:$E$267,Parameters!$M$7,Calendrier!$C$25:$C$267,EK28)+ COUNTIFS($D$25:$D$267,Parameters!$K$4,$E$25:$E$267,Parameters!$M$7,Calendrier!$C$25:$C$267,EK28))</f>
        <v>0</v>
      </c>
      <c r="TR28" s="54" t="str">
        <f>IF(EN28="","",COUNTIFS($D$25:$D$267,Parameters!$K$2,$E$25:$E$267,Parameters!$M$7,Calendrier!$C$25:$C$267,EN28)+ COUNTIFS($D$25:$D$267,Parameters!$K$3,$E$25:$E$267,Parameters!$M$7,Calendrier!$C$25:$C$267,EN28))</f>
        <v/>
      </c>
      <c r="TS28" s="55" t="str">
        <f>IF(EO28="","",COUNTIFS($D$25:$D$267,Parameters!$K$2,$E$25:$E$267,Parameters!$M$7,Calendrier!$C$25:$C$267,EO28)+ COUNTIFS($D$25:$D$267,Parameters!$K$4,$E$25:$E$267,Parameters!$M$7,Calendrier!$C$25:$C$267,EO28))</f>
        <v/>
      </c>
      <c r="TT28" s="55">
        <f>IF(EP28="","",COUNTIFS($D$25:$D$267,Parameters!$K$2,$E$25:$E$267,Parameters!$M$7,Calendrier!$C$25:$C$267,EP28)+ COUNTIFS($D$25:$D$267,Parameters!$K$3,$E$25:$E$267,Parameters!$M$7,Calendrier!$C$25:$C$267,EP28))</f>
        <v>0</v>
      </c>
      <c r="TU28" s="55">
        <f>IF(EQ28="","",COUNTIFS($D$25:$D$267,Parameters!$K$2,$E$25:$E$267,Parameters!$M$7,Calendrier!$C$25:$C$267,EQ28)+ COUNTIFS($D$25:$D$267,Parameters!$K$4,$E$25:$E$267,Parameters!$M$7,Calendrier!$C$25:$C$267,EQ28))</f>
        <v>0</v>
      </c>
      <c r="TV28" s="55">
        <f>IF(ER28="","",COUNTIFS($D$25:$D$267,Parameters!$K$2,$E$25:$E$267,Parameters!$M$7,Calendrier!$C$25:$C$267,ER28)+ COUNTIFS($D$25:$D$267,Parameters!$K$3,$E$25:$E$267,Parameters!$M$7,Calendrier!$C$25:$C$267,ER28))</f>
        <v>0</v>
      </c>
      <c r="TW28" s="55">
        <f>IF(ES28="","",COUNTIFS($D$25:$D$267,Parameters!$K$2,$E$25:$E$267,Parameters!$M$7,Calendrier!$C$25:$C$267,ES28)+ COUNTIFS($D$25:$D$267,Parameters!$K$4,$E$25:$E$267,Parameters!$M$7,Calendrier!$C$25:$C$267,ES28))</f>
        <v>0</v>
      </c>
      <c r="TX28" s="55">
        <f>IF(ET28="","",COUNTIFS($D$25:$D$267,Parameters!$K$2,$E$25:$E$267,Parameters!$M$7,Calendrier!$C$25:$C$267,ET28)+ COUNTIFS($D$25:$D$267,Parameters!$K$3,$E$25:$E$267,Parameters!$M$7,Calendrier!$C$25:$C$267,ET28))</f>
        <v>0</v>
      </c>
      <c r="TY28" s="55">
        <f>IF(EU28="","",COUNTIFS($D$25:$D$267,Parameters!$K$2,$E$25:$E$267,Parameters!$M$7,Calendrier!$C$25:$C$267,EU28)+ COUNTIFS($D$25:$D$267,Parameters!$K$4,$E$25:$E$267,Parameters!$M$7,Calendrier!$C$25:$C$267,EU28))</f>
        <v>0</v>
      </c>
      <c r="TZ28" s="55">
        <f>IF(EV28="","",COUNTIFS($D$25:$D$267,Parameters!$K$2,$E$25:$E$267,Parameters!$M$7,Calendrier!$C$25:$C$267,EV28)+ COUNTIFS($D$25:$D$267,Parameters!$K$3,$E$25:$E$267,Parameters!$M$7,Calendrier!$C$25:$C$267,EV28))</f>
        <v>0</v>
      </c>
      <c r="UA28" s="55">
        <f>IF(EW28="","",COUNTIFS($D$25:$D$267,Parameters!$K$2,$E$25:$E$267,Parameters!$M$7,Calendrier!$C$25:$C$267,EW28)+ COUNTIFS($D$25:$D$267,Parameters!$K$4,$E$25:$E$267,Parameters!$M$7,Calendrier!$C$25:$C$267,EW28))</f>
        <v>0</v>
      </c>
      <c r="UB28" s="55">
        <f>IF(EX28="","",COUNTIFS($D$25:$D$267,Parameters!$K$2,$E$25:$E$267,Parameters!$M$7,Calendrier!$C$25:$C$267,EX28)+ COUNTIFS($D$25:$D$267,Parameters!$K$3,$E$25:$E$267,Parameters!$M$7,Calendrier!$C$25:$C$267,EX28))</f>
        <v>0</v>
      </c>
      <c r="UC28" s="55">
        <f>IF(EY28="","",COUNTIFS($D$25:$D$267,Parameters!$K$2,$E$25:$E$267,Parameters!$M$7,Calendrier!$C$25:$C$267,EY28)+ COUNTIFS($D$25:$D$267,Parameters!$K$4,$E$25:$E$267,Parameters!$M$7,Calendrier!$C$25:$C$267,EY28))</f>
        <v>0</v>
      </c>
      <c r="UD28" s="55">
        <f>IF(EZ28="","",COUNTIFS($D$25:$D$267,Parameters!$K$2,$E$25:$E$267,Parameters!$M$7,Calendrier!$C$25:$C$267,EZ28)+ COUNTIFS($D$25:$D$267,Parameters!$K$3,$E$25:$E$267,Parameters!$M$7,Calendrier!$C$25:$C$267,EZ28))</f>
        <v>0</v>
      </c>
      <c r="UE28" s="56">
        <f>IF(FA28="","",COUNTIFS($D$25:$D$267,Parameters!$K$2,$E$25:$E$267,Parameters!$M$7,Calendrier!$C$25:$C$267,FA28)+ COUNTIFS($D$25:$D$267,Parameters!$K$4,$E$25:$E$267,Parameters!$M$7,Calendrier!$C$25:$C$267,FA28))</f>
        <v>0</v>
      </c>
    </row>
    <row r="29" spans="2:551" x14ac:dyDescent="0.3">
      <c r="B29" s="73">
        <f t="shared" si="317"/>
        <v>2025</v>
      </c>
      <c r="C29" s="27">
        <v>45824</v>
      </c>
      <c r="D29" s="30" t="s">
        <v>30</v>
      </c>
      <c r="E29" s="30" t="s">
        <v>36</v>
      </c>
      <c r="F29" s="61"/>
      <c r="G29" s="77"/>
      <c r="K29" s="31"/>
      <c r="L29" s="22">
        <f>X28+1</f>
        <v>6</v>
      </c>
      <c r="M29" s="23"/>
      <c r="N29" s="22">
        <f>L29+1</f>
        <v>7</v>
      </c>
      <c r="O29" s="23"/>
      <c r="P29" s="22">
        <f>N29+1</f>
        <v>8</v>
      </c>
      <c r="Q29" s="23"/>
      <c r="R29" s="22">
        <f>P29+1</f>
        <v>9</v>
      </c>
      <c r="S29" s="23"/>
      <c r="T29" s="22">
        <f>R29+1</f>
        <v>10</v>
      </c>
      <c r="U29" s="23"/>
      <c r="V29" s="22">
        <f>T29+1</f>
        <v>11</v>
      </c>
      <c r="W29" s="23"/>
      <c r="X29" s="22">
        <f>V29+1</f>
        <v>12</v>
      </c>
      <c r="Y29" s="23"/>
      <c r="Z29" s="31"/>
      <c r="AA29" s="31"/>
      <c r="AB29" s="22">
        <f t="shared" ref="AB29:AB31" si="354">AN28+1</f>
        <v>3</v>
      </c>
      <c r="AC29" s="23"/>
      <c r="AD29" s="22">
        <f>AB29+1</f>
        <v>4</v>
      </c>
      <c r="AE29" s="23"/>
      <c r="AF29" s="22">
        <f>AD29+1</f>
        <v>5</v>
      </c>
      <c r="AG29" s="23"/>
      <c r="AH29" s="22">
        <f>AF29+1</f>
        <v>6</v>
      </c>
      <c r="AI29" s="23"/>
      <c r="AJ29" s="22">
        <f>AH29+1</f>
        <v>7</v>
      </c>
      <c r="AK29" s="23"/>
      <c r="AL29" s="22">
        <f>AJ29+1</f>
        <v>8</v>
      </c>
      <c r="AM29" s="23"/>
      <c r="AN29" s="22">
        <f>AL29+1</f>
        <v>9</v>
      </c>
      <c r="AO29" s="23"/>
      <c r="AP29" s="31"/>
      <c r="AQ29" s="31"/>
      <c r="AR29" s="22">
        <f>BD28+1</f>
        <v>7</v>
      </c>
      <c r="AS29" s="23"/>
      <c r="AT29" s="22">
        <f>AR29+1</f>
        <v>8</v>
      </c>
      <c r="AU29" s="23"/>
      <c r="AV29" s="22">
        <f>AT29+1</f>
        <v>9</v>
      </c>
      <c r="AW29" s="23"/>
      <c r="AX29" s="22">
        <f>AV29+1</f>
        <v>10</v>
      </c>
      <c r="AY29" s="23"/>
      <c r="AZ29" s="22">
        <f>AX29+1</f>
        <v>11</v>
      </c>
      <c r="BA29" s="23"/>
      <c r="BB29" s="22">
        <f>AZ29+1</f>
        <v>12</v>
      </c>
      <c r="BC29" s="23"/>
      <c r="BD29" s="22">
        <f>BB29+1</f>
        <v>13</v>
      </c>
      <c r="BE29" s="23"/>
      <c r="BF29" s="31"/>
      <c r="BG29" s="31"/>
      <c r="BJ29" s="42"/>
      <c r="BK29" s="6">
        <v>7</v>
      </c>
      <c r="BL29" s="6">
        <v>7</v>
      </c>
      <c r="BM29" s="6">
        <v>7</v>
      </c>
      <c r="BN29" s="6">
        <v>7</v>
      </c>
      <c r="BO29" s="6">
        <v>7</v>
      </c>
      <c r="BP29" s="6">
        <v>7</v>
      </c>
      <c r="BQ29" s="6">
        <v>7</v>
      </c>
      <c r="BR29" s="6">
        <v>7</v>
      </c>
      <c r="BS29" s="6">
        <v>7</v>
      </c>
      <c r="BT29" s="6">
        <v>7</v>
      </c>
      <c r="BU29" s="6">
        <v>7</v>
      </c>
      <c r="BV29" s="6">
        <v>7</v>
      </c>
      <c r="BW29" s="6">
        <v>7</v>
      </c>
      <c r="CA29" s="6">
        <v>8</v>
      </c>
      <c r="CB29" s="6">
        <v>8</v>
      </c>
      <c r="CC29" s="6">
        <v>8</v>
      </c>
      <c r="CD29" s="6">
        <v>8</v>
      </c>
      <c r="CE29" s="6">
        <v>8</v>
      </c>
      <c r="CF29" s="6">
        <v>8</v>
      </c>
      <c r="CG29" s="6">
        <v>8</v>
      </c>
      <c r="CH29" s="6">
        <v>8</v>
      </c>
      <c r="CI29" s="6">
        <v>8</v>
      </c>
      <c r="CJ29" s="6">
        <v>8</v>
      </c>
      <c r="CK29" s="6">
        <v>8</v>
      </c>
      <c r="CL29" s="6">
        <v>8</v>
      </c>
      <c r="CM29" s="6">
        <v>8</v>
      </c>
      <c r="CQ29" s="6">
        <v>9</v>
      </c>
      <c r="CR29" s="6">
        <v>9</v>
      </c>
      <c r="CS29" s="6">
        <v>9</v>
      </c>
      <c r="CT29" s="6">
        <v>9</v>
      </c>
      <c r="CU29" s="6">
        <v>9</v>
      </c>
      <c r="CV29" s="6">
        <v>9</v>
      </c>
      <c r="CW29" s="6">
        <v>9</v>
      </c>
      <c r="CX29" s="6">
        <v>9</v>
      </c>
      <c r="CY29" s="6">
        <v>9</v>
      </c>
      <c r="CZ29" s="6">
        <v>9</v>
      </c>
      <c r="DA29" s="6">
        <v>9</v>
      </c>
      <c r="DB29" s="6">
        <v>9</v>
      </c>
      <c r="DC29" s="6">
        <v>9</v>
      </c>
      <c r="DG29" s="42"/>
      <c r="DH29" s="43">
        <f t="shared" ref="DH29:DH33" si="355">IF(L29="","",DATE($K$2,BK29,L29))</f>
        <v>46209</v>
      </c>
      <c r="DI29" s="44">
        <f t="shared" ref="DI29" si="356">DH29</f>
        <v>46209</v>
      </c>
      <c r="DJ29" s="44">
        <f t="shared" si="318"/>
        <v>46210</v>
      </c>
      <c r="DK29" s="44">
        <f t="shared" ref="DK29" si="357">DJ29</f>
        <v>46210</v>
      </c>
      <c r="DL29" s="44">
        <f t="shared" si="320"/>
        <v>46211</v>
      </c>
      <c r="DM29" s="44">
        <f t="shared" ref="DM29" si="358">DL29</f>
        <v>46211</v>
      </c>
      <c r="DN29" s="44">
        <f t="shared" si="322"/>
        <v>46212</v>
      </c>
      <c r="DO29" s="44">
        <f t="shared" ref="DO29" si="359">DN29</f>
        <v>46212</v>
      </c>
      <c r="DP29" s="44">
        <f t="shared" si="324"/>
        <v>46213</v>
      </c>
      <c r="DQ29" s="44">
        <f t="shared" ref="DQ29" si="360">DP29</f>
        <v>46213</v>
      </c>
      <c r="DR29" s="44">
        <f t="shared" si="326"/>
        <v>46214</v>
      </c>
      <c r="DS29" s="44">
        <f t="shared" ref="DS29" si="361">DR29</f>
        <v>46214</v>
      </c>
      <c r="DT29" s="44">
        <f t="shared" si="328"/>
        <v>46215</v>
      </c>
      <c r="DU29" s="45">
        <f t="shared" si="329"/>
        <v>46215</v>
      </c>
      <c r="DX29" s="43">
        <f t="shared" ref="DX29:DX33" si="362">IF(AB29="","",DATE($K$2,CA29,AB29))</f>
        <v>46237</v>
      </c>
      <c r="DY29" s="44">
        <f t="shared" ref="DY29" si="363">DX29</f>
        <v>46237</v>
      </c>
      <c r="DZ29" s="44">
        <f t="shared" si="330"/>
        <v>46238</v>
      </c>
      <c r="EA29" s="44">
        <f t="shared" ref="EA29" si="364">DZ29</f>
        <v>46238</v>
      </c>
      <c r="EB29" s="44">
        <f t="shared" si="332"/>
        <v>46239</v>
      </c>
      <c r="EC29" s="44">
        <f t="shared" ref="EC29" si="365">EB29</f>
        <v>46239</v>
      </c>
      <c r="ED29" s="44">
        <f t="shared" si="334"/>
        <v>46240</v>
      </c>
      <c r="EE29" s="44">
        <f t="shared" ref="EE29" si="366">ED29</f>
        <v>46240</v>
      </c>
      <c r="EF29" s="44">
        <f t="shared" si="336"/>
        <v>46241</v>
      </c>
      <c r="EG29" s="44">
        <f t="shared" ref="EG29" si="367">EF29</f>
        <v>46241</v>
      </c>
      <c r="EH29" s="44">
        <f t="shared" si="338"/>
        <v>46242</v>
      </c>
      <c r="EI29" s="44">
        <f t="shared" ref="EI29" si="368">EH29</f>
        <v>46242</v>
      </c>
      <c r="EJ29" s="44">
        <f t="shared" si="340"/>
        <v>46243</v>
      </c>
      <c r="EK29" s="45">
        <f t="shared" si="341"/>
        <v>46243</v>
      </c>
      <c r="EN29" s="43">
        <f t="shared" ref="EN29:EN33" si="369">IF(AR29="","",DATE($K$2,CQ29,AR29))</f>
        <v>46272</v>
      </c>
      <c r="EO29" s="44">
        <f t="shared" ref="EO29" si="370">EN29</f>
        <v>46272</v>
      </c>
      <c r="EP29" s="44">
        <f t="shared" si="342"/>
        <v>46273</v>
      </c>
      <c r="EQ29" s="44">
        <f t="shared" ref="EQ29" si="371">EP29</f>
        <v>46273</v>
      </c>
      <c r="ER29" s="44">
        <f t="shared" si="344"/>
        <v>46274</v>
      </c>
      <c r="ES29" s="44">
        <f t="shared" ref="ES29" si="372">ER29</f>
        <v>46274</v>
      </c>
      <c r="ET29" s="44">
        <f t="shared" si="346"/>
        <v>46275</v>
      </c>
      <c r="EU29" s="44">
        <f t="shared" ref="EU29" si="373">ET29</f>
        <v>46275</v>
      </c>
      <c r="EV29" s="44">
        <f t="shared" si="348"/>
        <v>46276</v>
      </c>
      <c r="EW29" s="44">
        <f t="shared" ref="EW29" si="374">EV29</f>
        <v>46276</v>
      </c>
      <c r="EX29" s="44">
        <f t="shared" si="350"/>
        <v>46277</v>
      </c>
      <c r="EY29" s="44">
        <f t="shared" ref="EY29" si="375">EX29</f>
        <v>46277</v>
      </c>
      <c r="EZ29" s="44">
        <f t="shared" si="352"/>
        <v>46278</v>
      </c>
      <c r="FA29" s="45">
        <f t="shared" si="353"/>
        <v>46278</v>
      </c>
      <c r="FE29" s="49">
        <f>COUNTIFS(Parameters!$S:$S,$D$4,Parameters!$Q:$Q,DH29)</f>
        <v>0</v>
      </c>
      <c r="FF29" s="50">
        <f>COUNTIFS(Parameters!$S:$S,$D$4,Parameters!$Q:$Q,DI29)</f>
        <v>0</v>
      </c>
      <c r="FG29" s="50">
        <f>COUNTIFS(Parameters!$S:$S,$D$4,Parameters!$Q:$Q,DJ29)</f>
        <v>0</v>
      </c>
      <c r="FH29" s="50">
        <f>COUNTIFS(Parameters!$S:$S,$D$4,Parameters!$Q:$Q,DK29)</f>
        <v>0</v>
      </c>
      <c r="FI29" s="50">
        <f>COUNTIFS(Parameters!$S:$S,$D$4,Parameters!$Q:$Q,DL29)</f>
        <v>0</v>
      </c>
      <c r="FJ29" s="50">
        <f>COUNTIFS(Parameters!$S:$S,$D$4,Parameters!$Q:$Q,DM29)</f>
        <v>0</v>
      </c>
      <c r="FK29" s="50">
        <f>COUNTIFS(Parameters!$S:$S,$D$4,Parameters!$Q:$Q,DN29)</f>
        <v>0</v>
      </c>
      <c r="FL29" s="50">
        <f>COUNTIFS(Parameters!$S:$S,$D$4,Parameters!$Q:$Q,DO29)</f>
        <v>0</v>
      </c>
      <c r="FM29" s="50">
        <f>COUNTIFS(Parameters!$S:$S,$D$4,Parameters!$Q:$Q,DP29)</f>
        <v>0</v>
      </c>
      <c r="FN29" s="50">
        <f>COUNTIFS(Parameters!$S:$S,$D$4,Parameters!$Q:$Q,DQ29)</f>
        <v>0</v>
      </c>
      <c r="FO29" s="50">
        <f>COUNTIFS(Parameters!$S:$S,$D$4,Parameters!$Q:$Q,DR29)</f>
        <v>0</v>
      </c>
      <c r="FP29" s="50">
        <f>COUNTIFS(Parameters!$S:$S,$D$4,Parameters!$Q:$Q,DS29)</f>
        <v>0</v>
      </c>
      <c r="FQ29" s="50">
        <f>COUNTIFS(Parameters!$S:$S,$D$4,Parameters!$Q:$Q,DT29)</f>
        <v>0</v>
      </c>
      <c r="FR29" s="57">
        <f>COUNTIFS(Parameters!$S:$S,$D$4,Parameters!$Q:$Q,DU29)</f>
        <v>0</v>
      </c>
      <c r="FU29" s="49">
        <f>COUNTIFS(Parameters!$S:$S,$D$4,Parameters!$Q:$Q,DX29)</f>
        <v>0</v>
      </c>
      <c r="FV29" s="50">
        <f>COUNTIFS(Parameters!$S:$S,$D$4,Parameters!$Q:$Q,DY29)</f>
        <v>0</v>
      </c>
      <c r="FW29" s="50">
        <f>COUNTIFS(Parameters!$S:$S,$D$4,Parameters!$Q:$Q,DZ29)</f>
        <v>0</v>
      </c>
      <c r="FX29" s="50">
        <f>COUNTIFS(Parameters!$S:$S,$D$4,Parameters!$Q:$Q,EA29)</f>
        <v>0</v>
      </c>
      <c r="FY29" s="50">
        <f>COUNTIFS(Parameters!$S:$S,$D$4,Parameters!$Q:$Q,EB29)</f>
        <v>0</v>
      </c>
      <c r="FZ29" s="50">
        <f>COUNTIFS(Parameters!$S:$S,$D$4,Parameters!$Q:$Q,EC29)</f>
        <v>0</v>
      </c>
      <c r="GA29" s="50">
        <f>COUNTIFS(Parameters!$S:$S,$D$4,Parameters!$Q:$Q,ED29)</f>
        <v>0</v>
      </c>
      <c r="GB29" s="50">
        <f>COUNTIFS(Parameters!$S:$S,$D$4,Parameters!$Q:$Q,EE29)</f>
        <v>0</v>
      </c>
      <c r="GC29" s="50">
        <f>COUNTIFS(Parameters!$S:$S,$D$4,Parameters!$Q:$Q,EF29)</f>
        <v>0</v>
      </c>
      <c r="GD29" s="50">
        <f>COUNTIFS(Parameters!$S:$S,$D$4,Parameters!$Q:$Q,EG29)</f>
        <v>0</v>
      </c>
      <c r="GE29" s="50">
        <f>COUNTIFS(Parameters!$S:$S,$D$4,Parameters!$Q:$Q,EH29)</f>
        <v>0</v>
      </c>
      <c r="GF29" s="50">
        <f>COUNTIFS(Parameters!$S:$S,$D$4,Parameters!$Q:$Q,EI29)</f>
        <v>0</v>
      </c>
      <c r="GG29" s="50">
        <f>COUNTIFS(Parameters!$S:$S,$D$4,Parameters!$Q:$Q,EJ29)</f>
        <v>0</v>
      </c>
      <c r="GH29" s="57">
        <f>COUNTIFS(Parameters!$S:$S,$D$4,Parameters!$Q:$Q,EK29)</f>
        <v>0</v>
      </c>
      <c r="GK29" s="49">
        <f>COUNTIFS(Parameters!$S:$S,$D$4,Parameters!$Q:$Q,EN29)</f>
        <v>0</v>
      </c>
      <c r="GL29" s="50">
        <f>COUNTIFS(Parameters!$S:$S,$D$4,Parameters!$Q:$Q,EO29)</f>
        <v>0</v>
      </c>
      <c r="GM29" s="50">
        <f>COUNTIFS(Parameters!$S:$S,$D$4,Parameters!$Q:$Q,EP29)</f>
        <v>0</v>
      </c>
      <c r="GN29" s="50">
        <f>COUNTIFS(Parameters!$S:$S,$D$4,Parameters!$Q:$Q,EQ29)</f>
        <v>0</v>
      </c>
      <c r="GO29" s="50">
        <f>COUNTIFS(Parameters!$S:$S,$D$4,Parameters!$Q:$Q,ER29)</f>
        <v>0</v>
      </c>
      <c r="GP29" s="50">
        <f>COUNTIFS(Parameters!$S:$S,$D$4,Parameters!$Q:$Q,ES29)</f>
        <v>0</v>
      </c>
      <c r="GQ29" s="50">
        <f>COUNTIFS(Parameters!$S:$S,$D$4,Parameters!$Q:$Q,ET29)</f>
        <v>1</v>
      </c>
      <c r="GR29" s="50">
        <f>COUNTIFS(Parameters!$S:$S,$D$4,Parameters!$Q:$Q,EU29)</f>
        <v>1</v>
      </c>
      <c r="GS29" s="50">
        <f>COUNTIFS(Parameters!$S:$S,$D$4,Parameters!$Q:$Q,EV29)</f>
        <v>0</v>
      </c>
      <c r="GT29" s="50">
        <f>COUNTIFS(Parameters!$S:$S,$D$4,Parameters!$Q:$Q,EW29)</f>
        <v>0</v>
      </c>
      <c r="GU29" s="50">
        <f>COUNTIFS(Parameters!$S:$S,$D$4,Parameters!$Q:$Q,EX29)</f>
        <v>0</v>
      </c>
      <c r="GV29" s="50">
        <f>COUNTIFS(Parameters!$S:$S,$D$4,Parameters!$Q:$Q,EY29)</f>
        <v>0</v>
      </c>
      <c r="GW29" s="50">
        <f>COUNTIFS(Parameters!$S:$S,$D$4,Parameters!$Q:$Q,EZ29)</f>
        <v>0</v>
      </c>
      <c r="GX29" s="57">
        <f>COUNTIFS(Parameters!$S:$S,$D$4,Parameters!$Q:$Q,FA29)</f>
        <v>0</v>
      </c>
      <c r="HB29" s="49">
        <f>IF(DH29="","",COUNTIFS($D$25:$D$267,Parameters!$K$2,$E$25:$E$267,Parameters!$M$2,Calendrier!$C$25:$C$267,DH29)+ COUNTIFS($D$25:$D$267,Parameters!$K$3,$E$25:$E$267,Parameters!$M$2,Calendrier!$C$25:$C$267,DH29))</f>
        <v>0</v>
      </c>
      <c r="HC29" s="50">
        <f>IF(DI29="","",COUNTIFS($D$25:$D$267,Parameters!$K$2,$E$25:$E$267,Parameters!$M$2,Calendrier!$C$25:$C$267,DI29)+ COUNTIFS($D$25:$D$267,Parameters!$K$4,$E$25:$E$267,Parameters!$M$2,Calendrier!$C$25:$C$267,DI29))</f>
        <v>0</v>
      </c>
      <c r="HD29" s="50">
        <f>IF(DJ29="","",COUNTIFS($D$25:$D$267,Parameters!$K$2,$E$25:$E$267,Parameters!$M$2,Calendrier!$C$25:$C$267,DJ29)+ COUNTIFS($D$25:$D$267,Parameters!$K$3,$E$25:$E$267,Parameters!$M$2,Calendrier!$C$25:$C$267,DJ29))</f>
        <v>0</v>
      </c>
      <c r="HE29" s="50">
        <f>IF(DK29="","",COUNTIFS($D$25:$D$267,Parameters!$K$2,$E$25:$E$267,Parameters!$M$2,Calendrier!$C$25:$C$267,DK29)+ COUNTIFS($D$25:$D$267,Parameters!$K$4,$E$25:$E$267,Parameters!$M$2,Calendrier!$C$25:$C$267,DK29))</f>
        <v>0</v>
      </c>
      <c r="HF29" s="50">
        <f>IF(DL29="","",COUNTIFS($D$25:$D$267,Parameters!$K$2,$E$25:$E$267,Parameters!$M$2,Calendrier!$C$25:$C$267,DL29)+ COUNTIFS($D$25:$D$267,Parameters!$K$3,$E$25:$E$267,Parameters!$M$2,Calendrier!$C$25:$C$267,DL29))</f>
        <v>0</v>
      </c>
      <c r="HG29" s="50">
        <f>IF(DM29="","",COUNTIFS($D$25:$D$267,Parameters!$K$2,$E$25:$E$267,Parameters!$M$2,Calendrier!$C$25:$C$267,DM29)+ COUNTIFS($D$25:$D$267,Parameters!$K$4,$E$25:$E$267,Parameters!$M$2,Calendrier!$C$25:$C$267,DM29))</f>
        <v>0</v>
      </c>
      <c r="HH29" s="50">
        <f>IF(DN29="","",COUNTIFS($D$25:$D$267,Parameters!$K$2,$E$25:$E$267,Parameters!$M$2,Calendrier!$C$25:$C$267,DN29)+ COUNTIFS($D$25:$D$267,Parameters!$K$3,$E$25:$E$267,Parameters!$M$2,Calendrier!$C$25:$C$267,DN29))</f>
        <v>0</v>
      </c>
      <c r="HI29" s="50">
        <f>IF(DO29="","",COUNTIFS($D$25:$D$267,Parameters!$K$2,$E$25:$E$267,Parameters!$M$2,Calendrier!$C$25:$C$267,DO29)+ COUNTIFS($D$25:$D$267,Parameters!$K$4,$E$25:$E$267,Parameters!$M$2,Calendrier!$C$25:$C$267,DO29))</f>
        <v>0</v>
      </c>
      <c r="HJ29" s="50">
        <f>IF(DP29="","",COUNTIFS($D$25:$D$267,Parameters!$K$2,$E$25:$E$267,Parameters!$M$2,Calendrier!$C$25:$C$267,DP29)+ COUNTIFS($D$25:$D$267,Parameters!$K$3,$E$25:$E$267,Parameters!$M$2,Calendrier!$C$25:$C$267,DP29))</f>
        <v>0</v>
      </c>
      <c r="HK29" s="50">
        <f>IF(DQ29="","",COUNTIFS($D$25:$D$267,Parameters!$K$2,$E$25:$E$267,Parameters!$M$2,Calendrier!$C$25:$C$267,DQ29)+ COUNTIFS($D$25:$D$267,Parameters!$K$4,$E$25:$E$267,Parameters!$M$2,Calendrier!$C$25:$C$267,DQ29))</f>
        <v>0</v>
      </c>
      <c r="HL29" s="50">
        <f>IF(DR29="","",COUNTIFS($D$25:$D$267,Parameters!$K$2,$E$25:$E$267,Parameters!$M$2,Calendrier!$C$25:$C$267,DR29)+ COUNTIFS($D$25:$D$267,Parameters!$K$3,$E$25:$E$267,Parameters!$M$2,Calendrier!$C$25:$C$267,DR29))</f>
        <v>0</v>
      </c>
      <c r="HM29" s="50">
        <f>IF(DS29="","",COUNTIFS($D$25:$D$267,Parameters!$K$2,$E$25:$E$267,Parameters!$M$2,Calendrier!$C$25:$C$267,DS29)+ COUNTIFS($D$25:$D$267,Parameters!$K$4,$E$25:$E$267,Parameters!$M$2,Calendrier!$C$25:$C$267,DS29))</f>
        <v>0</v>
      </c>
      <c r="HN29" s="50">
        <f>IF(DT29="","",COUNTIFS($D$25:$D$267,Parameters!$K$2,$E$25:$E$267,Parameters!$M$2,Calendrier!$C$25:$C$267,DT29)+ COUNTIFS($D$25:$D$267,Parameters!$K$3,$E$25:$E$267,Parameters!$M$2,Calendrier!$C$25:$C$267,DT29))</f>
        <v>0</v>
      </c>
      <c r="HO29" s="57">
        <f>IF(DU29="","",COUNTIFS($D$25:$D$267,Parameters!$K$2,$E$25:$E$267,Parameters!$M$2,Calendrier!$C$25:$C$267,DU29)+ COUNTIFS($D$25:$D$267,Parameters!$K$4,$E$25:$E$267,Parameters!$M$2,Calendrier!$C$25:$C$267,DU29))</f>
        <v>0</v>
      </c>
      <c r="HR29" s="49">
        <f>IF(DX29="","",COUNTIFS($D$25:$D$267,Parameters!$K$2,$E$25:$E$267,Parameters!$M$2,Calendrier!$C$25:$C$267,DX29)+ COUNTIFS($D$25:$D$267,Parameters!$K$3,$E$25:$E$267,Parameters!$M$2,Calendrier!$C$25:$C$267,DX29))</f>
        <v>0</v>
      </c>
      <c r="HS29" s="50">
        <f>IF(DY29="","",COUNTIFS($D$25:$D$267,Parameters!$K$2,$E$25:$E$267,Parameters!$M$2,Calendrier!$C$25:$C$267,DY29)+ COUNTIFS($D$25:$D$267,Parameters!$K$4,$E$25:$E$267,Parameters!$M$2,Calendrier!$C$25:$C$267,DY29))</f>
        <v>0</v>
      </c>
      <c r="HT29" s="50">
        <f>IF(DZ29="","",COUNTIFS($D$25:$D$267,Parameters!$K$2,$E$25:$E$267,Parameters!$M$2,Calendrier!$C$25:$C$267,DZ29)+ COUNTIFS($D$25:$D$267,Parameters!$K$3,$E$25:$E$267,Parameters!$M$2,Calendrier!$C$25:$C$267,DZ29))</f>
        <v>0</v>
      </c>
      <c r="HU29" s="50">
        <f>IF(EA29="","",COUNTIFS($D$25:$D$267,Parameters!$K$2,$E$25:$E$267,Parameters!$M$2,Calendrier!$C$25:$C$267,EA29)+ COUNTIFS($D$25:$D$267,Parameters!$K$4,$E$25:$E$267,Parameters!$M$2,Calendrier!$C$25:$C$267,EA29))</f>
        <v>0</v>
      </c>
      <c r="HV29" s="50">
        <f>IF(EB29="","",COUNTIFS($D$25:$D$267,Parameters!$K$2,$E$25:$E$267,Parameters!$M$2,Calendrier!$C$25:$C$267,EB29)+ COUNTIFS($D$25:$D$267,Parameters!$K$3,$E$25:$E$267,Parameters!$M$2,Calendrier!$C$25:$C$267,EB29))</f>
        <v>0</v>
      </c>
      <c r="HW29" s="50">
        <f>IF(EC29="","",COUNTIFS($D$25:$D$267,Parameters!$K$2,$E$25:$E$267,Parameters!$M$2,Calendrier!$C$25:$C$267,EC29)+ COUNTIFS($D$25:$D$267,Parameters!$K$4,$E$25:$E$267,Parameters!$M$2,Calendrier!$C$25:$C$267,EC29))</f>
        <v>0</v>
      </c>
      <c r="HX29" s="50">
        <f>IF(ED29="","",COUNTIFS($D$25:$D$267,Parameters!$K$2,$E$25:$E$267,Parameters!$M$2,Calendrier!$C$25:$C$267,ED29)+ COUNTIFS($D$25:$D$267,Parameters!$K$3,$E$25:$E$267,Parameters!$M$2,Calendrier!$C$25:$C$267,ED29))</f>
        <v>0</v>
      </c>
      <c r="HY29" s="50">
        <f>IF(EE29="","",COUNTIFS($D$25:$D$267,Parameters!$K$2,$E$25:$E$267,Parameters!$M$2,Calendrier!$C$25:$C$267,EE29)+ COUNTIFS($D$25:$D$267,Parameters!$K$4,$E$25:$E$267,Parameters!$M$2,Calendrier!$C$25:$C$267,EE29))</f>
        <v>0</v>
      </c>
      <c r="HZ29" s="50">
        <f>IF(EF29="","",COUNTIFS($D$25:$D$267,Parameters!$K$2,$E$25:$E$267,Parameters!$M$2,Calendrier!$C$25:$C$267,EF29)+ COUNTIFS($D$25:$D$267,Parameters!$K$3,$E$25:$E$267,Parameters!$M$2,Calendrier!$C$25:$C$267,EF29))</f>
        <v>0</v>
      </c>
      <c r="IA29" s="50">
        <f>IF(EG29="","",COUNTIFS($D$25:$D$267,Parameters!$K$2,$E$25:$E$267,Parameters!$M$2,Calendrier!$C$25:$C$267,EG29)+ COUNTIFS($D$25:$D$267,Parameters!$K$4,$E$25:$E$267,Parameters!$M$2,Calendrier!$C$25:$C$267,EG29))</f>
        <v>0</v>
      </c>
      <c r="IB29" s="50">
        <f>IF(EH29="","",COUNTIFS($D$25:$D$267,Parameters!$K$2,$E$25:$E$267,Parameters!$M$2,Calendrier!$C$25:$C$267,EH29)+ COUNTIFS($D$25:$D$267,Parameters!$K$3,$E$25:$E$267,Parameters!$M$2,Calendrier!$C$25:$C$267,EH29))</f>
        <v>0</v>
      </c>
      <c r="IC29" s="50">
        <f>IF(EI29="","",COUNTIFS($D$25:$D$267,Parameters!$K$2,$E$25:$E$267,Parameters!$M$2,Calendrier!$C$25:$C$267,EI29)+ COUNTIFS($D$25:$D$267,Parameters!$K$4,$E$25:$E$267,Parameters!$M$2,Calendrier!$C$25:$C$267,EI29))</f>
        <v>0</v>
      </c>
      <c r="ID29" s="50">
        <f>IF(EJ29="","",COUNTIFS($D$25:$D$267,Parameters!$K$2,$E$25:$E$267,Parameters!$M$2,Calendrier!$C$25:$C$267,EJ29)+ COUNTIFS($D$25:$D$267,Parameters!$K$3,$E$25:$E$267,Parameters!$M$2,Calendrier!$C$25:$C$267,EJ29))</f>
        <v>0</v>
      </c>
      <c r="IE29" s="57">
        <f>IF(EK29="","",COUNTIFS($D$25:$D$267,Parameters!$K$2,$E$25:$E$267,Parameters!$M$2,Calendrier!$C$25:$C$267,EK29)+ COUNTIFS($D$25:$D$267,Parameters!$K$4,$E$25:$E$267,Parameters!$M$2,Calendrier!$C$25:$C$267,EK29))</f>
        <v>0</v>
      </c>
      <c r="IH29" s="49">
        <f>IF(EN29="","",COUNTIFS($D$25:$D$267,Parameters!$K$2,$E$25:$E$267,Parameters!$M$2,Calendrier!$C$25:$C$267,EN29)+ COUNTIFS($D$25:$D$267,Parameters!$K$3,$E$25:$E$267,Parameters!$M$2,Calendrier!$C$25:$C$267,EN29))</f>
        <v>0</v>
      </c>
      <c r="II29" s="50">
        <f>IF(EO29="","",COUNTIFS($D$25:$D$267,Parameters!$K$2,$E$25:$E$267,Parameters!$M$2,Calendrier!$C$25:$C$267,EO29)+ COUNTIFS($D$25:$D$267,Parameters!$K$4,$E$25:$E$267,Parameters!$M$2,Calendrier!$C$25:$C$267,EO29))</f>
        <v>0</v>
      </c>
      <c r="IJ29" s="50">
        <f>IF(EP29="","",COUNTIFS($D$25:$D$267,Parameters!$K$2,$E$25:$E$267,Parameters!$M$2,Calendrier!$C$25:$C$267,EP29)+ COUNTIFS($D$25:$D$267,Parameters!$K$3,$E$25:$E$267,Parameters!$M$2,Calendrier!$C$25:$C$267,EP29))</f>
        <v>0</v>
      </c>
      <c r="IK29" s="50">
        <f>IF(EQ29="","",COUNTIFS($D$25:$D$267,Parameters!$K$2,$E$25:$E$267,Parameters!$M$2,Calendrier!$C$25:$C$267,EQ29)+ COUNTIFS($D$25:$D$267,Parameters!$K$4,$E$25:$E$267,Parameters!$M$2,Calendrier!$C$25:$C$267,EQ29))</f>
        <v>0</v>
      </c>
      <c r="IL29" s="50">
        <f>IF(ER29="","",COUNTIFS($D$25:$D$267,Parameters!$K$2,$E$25:$E$267,Parameters!$M$2,Calendrier!$C$25:$C$267,ER29)+ COUNTIFS($D$25:$D$267,Parameters!$K$3,$E$25:$E$267,Parameters!$M$2,Calendrier!$C$25:$C$267,ER29))</f>
        <v>0</v>
      </c>
      <c r="IM29" s="50">
        <f>IF(ES29="","",COUNTIFS($D$25:$D$267,Parameters!$K$2,$E$25:$E$267,Parameters!$M$2,Calendrier!$C$25:$C$267,ES29)+ COUNTIFS($D$25:$D$267,Parameters!$K$4,$E$25:$E$267,Parameters!$M$2,Calendrier!$C$25:$C$267,ES29))</f>
        <v>0</v>
      </c>
      <c r="IN29" s="50">
        <f>IF(ET29="","",COUNTIFS($D$25:$D$267,Parameters!$K$2,$E$25:$E$267,Parameters!$M$2,Calendrier!$C$25:$C$267,ET29)+ COUNTIFS($D$25:$D$267,Parameters!$K$3,$E$25:$E$267,Parameters!$M$2,Calendrier!$C$25:$C$267,ET29))</f>
        <v>0</v>
      </c>
      <c r="IO29" s="50">
        <f>IF(EU29="","",COUNTIFS($D$25:$D$267,Parameters!$K$2,$E$25:$E$267,Parameters!$M$2,Calendrier!$C$25:$C$267,EU29)+ COUNTIFS($D$25:$D$267,Parameters!$K$4,$E$25:$E$267,Parameters!$M$2,Calendrier!$C$25:$C$267,EU29))</f>
        <v>0</v>
      </c>
      <c r="IP29" s="50">
        <f>IF(EV29="","",COUNTIFS($D$25:$D$267,Parameters!$K$2,$E$25:$E$267,Parameters!$M$2,Calendrier!$C$25:$C$267,EV29)+ COUNTIFS($D$25:$D$267,Parameters!$K$3,$E$25:$E$267,Parameters!$M$2,Calendrier!$C$25:$C$267,EV29))</f>
        <v>0</v>
      </c>
      <c r="IQ29" s="50">
        <f>IF(EW29="","",COUNTIFS($D$25:$D$267,Parameters!$K$2,$E$25:$E$267,Parameters!$M$2,Calendrier!$C$25:$C$267,EW29)+ COUNTIFS($D$25:$D$267,Parameters!$K$4,$E$25:$E$267,Parameters!$M$2,Calendrier!$C$25:$C$267,EW29))</f>
        <v>0</v>
      </c>
      <c r="IR29" s="50">
        <f>IF(EX29="","",COUNTIFS($D$25:$D$267,Parameters!$K$2,$E$25:$E$267,Parameters!$M$2,Calendrier!$C$25:$C$267,EX29)+ COUNTIFS($D$25:$D$267,Parameters!$K$3,$E$25:$E$267,Parameters!$M$2,Calendrier!$C$25:$C$267,EX29))</f>
        <v>0</v>
      </c>
      <c r="IS29" s="50">
        <f>IF(EY29="","",COUNTIFS($D$25:$D$267,Parameters!$K$2,$E$25:$E$267,Parameters!$M$2,Calendrier!$C$25:$C$267,EY29)+ COUNTIFS($D$25:$D$267,Parameters!$K$4,$E$25:$E$267,Parameters!$M$2,Calendrier!$C$25:$C$267,EY29))</f>
        <v>0</v>
      </c>
      <c r="IT29" s="50">
        <f>IF(EZ29="","",COUNTIFS($D$25:$D$267,Parameters!$K$2,$E$25:$E$267,Parameters!$M$2,Calendrier!$C$25:$C$267,EZ29)+ COUNTIFS($D$25:$D$267,Parameters!$K$3,$E$25:$E$267,Parameters!$M$2,Calendrier!$C$25:$C$267,EZ29))</f>
        <v>0</v>
      </c>
      <c r="IU29" s="57">
        <f>IF(FA29="","",COUNTIFS($D$25:$D$267,Parameters!$K$2,$E$25:$E$267,Parameters!$M$2,Calendrier!$C$25:$C$267,FA29)+ COUNTIFS($D$25:$D$267,Parameters!$K$4,$E$25:$E$267,Parameters!$M$2,Calendrier!$C$25:$C$267,FA29))</f>
        <v>0</v>
      </c>
      <c r="IY29" s="49">
        <f>IF(DH29="","",COUNTIFS($D$25:$D$267,Parameters!$K$2,$E$25:$E$267,Parameters!$M$3,Calendrier!$C$25:$C$267,DH29)+ COUNTIFS($D$25:$D$267,Parameters!$K$3,$E$25:$E$267,Parameters!$M$3,Calendrier!$C$25:$C$267,DH29))</f>
        <v>0</v>
      </c>
      <c r="IZ29" s="50">
        <f>IF(DI29="","",COUNTIFS($D$25:$D$267,Parameters!$K$2,$E$25:$E$267,Parameters!$M$3,Calendrier!$C$25:$C$267,DI29)+ COUNTIFS($D$25:$D$267,Parameters!$K$4,$E$25:$E$267,Parameters!$M$3,Calendrier!$C$25:$C$267,DI29))</f>
        <v>0</v>
      </c>
      <c r="JA29" s="50">
        <f>IF(DJ29="","",COUNTIFS($D$25:$D$267,Parameters!$K$2,$E$25:$E$267,Parameters!$M$3,Calendrier!$C$25:$C$267,DJ29)+ COUNTIFS($D$25:$D$267,Parameters!$K$3,$E$25:$E$267,Parameters!$M$3,Calendrier!$C$25:$C$267,DJ29))</f>
        <v>0</v>
      </c>
      <c r="JB29" s="50">
        <f>IF(DK29="","",COUNTIFS($D$25:$D$267,Parameters!$K$2,$E$25:$E$267,Parameters!$M$3,Calendrier!$C$25:$C$267,DK29)+ COUNTIFS($D$25:$D$267,Parameters!$K$4,$E$25:$E$267,Parameters!$M$3,Calendrier!$C$25:$C$267,DK29))</f>
        <v>0</v>
      </c>
      <c r="JC29" s="50">
        <f>IF(DL29="","",COUNTIFS($D$25:$D$267,Parameters!$K$2,$E$25:$E$267,Parameters!$M$3,Calendrier!$C$25:$C$267,DL29)+ COUNTIFS($D$25:$D$267,Parameters!$K$3,$E$25:$E$267,Parameters!$M$3,Calendrier!$C$25:$C$267,DL29))</f>
        <v>0</v>
      </c>
      <c r="JD29" s="50">
        <f>IF(DM29="","",COUNTIFS($D$25:$D$267,Parameters!$K$2,$E$25:$E$267,Parameters!$M$3,Calendrier!$C$25:$C$267,DM29)+ COUNTIFS($D$25:$D$267,Parameters!$K$4,$E$25:$E$267,Parameters!$M$3,Calendrier!$C$25:$C$267,DM29))</f>
        <v>0</v>
      </c>
      <c r="JE29" s="50">
        <f>IF(DN29="","",COUNTIFS($D$25:$D$267,Parameters!$K$2,$E$25:$E$267,Parameters!$M$3,Calendrier!$C$25:$C$267,DN29)+ COUNTIFS($D$25:$D$267,Parameters!$K$3,$E$25:$E$267,Parameters!$M$3,Calendrier!$C$25:$C$267,DN29))</f>
        <v>0</v>
      </c>
      <c r="JF29" s="50">
        <f>IF(DO29="","",COUNTIFS($D$25:$D$267,Parameters!$K$2,$E$25:$E$267,Parameters!$M$3,Calendrier!$C$25:$C$267,DO29)+ COUNTIFS($D$25:$D$267,Parameters!$K$4,$E$25:$E$267,Parameters!$M$3,Calendrier!$C$25:$C$267,DO29))</f>
        <v>0</v>
      </c>
      <c r="JG29" s="50">
        <f>IF(DP29="","",COUNTIFS($D$25:$D$267,Parameters!$K$2,$E$25:$E$267,Parameters!$M$3,Calendrier!$C$25:$C$267,DP29)+ COUNTIFS($D$25:$D$267,Parameters!$K$3,$E$25:$E$267,Parameters!$M$3,Calendrier!$C$25:$C$267,DP29))</f>
        <v>0</v>
      </c>
      <c r="JH29" s="50">
        <f>IF(DQ29="","",COUNTIFS($D$25:$D$267,Parameters!$K$2,$E$25:$E$267,Parameters!$M$3,Calendrier!$C$25:$C$267,DQ29)+ COUNTIFS($D$25:$D$267,Parameters!$K$4,$E$25:$E$267,Parameters!$M$3,Calendrier!$C$25:$C$267,DQ29))</f>
        <v>0</v>
      </c>
      <c r="JI29" s="50">
        <f>IF(DR29="","",COUNTIFS($D$25:$D$267,Parameters!$K$2,$E$25:$E$267,Parameters!$M$3,Calendrier!$C$25:$C$267,DR29)+ COUNTIFS($D$25:$D$267,Parameters!$K$3,$E$25:$E$267,Parameters!$M$3,Calendrier!$C$25:$C$267,DR29))</f>
        <v>0</v>
      </c>
      <c r="JJ29" s="50">
        <f>IF(DS29="","",COUNTIFS($D$25:$D$267,Parameters!$K$2,$E$25:$E$267,Parameters!$M$3,Calendrier!$C$25:$C$267,DS29)+ COUNTIFS($D$25:$D$267,Parameters!$K$4,$E$25:$E$267,Parameters!$M$3,Calendrier!$C$25:$C$267,DS29))</f>
        <v>0</v>
      </c>
      <c r="JK29" s="50">
        <f>IF(DT29="","",COUNTIFS($D$25:$D$267,Parameters!$K$2,$E$25:$E$267,Parameters!$M$3,Calendrier!$C$25:$C$267,DT29)+ COUNTIFS($D$25:$D$267,Parameters!$K$3,$E$25:$E$267,Parameters!$M$3,Calendrier!$C$25:$C$267,DT29))</f>
        <v>0</v>
      </c>
      <c r="JL29" s="57">
        <f>IF(DU29="","",COUNTIFS($D$25:$D$267,Parameters!$K$2,$E$25:$E$267,Parameters!$M$3,Calendrier!$C$25:$C$267,DU29)+ COUNTIFS($D$25:$D$267,Parameters!$K$4,$E$25:$E$267,Parameters!$M$3,Calendrier!$C$25:$C$267,DU29))</f>
        <v>0</v>
      </c>
      <c r="JO29" s="49">
        <f>IF(DX29="","",COUNTIFS($D$25:$D$267,Parameters!$K$2,$E$25:$E$267,Parameters!$M$3,Calendrier!$C$25:$C$267,DX29)+ COUNTIFS($D$25:$D$267,Parameters!$K$3,$E$25:$E$267,Parameters!$M$3,Calendrier!$C$25:$C$267,DX29))</f>
        <v>0</v>
      </c>
      <c r="JP29" s="50">
        <f>IF(DY29="","",COUNTIFS($D$25:$D$267,Parameters!$K$2,$E$25:$E$267,Parameters!$M$3,Calendrier!$C$25:$C$267,DY29)+ COUNTIFS($D$25:$D$267,Parameters!$K$4,$E$25:$E$267,Parameters!$M$3,Calendrier!$C$25:$C$267,DY29))</f>
        <v>0</v>
      </c>
      <c r="JQ29" s="50">
        <f>IF(DZ29="","",COUNTIFS($D$25:$D$267,Parameters!$K$2,$E$25:$E$267,Parameters!$M$3,Calendrier!$C$25:$C$267,DZ29)+ COUNTIFS($D$25:$D$267,Parameters!$K$3,$E$25:$E$267,Parameters!$M$3,Calendrier!$C$25:$C$267,DZ29))</f>
        <v>0</v>
      </c>
      <c r="JR29" s="50">
        <f>IF(EA29="","",COUNTIFS($D$25:$D$267,Parameters!$K$2,$E$25:$E$267,Parameters!$M$3,Calendrier!$C$25:$C$267,EA29)+ COUNTIFS($D$25:$D$267,Parameters!$K$4,$E$25:$E$267,Parameters!$M$3,Calendrier!$C$25:$C$267,EA29))</f>
        <v>0</v>
      </c>
      <c r="JS29" s="50">
        <f>IF(EB29="","",COUNTIFS($D$25:$D$267,Parameters!$K$2,$E$25:$E$267,Parameters!$M$3,Calendrier!$C$25:$C$267,EB29)+ COUNTIFS($D$25:$D$267,Parameters!$K$3,$E$25:$E$267,Parameters!$M$3,Calendrier!$C$25:$C$267,EB29))</f>
        <v>0</v>
      </c>
      <c r="JT29" s="50">
        <f>IF(EC29="","",COUNTIFS($D$25:$D$267,Parameters!$K$2,$E$25:$E$267,Parameters!$M$3,Calendrier!$C$25:$C$267,EC29)+ COUNTIFS($D$25:$D$267,Parameters!$K$4,$E$25:$E$267,Parameters!$M$3,Calendrier!$C$25:$C$267,EC29))</f>
        <v>0</v>
      </c>
      <c r="JU29" s="50">
        <f>IF(ED29="","",COUNTIFS($D$25:$D$267,Parameters!$K$2,$E$25:$E$267,Parameters!$M$3,Calendrier!$C$25:$C$267,ED29)+ COUNTIFS($D$25:$D$267,Parameters!$K$3,$E$25:$E$267,Parameters!$M$3,Calendrier!$C$25:$C$267,ED29))</f>
        <v>0</v>
      </c>
      <c r="JV29" s="50">
        <f>IF(EE29="","",COUNTIFS($D$25:$D$267,Parameters!$K$2,$E$25:$E$267,Parameters!$M$3,Calendrier!$C$25:$C$267,EE29)+ COUNTIFS($D$25:$D$267,Parameters!$K$4,$E$25:$E$267,Parameters!$M$3,Calendrier!$C$25:$C$267,EE29))</f>
        <v>0</v>
      </c>
      <c r="JW29" s="50">
        <f>IF(EF29="","",COUNTIFS($D$25:$D$267,Parameters!$K$2,$E$25:$E$267,Parameters!$M$3,Calendrier!$C$25:$C$267,EF29)+ COUNTIFS($D$25:$D$267,Parameters!$K$3,$E$25:$E$267,Parameters!$M$3,Calendrier!$C$25:$C$267,EF29))</f>
        <v>0</v>
      </c>
      <c r="JX29" s="50">
        <f>IF(EG29="","",COUNTIFS($D$25:$D$267,Parameters!$K$2,$E$25:$E$267,Parameters!$M$3,Calendrier!$C$25:$C$267,EG29)+ COUNTIFS($D$25:$D$267,Parameters!$K$4,$E$25:$E$267,Parameters!$M$3,Calendrier!$C$25:$C$267,EG29))</f>
        <v>0</v>
      </c>
      <c r="JY29" s="50">
        <f>IF(EH29="","",COUNTIFS($D$25:$D$267,Parameters!$K$2,$E$25:$E$267,Parameters!$M$3,Calendrier!$C$25:$C$267,EH29)+ COUNTIFS($D$25:$D$267,Parameters!$K$3,$E$25:$E$267,Parameters!$M$3,Calendrier!$C$25:$C$267,EH29))</f>
        <v>0</v>
      </c>
      <c r="JZ29" s="50">
        <f>IF(EI29="","",COUNTIFS($D$25:$D$267,Parameters!$K$2,$E$25:$E$267,Parameters!$M$3,Calendrier!$C$25:$C$267,EI29)+ COUNTIFS($D$25:$D$267,Parameters!$K$4,$E$25:$E$267,Parameters!$M$3,Calendrier!$C$25:$C$267,EI29))</f>
        <v>0</v>
      </c>
      <c r="KA29" s="50">
        <f>IF(EJ29="","",COUNTIFS($D$25:$D$267,Parameters!$K$2,$E$25:$E$267,Parameters!$M$3,Calendrier!$C$25:$C$267,EJ29)+ COUNTIFS($D$25:$D$267,Parameters!$K$3,$E$25:$E$267,Parameters!$M$3,Calendrier!$C$25:$C$267,EJ29))</f>
        <v>0</v>
      </c>
      <c r="KB29" s="57">
        <f>IF(EK29="","",COUNTIFS($D$25:$D$267,Parameters!$K$2,$E$25:$E$267,Parameters!$M$3,Calendrier!$C$25:$C$267,EK29)+ COUNTIFS($D$25:$D$267,Parameters!$K$4,$E$25:$E$267,Parameters!$M$3,Calendrier!$C$25:$C$267,EK29))</f>
        <v>0</v>
      </c>
      <c r="KE29" s="49">
        <f>IF(EN29="","",COUNTIFS($D$25:$D$267,Parameters!$K$2,$E$25:$E$267,Parameters!$M$3,Calendrier!$C$25:$C$267,EN29)+ COUNTIFS($D$25:$D$267,Parameters!$K$3,$E$25:$E$267,Parameters!$M$3,Calendrier!$C$25:$C$267,EN29))</f>
        <v>0</v>
      </c>
      <c r="KF29" s="50">
        <f>IF(EO29="","",COUNTIFS($D$25:$D$267,Parameters!$K$2,$E$25:$E$267,Parameters!$M$3,Calendrier!$C$25:$C$267,EO29)+ COUNTIFS($D$25:$D$267,Parameters!$K$4,$E$25:$E$267,Parameters!$M$3,Calendrier!$C$25:$C$267,EO29))</f>
        <v>0</v>
      </c>
      <c r="KG29" s="50">
        <f>IF(EP29="","",COUNTIFS($D$25:$D$267,Parameters!$K$2,$E$25:$E$267,Parameters!$M$3,Calendrier!$C$25:$C$267,EP29)+ COUNTIFS($D$25:$D$267,Parameters!$K$3,$E$25:$E$267,Parameters!$M$3,Calendrier!$C$25:$C$267,EP29))</f>
        <v>0</v>
      </c>
      <c r="KH29" s="50">
        <f>IF(EQ29="","",COUNTIFS($D$25:$D$267,Parameters!$K$2,$E$25:$E$267,Parameters!$M$3,Calendrier!$C$25:$C$267,EQ29)+ COUNTIFS($D$25:$D$267,Parameters!$K$4,$E$25:$E$267,Parameters!$M$3,Calendrier!$C$25:$C$267,EQ29))</f>
        <v>0</v>
      </c>
      <c r="KI29" s="50">
        <f>IF(ER29="","",COUNTIFS($D$25:$D$267,Parameters!$K$2,$E$25:$E$267,Parameters!$M$3,Calendrier!$C$25:$C$267,ER29)+ COUNTIFS($D$25:$D$267,Parameters!$K$3,$E$25:$E$267,Parameters!$M$3,Calendrier!$C$25:$C$267,ER29))</f>
        <v>0</v>
      </c>
      <c r="KJ29" s="50">
        <f>IF(ES29="","",COUNTIFS($D$25:$D$267,Parameters!$K$2,$E$25:$E$267,Parameters!$M$3,Calendrier!$C$25:$C$267,ES29)+ COUNTIFS($D$25:$D$267,Parameters!$K$4,$E$25:$E$267,Parameters!$M$3,Calendrier!$C$25:$C$267,ES29))</f>
        <v>0</v>
      </c>
      <c r="KK29" s="50">
        <f>IF(ET29="","",COUNTIFS($D$25:$D$267,Parameters!$K$2,$E$25:$E$267,Parameters!$M$3,Calendrier!$C$25:$C$267,ET29)+ COUNTIFS($D$25:$D$267,Parameters!$K$3,$E$25:$E$267,Parameters!$M$3,Calendrier!$C$25:$C$267,ET29))</f>
        <v>0</v>
      </c>
      <c r="KL29" s="50">
        <f>IF(EU29="","",COUNTIFS($D$25:$D$267,Parameters!$K$2,$E$25:$E$267,Parameters!$M$3,Calendrier!$C$25:$C$267,EU29)+ COUNTIFS($D$25:$D$267,Parameters!$K$4,$E$25:$E$267,Parameters!$M$3,Calendrier!$C$25:$C$267,EU29))</f>
        <v>0</v>
      </c>
      <c r="KM29" s="50">
        <f>IF(EV29="","",COUNTIFS($D$25:$D$267,Parameters!$K$2,$E$25:$E$267,Parameters!$M$3,Calendrier!$C$25:$C$267,EV29)+ COUNTIFS($D$25:$D$267,Parameters!$K$3,$E$25:$E$267,Parameters!$M$3,Calendrier!$C$25:$C$267,EV29))</f>
        <v>0</v>
      </c>
      <c r="KN29" s="50">
        <f>IF(EW29="","",COUNTIFS($D$25:$D$267,Parameters!$K$2,$E$25:$E$267,Parameters!$M$3,Calendrier!$C$25:$C$267,EW29)+ COUNTIFS($D$25:$D$267,Parameters!$K$4,$E$25:$E$267,Parameters!$M$3,Calendrier!$C$25:$C$267,EW29))</f>
        <v>0</v>
      </c>
      <c r="KO29" s="50">
        <f>IF(EX29="","",COUNTIFS($D$25:$D$267,Parameters!$K$2,$E$25:$E$267,Parameters!$M$3,Calendrier!$C$25:$C$267,EX29)+ COUNTIFS($D$25:$D$267,Parameters!$K$3,$E$25:$E$267,Parameters!$M$3,Calendrier!$C$25:$C$267,EX29))</f>
        <v>0</v>
      </c>
      <c r="KP29" s="50">
        <f>IF(EY29="","",COUNTIFS($D$25:$D$267,Parameters!$K$2,$E$25:$E$267,Parameters!$M$3,Calendrier!$C$25:$C$267,EY29)+ COUNTIFS($D$25:$D$267,Parameters!$K$4,$E$25:$E$267,Parameters!$M$3,Calendrier!$C$25:$C$267,EY29))</f>
        <v>0</v>
      </c>
      <c r="KQ29" s="50">
        <f>IF(EZ29="","",COUNTIFS($D$25:$D$267,Parameters!$K$2,$E$25:$E$267,Parameters!$M$3,Calendrier!$C$25:$C$267,EZ29)+ COUNTIFS($D$25:$D$267,Parameters!$K$3,$E$25:$E$267,Parameters!$M$3,Calendrier!$C$25:$C$267,EZ29))</f>
        <v>0</v>
      </c>
      <c r="KR29" s="57">
        <f>IF(FA29="","",COUNTIFS($D$25:$D$267,Parameters!$K$2,$E$25:$E$267,Parameters!$M$3,Calendrier!$C$25:$C$267,FA29)+ COUNTIFS($D$25:$D$267,Parameters!$K$4,$E$25:$E$267,Parameters!$M$3,Calendrier!$C$25:$C$267,FA29))</f>
        <v>0</v>
      </c>
      <c r="KV29" s="49">
        <f>IF(DH29="","",COUNTIFS($D$25:$D$267,Parameters!$K$2,$E$25:$E$267,Parameters!$M$4,Calendrier!$C$25:$C$267,DH29)+ COUNTIFS($D$25:$D$267,Parameters!$K$3,$E$25:$E$267,Parameters!$M$4,Calendrier!$C$25:$C$267,DH29))</f>
        <v>0</v>
      </c>
      <c r="KW29" s="50">
        <f>IF(DI29="","",COUNTIFS($D$25:$D$267,Parameters!$K$2,$E$25:$E$267,Parameters!$M$4,Calendrier!$C$25:$C$267,DI29)+ COUNTIFS($D$25:$D$267,Parameters!$K$4,$E$25:$E$267,Parameters!$M$4,Calendrier!$C$25:$C$267,DI29))</f>
        <v>0</v>
      </c>
      <c r="KX29" s="50">
        <f>IF(DJ29="","",COUNTIFS($D$25:$D$267,Parameters!$K$2,$E$25:$E$267,Parameters!$M$4,Calendrier!$C$25:$C$267,DJ29)+ COUNTIFS($D$25:$D$267,Parameters!$K$3,$E$25:$E$267,Parameters!$M$4,Calendrier!$C$25:$C$267,DJ29))</f>
        <v>0</v>
      </c>
      <c r="KY29" s="50">
        <f>IF(DK29="","",COUNTIFS($D$25:$D$267,Parameters!$K$2,$E$25:$E$267,Parameters!$M$4,Calendrier!$C$25:$C$267,DK29)+ COUNTIFS($D$25:$D$267,Parameters!$K$4,$E$25:$E$267,Parameters!$M$4,Calendrier!$C$25:$C$267,DK29))</f>
        <v>0</v>
      </c>
      <c r="KZ29" s="50">
        <f>IF(DL29="","",COUNTIFS($D$25:$D$267,Parameters!$K$2,$E$25:$E$267,Parameters!$M$4,Calendrier!$C$25:$C$267,DL29)+ COUNTIFS($D$25:$D$267,Parameters!$K$3,$E$25:$E$267,Parameters!$M$4,Calendrier!$C$25:$C$267,DL29))</f>
        <v>0</v>
      </c>
      <c r="LA29" s="50">
        <f>IF(DM29="","",COUNTIFS($D$25:$D$267,Parameters!$K$2,$E$25:$E$267,Parameters!$M$4,Calendrier!$C$25:$C$267,DM29)+ COUNTIFS($D$25:$D$267,Parameters!$K$4,$E$25:$E$267,Parameters!$M$4,Calendrier!$C$25:$C$267,DM29))</f>
        <v>0</v>
      </c>
      <c r="LB29" s="50">
        <f>IF(DN29="","",COUNTIFS($D$25:$D$267,Parameters!$K$2,$E$25:$E$267,Parameters!$M$4,Calendrier!$C$25:$C$267,DN29)+ COUNTIFS($D$25:$D$267,Parameters!$K$3,$E$25:$E$267,Parameters!$M$4,Calendrier!$C$25:$C$267,DN29))</f>
        <v>0</v>
      </c>
      <c r="LC29" s="50">
        <f>IF(DO29="","",COUNTIFS($D$25:$D$267,Parameters!$K$2,$E$25:$E$267,Parameters!$M$4,Calendrier!$C$25:$C$267,DO29)+ COUNTIFS($D$25:$D$267,Parameters!$K$4,$E$25:$E$267,Parameters!$M$4,Calendrier!$C$25:$C$267,DO29))</f>
        <v>0</v>
      </c>
      <c r="LD29" s="50">
        <f>IF(DP29="","",COUNTIFS($D$25:$D$267,Parameters!$K$2,$E$25:$E$267,Parameters!$M$4,Calendrier!$C$25:$C$267,DP29)+ COUNTIFS($D$25:$D$267,Parameters!$K$3,$E$25:$E$267,Parameters!$M$4,Calendrier!$C$25:$C$267,DP29))</f>
        <v>0</v>
      </c>
      <c r="LE29" s="50">
        <f>IF(DQ29="","",COUNTIFS($D$25:$D$267,Parameters!$K$2,$E$25:$E$267,Parameters!$M$4,Calendrier!$C$25:$C$267,DQ29)+ COUNTIFS($D$25:$D$267,Parameters!$K$4,$E$25:$E$267,Parameters!$M$4,Calendrier!$C$25:$C$267,DQ29))</f>
        <v>0</v>
      </c>
      <c r="LF29" s="50">
        <f>IF(DR29="","",COUNTIFS($D$25:$D$267,Parameters!$K$2,$E$25:$E$267,Parameters!$M$4,Calendrier!$C$25:$C$267,DR29)+ COUNTIFS($D$25:$D$267,Parameters!$K$3,$E$25:$E$267,Parameters!$M$4,Calendrier!$C$25:$C$267,DR29))</f>
        <v>0</v>
      </c>
      <c r="LG29" s="50">
        <f>IF(DS29="","",COUNTIFS($D$25:$D$267,Parameters!$K$2,$E$25:$E$267,Parameters!$M$4,Calendrier!$C$25:$C$267,DS29)+ COUNTIFS($D$25:$D$267,Parameters!$K$4,$E$25:$E$267,Parameters!$M$4,Calendrier!$C$25:$C$267,DS29))</f>
        <v>0</v>
      </c>
      <c r="LH29" s="50">
        <f>IF(DT29="","",COUNTIFS($D$25:$D$267,Parameters!$K$2,$E$25:$E$267,Parameters!$M$4,Calendrier!$C$25:$C$267,DT29)+ COUNTIFS($D$25:$D$267,Parameters!$K$3,$E$25:$E$267,Parameters!$M$4,Calendrier!$C$25:$C$267,DT29))</f>
        <v>0</v>
      </c>
      <c r="LI29" s="57">
        <f>IF(DU29="","",COUNTIFS($D$25:$D$267,Parameters!$K$2,$E$25:$E$267,Parameters!$M$4,Calendrier!$C$25:$C$267,DU29)+ COUNTIFS($D$25:$D$267,Parameters!$K$4,$E$25:$E$267,Parameters!$M$4,Calendrier!$C$25:$C$267,DU29))</f>
        <v>0</v>
      </c>
      <c r="LL29" s="49">
        <f>IF(DX29="","",COUNTIFS($D$25:$D$267,Parameters!$K$2,$E$25:$E$267,Parameters!$M$4,Calendrier!$C$25:$C$267,DX29)+ COUNTIFS($D$25:$D$267,Parameters!$K$3,$E$25:$E$267,Parameters!$M$4,Calendrier!$C$25:$C$267,DX29))</f>
        <v>0</v>
      </c>
      <c r="LM29" s="50">
        <f>IF(DY29="","",COUNTIFS($D$25:$D$267,Parameters!$K$2,$E$25:$E$267,Parameters!$M$4,Calendrier!$C$25:$C$267,DY29)+ COUNTIFS($D$25:$D$267,Parameters!$K$4,$E$25:$E$267,Parameters!$M$4,Calendrier!$C$25:$C$267,DY29))</f>
        <v>0</v>
      </c>
      <c r="LN29" s="50">
        <f>IF(DZ29="","",COUNTIFS($D$25:$D$267,Parameters!$K$2,$E$25:$E$267,Parameters!$M$4,Calendrier!$C$25:$C$267,DZ29)+ COUNTIFS($D$25:$D$267,Parameters!$K$3,$E$25:$E$267,Parameters!$M$4,Calendrier!$C$25:$C$267,DZ29))</f>
        <v>0</v>
      </c>
      <c r="LO29" s="50">
        <f>IF(EA29="","",COUNTIFS($D$25:$D$267,Parameters!$K$2,$E$25:$E$267,Parameters!$M$4,Calendrier!$C$25:$C$267,EA29)+ COUNTIFS($D$25:$D$267,Parameters!$K$4,$E$25:$E$267,Parameters!$M$4,Calendrier!$C$25:$C$267,EA29))</f>
        <v>0</v>
      </c>
      <c r="LP29" s="50">
        <f>IF(EB29="","",COUNTIFS($D$25:$D$267,Parameters!$K$2,$E$25:$E$267,Parameters!$M$4,Calendrier!$C$25:$C$267,EB29)+ COUNTIFS($D$25:$D$267,Parameters!$K$3,$E$25:$E$267,Parameters!$M$4,Calendrier!$C$25:$C$267,EB29))</f>
        <v>0</v>
      </c>
      <c r="LQ29" s="50">
        <f>IF(EC29="","",COUNTIFS($D$25:$D$267,Parameters!$K$2,$E$25:$E$267,Parameters!$M$4,Calendrier!$C$25:$C$267,EC29)+ COUNTIFS($D$25:$D$267,Parameters!$K$4,$E$25:$E$267,Parameters!$M$4,Calendrier!$C$25:$C$267,EC29))</f>
        <v>0</v>
      </c>
      <c r="LR29" s="50">
        <f>IF(ED29="","",COUNTIFS($D$25:$D$267,Parameters!$K$2,$E$25:$E$267,Parameters!$M$4,Calendrier!$C$25:$C$267,ED29)+ COUNTIFS($D$25:$D$267,Parameters!$K$3,$E$25:$E$267,Parameters!$M$4,Calendrier!$C$25:$C$267,ED29))</f>
        <v>0</v>
      </c>
      <c r="LS29" s="50">
        <f>IF(EE29="","",COUNTIFS($D$25:$D$267,Parameters!$K$2,$E$25:$E$267,Parameters!$M$4,Calendrier!$C$25:$C$267,EE29)+ COUNTIFS($D$25:$D$267,Parameters!$K$4,$E$25:$E$267,Parameters!$M$4,Calendrier!$C$25:$C$267,EE29))</f>
        <v>0</v>
      </c>
      <c r="LT29" s="50">
        <f>IF(EF29="","",COUNTIFS($D$25:$D$267,Parameters!$K$2,$E$25:$E$267,Parameters!$M$4,Calendrier!$C$25:$C$267,EF29)+ COUNTIFS($D$25:$D$267,Parameters!$K$3,$E$25:$E$267,Parameters!$M$4,Calendrier!$C$25:$C$267,EF29))</f>
        <v>0</v>
      </c>
      <c r="LU29" s="50">
        <f>IF(EG29="","",COUNTIFS($D$25:$D$267,Parameters!$K$2,$E$25:$E$267,Parameters!$M$4,Calendrier!$C$25:$C$267,EG29)+ COUNTIFS($D$25:$D$267,Parameters!$K$4,$E$25:$E$267,Parameters!$M$4,Calendrier!$C$25:$C$267,EG29))</f>
        <v>0</v>
      </c>
      <c r="LV29" s="50">
        <f>IF(EH29="","",COUNTIFS($D$25:$D$267,Parameters!$K$2,$E$25:$E$267,Parameters!$M$4,Calendrier!$C$25:$C$267,EH29)+ COUNTIFS($D$25:$D$267,Parameters!$K$3,$E$25:$E$267,Parameters!$M$4,Calendrier!$C$25:$C$267,EH29))</f>
        <v>0</v>
      </c>
      <c r="LW29" s="50">
        <f>IF(EI29="","",COUNTIFS($D$25:$D$267,Parameters!$K$2,$E$25:$E$267,Parameters!$M$4,Calendrier!$C$25:$C$267,EI29)+ COUNTIFS($D$25:$D$267,Parameters!$K$4,$E$25:$E$267,Parameters!$M$4,Calendrier!$C$25:$C$267,EI29))</f>
        <v>0</v>
      </c>
      <c r="LX29" s="50">
        <f>IF(EJ29="","",COUNTIFS($D$25:$D$267,Parameters!$K$2,$E$25:$E$267,Parameters!$M$4,Calendrier!$C$25:$C$267,EJ29)+ COUNTIFS($D$25:$D$267,Parameters!$K$3,$E$25:$E$267,Parameters!$M$4,Calendrier!$C$25:$C$267,EJ29))</f>
        <v>0</v>
      </c>
      <c r="LY29" s="57">
        <f>IF(EK29="","",COUNTIFS($D$25:$D$267,Parameters!$K$2,$E$25:$E$267,Parameters!$M$4,Calendrier!$C$25:$C$267,EK29)+ COUNTIFS($D$25:$D$267,Parameters!$K$4,$E$25:$E$267,Parameters!$M$4,Calendrier!$C$25:$C$267,EK29))</f>
        <v>0</v>
      </c>
      <c r="MB29" s="49">
        <f>IF(EN29="","",COUNTIFS($D$25:$D$267,Parameters!$K$2,$E$25:$E$267,Parameters!$M$4,Calendrier!$C$25:$C$267,EN29)+ COUNTIFS($D$25:$D$267,Parameters!$K$3,$E$25:$E$267,Parameters!$M$4,Calendrier!$C$25:$C$267,EN29))</f>
        <v>0</v>
      </c>
      <c r="MC29" s="50">
        <f>IF(EO29="","",COUNTIFS($D$25:$D$267,Parameters!$K$2,$E$25:$E$267,Parameters!$M$4,Calendrier!$C$25:$C$267,EO29)+ COUNTIFS($D$25:$D$267,Parameters!$K$4,$E$25:$E$267,Parameters!$M$4,Calendrier!$C$25:$C$267,EO29))</f>
        <v>0</v>
      </c>
      <c r="MD29" s="50">
        <f>IF(EP29="","",COUNTIFS($D$25:$D$267,Parameters!$K$2,$E$25:$E$267,Parameters!$M$4,Calendrier!$C$25:$C$267,EP29)+ COUNTIFS($D$25:$D$267,Parameters!$K$3,$E$25:$E$267,Parameters!$M$4,Calendrier!$C$25:$C$267,EP29))</f>
        <v>0</v>
      </c>
      <c r="ME29" s="50">
        <f>IF(EQ29="","",COUNTIFS($D$25:$D$267,Parameters!$K$2,$E$25:$E$267,Parameters!$M$4,Calendrier!$C$25:$C$267,EQ29)+ COUNTIFS($D$25:$D$267,Parameters!$K$4,$E$25:$E$267,Parameters!$M$4,Calendrier!$C$25:$C$267,EQ29))</f>
        <v>0</v>
      </c>
      <c r="MF29" s="50">
        <f>IF(ER29="","",COUNTIFS($D$25:$D$267,Parameters!$K$2,$E$25:$E$267,Parameters!$M$4,Calendrier!$C$25:$C$267,ER29)+ COUNTIFS($D$25:$D$267,Parameters!$K$3,$E$25:$E$267,Parameters!$M$4,Calendrier!$C$25:$C$267,ER29))</f>
        <v>0</v>
      </c>
      <c r="MG29" s="50">
        <f>IF(ES29="","",COUNTIFS($D$25:$D$267,Parameters!$K$2,$E$25:$E$267,Parameters!$M$4,Calendrier!$C$25:$C$267,ES29)+ COUNTIFS($D$25:$D$267,Parameters!$K$4,$E$25:$E$267,Parameters!$M$4,Calendrier!$C$25:$C$267,ES29))</f>
        <v>0</v>
      </c>
      <c r="MH29" s="50">
        <f>IF(ET29="","",COUNTIFS($D$25:$D$267,Parameters!$K$2,$E$25:$E$267,Parameters!$M$4,Calendrier!$C$25:$C$267,ET29)+ COUNTIFS($D$25:$D$267,Parameters!$K$3,$E$25:$E$267,Parameters!$M$4,Calendrier!$C$25:$C$267,ET29))</f>
        <v>0</v>
      </c>
      <c r="MI29" s="50">
        <f>IF(EU29="","",COUNTIFS($D$25:$D$267,Parameters!$K$2,$E$25:$E$267,Parameters!$M$4,Calendrier!$C$25:$C$267,EU29)+ COUNTIFS($D$25:$D$267,Parameters!$K$4,$E$25:$E$267,Parameters!$M$4,Calendrier!$C$25:$C$267,EU29))</f>
        <v>0</v>
      </c>
      <c r="MJ29" s="50">
        <f>IF(EV29="","",COUNTIFS($D$25:$D$267,Parameters!$K$2,$E$25:$E$267,Parameters!$M$4,Calendrier!$C$25:$C$267,EV29)+ COUNTIFS($D$25:$D$267,Parameters!$K$3,$E$25:$E$267,Parameters!$M$4,Calendrier!$C$25:$C$267,EV29))</f>
        <v>0</v>
      </c>
      <c r="MK29" s="50">
        <f>IF(EW29="","",COUNTIFS($D$25:$D$267,Parameters!$K$2,$E$25:$E$267,Parameters!$M$4,Calendrier!$C$25:$C$267,EW29)+ COUNTIFS($D$25:$D$267,Parameters!$K$4,$E$25:$E$267,Parameters!$M$4,Calendrier!$C$25:$C$267,EW29))</f>
        <v>0</v>
      </c>
      <c r="ML29" s="50">
        <f>IF(EX29="","",COUNTIFS($D$25:$D$267,Parameters!$K$2,$E$25:$E$267,Parameters!$M$4,Calendrier!$C$25:$C$267,EX29)+ COUNTIFS($D$25:$D$267,Parameters!$K$3,$E$25:$E$267,Parameters!$M$4,Calendrier!$C$25:$C$267,EX29))</f>
        <v>0</v>
      </c>
      <c r="MM29" s="50">
        <f>IF(EY29="","",COUNTIFS($D$25:$D$267,Parameters!$K$2,$E$25:$E$267,Parameters!$M$4,Calendrier!$C$25:$C$267,EY29)+ COUNTIFS($D$25:$D$267,Parameters!$K$4,$E$25:$E$267,Parameters!$M$4,Calendrier!$C$25:$C$267,EY29))</f>
        <v>0</v>
      </c>
      <c r="MN29" s="50">
        <f>IF(EZ29="","",COUNTIFS($D$25:$D$267,Parameters!$K$2,$E$25:$E$267,Parameters!$M$4,Calendrier!$C$25:$C$267,EZ29)+ COUNTIFS($D$25:$D$267,Parameters!$K$3,$E$25:$E$267,Parameters!$M$4,Calendrier!$C$25:$C$267,EZ29))</f>
        <v>0</v>
      </c>
      <c r="MO29" s="57">
        <f>IF(FA29="","",COUNTIFS($D$25:$D$267,Parameters!$K$2,$E$25:$E$267,Parameters!$M$4,Calendrier!$C$25:$C$267,FA29)+ COUNTIFS($D$25:$D$267,Parameters!$K$4,$E$25:$E$267,Parameters!$M$4,Calendrier!$C$25:$C$267,FA29))</f>
        <v>0</v>
      </c>
      <c r="MS29" s="49">
        <f>IF(DH29="","",COUNTIFS($D$25:$D$267,Parameters!$K$2,$E$25:$E$267,Parameters!$M$5,Calendrier!$C$25:$C$267,DH29)+ COUNTIFS($D$25:$D$267,Parameters!$K$3,$E$25:$E$267,Parameters!$M$5,Calendrier!$C$25:$C$267,DH29))</f>
        <v>0</v>
      </c>
      <c r="MT29" s="50">
        <f>IF(DI29="","",COUNTIFS($D$25:$D$267,Parameters!$K$2,$E$25:$E$267,Parameters!$M$5,Calendrier!$C$25:$C$267,DI29)+ COUNTIFS($D$25:$D$267,Parameters!$K$4,$E$25:$E$267,Parameters!$M$5,Calendrier!$C$25:$C$267,DI29))</f>
        <v>0</v>
      </c>
      <c r="MU29" s="50">
        <f>IF(DJ29="","",COUNTIFS($D$25:$D$267,Parameters!$K$2,$E$25:$E$267,Parameters!$M$5,Calendrier!$C$25:$C$267,DJ29)+ COUNTIFS($D$25:$D$267,Parameters!$K$3,$E$25:$E$267,Parameters!$M$5,Calendrier!$C$25:$C$267,DJ29))</f>
        <v>0</v>
      </c>
      <c r="MV29" s="50">
        <f>IF(DK29="","",COUNTIFS($D$25:$D$267,Parameters!$K$2,$E$25:$E$267,Parameters!$M$5,Calendrier!$C$25:$C$267,DK29)+ COUNTIFS($D$25:$D$267,Parameters!$K$4,$E$25:$E$267,Parameters!$M$5,Calendrier!$C$25:$C$267,DK29))</f>
        <v>0</v>
      </c>
      <c r="MW29" s="50">
        <f>IF(DL29="","",COUNTIFS($D$25:$D$267,Parameters!$K$2,$E$25:$E$267,Parameters!$M$5,Calendrier!$C$25:$C$267,DL29)+ COUNTIFS($D$25:$D$267,Parameters!$K$3,$E$25:$E$267,Parameters!$M$5,Calendrier!$C$25:$C$267,DL29))</f>
        <v>0</v>
      </c>
      <c r="MX29" s="50">
        <f>IF(DM29="","",COUNTIFS($D$25:$D$267,Parameters!$K$2,$E$25:$E$267,Parameters!$M$5,Calendrier!$C$25:$C$267,DM29)+ COUNTIFS($D$25:$D$267,Parameters!$K$4,$E$25:$E$267,Parameters!$M$5,Calendrier!$C$25:$C$267,DM29))</f>
        <v>0</v>
      </c>
      <c r="MY29" s="50">
        <f>IF(DN29="","",COUNTIFS($D$25:$D$267,Parameters!$K$2,$E$25:$E$267,Parameters!$M$5,Calendrier!$C$25:$C$267,DN29)+ COUNTIFS($D$25:$D$267,Parameters!$K$3,$E$25:$E$267,Parameters!$M$5,Calendrier!$C$25:$C$267,DN29))</f>
        <v>0</v>
      </c>
      <c r="MZ29" s="50">
        <f>IF(DO29="","",COUNTIFS($D$25:$D$267,Parameters!$K$2,$E$25:$E$267,Parameters!$M$5,Calendrier!$C$25:$C$267,DO29)+ COUNTIFS($D$25:$D$267,Parameters!$K$4,$E$25:$E$267,Parameters!$M$5,Calendrier!$C$25:$C$267,DO29))</f>
        <v>0</v>
      </c>
      <c r="NA29" s="50">
        <f>IF(DP29="","",COUNTIFS($D$25:$D$267,Parameters!$K$2,$E$25:$E$267,Parameters!$M$5,Calendrier!$C$25:$C$267,DP29)+ COUNTIFS($D$25:$D$267,Parameters!$K$3,$E$25:$E$267,Parameters!$M$5,Calendrier!$C$25:$C$267,DP29))</f>
        <v>0</v>
      </c>
      <c r="NB29" s="50">
        <f>IF(DQ29="","",COUNTIFS($D$25:$D$267,Parameters!$K$2,$E$25:$E$267,Parameters!$M$5,Calendrier!$C$25:$C$267,DQ29)+ COUNTIFS($D$25:$D$267,Parameters!$K$4,$E$25:$E$267,Parameters!$M$5,Calendrier!$C$25:$C$267,DQ29))</f>
        <v>0</v>
      </c>
      <c r="NC29" s="50">
        <f>IF(DR29="","",COUNTIFS($D$25:$D$267,Parameters!$K$2,$E$25:$E$267,Parameters!$M$5,Calendrier!$C$25:$C$267,DR29)+ COUNTIFS($D$25:$D$267,Parameters!$K$3,$E$25:$E$267,Parameters!$M$5,Calendrier!$C$25:$C$267,DR29))</f>
        <v>0</v>
      </c>
      <c r="ND29" s="50">
        <f>IF(DS29="","",COUNTIFS($D$25:$D$267,Parameters!$K$2,$E$25:$E$267,Parameters!$M$5,Calendrier!$C$25:$C$267,DS29)+ COUNTIFS($D$25:$D$267,Parameters!$K$4,$E$25:$E$267,Parameters!$M$5,Calendrier!$C$25:$C$267,DS29))</f>
        <v>0</v>
      </c>
      <c r="NE29" s="50">
        <f>IF(DT29="","",COUNTIFS($D$25:$D$267,Parameters!$K$2,$E$25:$E$267,Parameters!$M$5,Calendrier!$C$25:$C$267,DT29)+ COUNTIFS($D$25:$D$267,Parameters!$K$3,$E$25:$E$267,Parameters!$M$5,Calendrier!$C$25:$C$267,DT29))</f>
        <v>0</v>
      </c>
      <c r="NF29" s="57">
        <f>IF(DU29="","",COUNTIFS($D$25:$D$267,Parameters!$K$2,$E$25:$E$267,Parameters!$M$5,Calendrier!$C$25:$C$267,DU29)+ COUNTIFS($D$25:$D$267,Parameters!$K$4,$E$25:$E$267,Parameters!$M$5,Calendrier!$C$25:$C$267,DU29))</f>
        <v>0</v>
      </c>
      <c r="NI29" s="49">
        <f>IF(DX29="","",COUNTIFS($D$25:$D$267,Parameters!$K$2,$E$25:$E$267,Parameters!$M$5,Calendrier!$C$25:$C$267,DX29)+ COUNTIFS($D$25:$D$267,Parameters!$K$3,$E$25:$E$267,Parameters!$M$5,Calendrier!$C$25:$C$267,DX29))</f>
        <v>0</v>
      </c>
      <c r="NJ29" s="50">
        <f>IF(DY29="","",COUNTIFS($D$25:$D$267,Parameters!$K$2,$E$25:$E$267,Parameters!$M$5,Calendrier!$C$25:$C$267,DY29)+ COUNTIFS($D$25:$D$267,Parameters!$K$4,$E$25:$E$267,Parameters!$M$5,Calendrier!$C$25:$C$267,DY29))</f>
        <v>0</v>
      </c>
      <c r="NK29" s="50">
        <f>IF(DZ29="","",COUNTIFS($D$25:$D$267,Parameters!$K$2,$E$25:$E$267,Parameters!$M$5,Calendrier!$C$25:$C$267,DZ29)+ COUNTIFS($D$25:$D$267,Parameters!$K$3,$E$25:$E$267,Parameters!$M$5,Calendrier!$C$25:$C$267,DZ29))</f>
        <v>0</v>
      </c>
      <c r="NL29" s="50">
        <f>IF(EA29="","",COUNTIFS($D$25:$D$267,Parameters!$K$2,$E$25:$E$267,Parameters!$M$5,Calendrier!$C$25:$C$267,EA29)+ COUNTIFS($D$25:$D$267,Parameters!$K$4,$E$25:$E$267,Parameters!$M$5,Calendrier!$C$25:$C$267,EA29))</f>
        <v>0</v>
      </c>
      <c r="NM29" s="50">
        <f>IF(EB29="","",COUNTIFS($D$25:$D$267,Parameters!$K$2,$E$25:$E$267,Parameters!$M$5,Calendrier!$C$25:$C$267,EB29)+ COUNTIFS($D$25:$D$267,Parameters!$K$3,$E$25:$E$267,Parameters!$M$5,Calendrier!$C$25:$C$267,EB29))</f>
        <v>0</v>
      </c>
      <c r="NN29" s="50">
        <f>IF(EC29="","",COUNTIFS($D$25:$D$267,Parameters!$K$2,$E$25:$E$267,Parameters!$M$5,Calendrier!$C$25:$C$267,EC29)+ COUNTIFS($D$25:$D$267,Parameters!$K$4,$E$25:$E$267,Parameters!$M$5,Calendrier!$C$25:$C$267,EC29))</f>
        <v>0</v>
      </c>
      <c r="NO29" s="50">
        <f>IF(ED29="","",COUNTIFS($D$25:$D$267,Parameters!$K$2,$E$25:$E$267,Parameters!$M$5,Calendrier!$C$25:$C$267,ED29)+ COUNTIFS($D$25:$D$267,Parameters!$K$3,$E$25:$E$267,Parameters!$M$5,Calendrier!$C$25:$C$267,ED29))</f>
        <v>0</v>
      </c>
      <c r="NP29" s="50">
        <f>IF(EE29="","",COUNTIFS($D$25:$D$267,Parameters!$K$2,$E$25:$E$267,Parameters!$M$5,Calendrier!$C$25:$C$267,EE29)+ COUNTIFS($D$25:$D$267,Parameters!$K$4,$E$25:$E$267,Parameters!$M$5,Calendrier!$C$25:$C$267,EE29))</f>
        <v>0</v>
      </c>
      <c r="NQ29" s="50">
        <f>IF(EF29="","",COUNTIFS($D$25:$D$267,Parameters!$K$2,$E$25:$E$267,Parameters!$M$5,Calendrier!$C$25:$C$267,EF29)+ COUNTIFS($D$25:$D$267,Parameters!$K$3,$E$25:$E$267,Parameters!$M$5,Calendrier!$C$25:$C$267,EF29))</f>
        <v>0</v>
      </c>
      <c r="NR29" s="50">
        <f>IF(EG29="","",COUNTIFS($D$25:$D$267,Parameters!$K$2,$E$25:$E$267,Parameters!$M$5,Calendrier!$C$25:$C$267,EG29)+ COUNTIFS($D$25:$D$267,Parameters!$K$4,$E$25:$E$267,Parameters!$M$5,Calendrier!$C$25:$C$267,EG29))</f>
        <v>0</v>
      </c>
      <c r="NS29" s="50">
        <f>IF(EH29="","",COUNTIFS($D$25:$D$267,Parameters!$K$2,$E$25:$E$267,Parameters!$M$5,Calendrier!$C$25:$C$267,EH29)+ COUNTIFS($D$25:$D$267,Parameters!$K$3,$E$25:$E$267,Parameters!$M$5,Calendrier!$C$25:$C$267,EH29))</f>
        <v>0</v>
      </c>
      <c r="NT29" s="50">
        <f>IF(EI29="","",COUNTIFS($D$25:$D$267,Parameters!$K$2,$E$25:$E$267,Parameters!$M$5,Calendrier!$C$25:$C$267,EI29)+ COUNTIFS($D$25:$D$267,Parameters!$K$4,$E$25:$E$267,Parameters!$M$5,Calendrier!$C$25:$C$267,EI29))</f>
        <v>0</v>
      </c>
      <c r="NU29" s="50">
        <f>IF(EJ29="","",COUNTIFS($D$25:$D$267,Parameters!$K$2,$E$25:$E$267,Parameters!$M$5,Calendrier!$C$25:$C$267,EJ29)+ COUNTIFS($D$25:$D$267,Parameters!$K$3,$E$25:$E$267,Parameters!$M$5,Calendrier!$C$25:$C$267,EJ29))</f>
        <v>0</v>
      </c>
      <c r="NV29" s="57">
        <f>IF(EK29="","",COUNTIFS($D$25:$D$267,Parameters!$K$2,$E$25:$E$267,Parameters!$M$5,Calendrier!$C$25:$C$267,EK29)+ COUNTIFS($D$25:$D$267,Parameters!$K$4,$E$25:$E$267,Parameters!$M$5,Calendrier!$C$25:$C$267,EK29))</f>
        <v>0</v>
      </c>
      <c r="NY29" s="49">
        <f>IF(EN29="","",COUNTIFS($D$25:$D$267,Parameters!$K$2,$E$25:$E$267,Parameters!$M$5,Calendrier!$C$25:$C$267,EN29)+ COUNTIFS($D$25:$D$267,Parameters!$K$3,$E$25:$E$267,Parameters!$M$5,Calendrier!$C$25:$C$267,EN29))</f>
        <v>0</v>
      </c>
      <c r="NZ29" s="50">
        <f>IF(EO29="","",COUNTIFS($D$25:$D$267,Parameters!$K$2,$E$25:$E$267,Parameters!$M$5,Calendrier!$C$25:$C$267,EO29)+ COUNTIFS($D$25:$D$267,Parameters!$K$4,$E$25:$E$267,Parameters!$M$5,Calendrier!$C$25:$C$267,EO29))</f>
        <v>0</v>
      </c>
      <c r="OA29" s="50">
        <f>IF(EP29="","",COUNTIFS($D$25:$D$267,Parameters!$K$2,$E$25:$E$267,Parameters!$M$5,Calendrier!$C$25:$C$267,EP29)+ COUNTIFS($D$25:$D$267,Parameters!$K$3,$E$25:$E$267,Parameters!$M$5,Calendrier!$C$25:$C$267,EP29))</f>
        <v>0</v>
      </c>
      <c r="OB29" s="50">
        <f>IF(EQ29="","",COUNTIFS($D$25:$D$267,Parameters!$K$2,$E$25:$E$267,Parameters!$M$5,Calendrier!$C$25:$C$267,EQ29)+ COUNTIFS($D$25:$D$267,Parameters!$K$4,$E$25:$E$267,Parameters!$M$5,Calendrier!$C$25:$C$267,EQ29))</f>
        <v>0</v>
      </c>
      <c r="OC29" s="50">
        <f>IF(ER29="","",COUNTIFS($D$25:$D$267,Parameters!$K$2,$E$25:$E$267,Parameters!$M$5,Calendrier!$C$25:$C$267,ER29)+ COUNTIFS($D$25:$D$267,Parameters!$K$3,$E$25:$E$267,Parameters!$M$5,Calendrier!$C$25:$C$267,ER29))</f>
        <v>0</v>
      </c>
      <c r="OD29" s="50">
        <f>IF(ES29="","",COUNTIFS($D$25:$D$267,Parameters!$K$2,$E$25:$E$267,Parameters!$M$5,Calendrier!$C$25:$C$267,ES29)+ COUNTIFS($D$25:$D$267,Parameters!$K$4,$E$25:$E$267,Parameters!$M$5,Calendrier!$C$25:$C$267,ES29))</f>
        <v>0</v>
      </c>
      <c r="OE29" s="50">
        <f>IF(ET29="","",COUNTIFS($D$25:$D$267,Parameters!$K$2,$E$25:$E$267,Parameters!$M$5,Calendrier!$C$25:$C$267,ET29)+ COUNTIFS($D$25:$D$267,Parameters!$K$3,$E$25:$E$267,Parameters!$M$5,Calendrier!$C$25:$C$267,ET29))</f>
        <v>0</v>
      </c>
      <c r="OF29" s="50">
        <f>IF(EU29="","",COUNTIFS($D$25:$D$267,Parameters!$K$2,$E$25:$E$267,Parameters!$M$5,Calendrier!$C$25:$C$267,EU29)+ COUNTIFS($D$25:$D$267,Parameters!$K$4,$E$25:$E$267,Parameters!$M$5,Calendrier!$C$25:$C$267,EU29))</f>
        <v>0</v>
      </c>
      <c r="OG29" s="50">
        <f>IF(EV29="","",COUNTIFS($D$25:$D$267,Parameters!$K$2,$E$25:$E$267,Parameters!$M$5,Calendrier!$C$25:$C$267,EV29)+ COUNTIFS($D$25:$D$267,Parameters!$K$3,$E$25:$E$267,Parameters!$M$5,Calendrier!$C$25:$C$267,EV29))</f>
        <v>0</v>
      </c>
      <c r="OH29" s="50">
        <f>IF(EW29="","",COUNTIFS($D$25:$D$267,Parameters!$K$2,$E$25:$E$267,Parameters!$M$5,Calendrier!$C$25:$C$267,EW29)+ COUNTIFS($D$25:$D$267,Parameters!$K$4,$E$25:$E$267,Parameters!$M$5,Calendrier!$C$25:$C$267,EW29))</f>
        <v>0</v>
      </c>
      <c r="OI29" s="50">
        <f>IF(EX29="","",COUNTIFS($D$25:$D$267,Parameters!$K$2,$E$25:$E$267,Parameters!$M$5,Calendrier!$C$25:$C$267,EX29)+ COUNTIFS($D$25:$D$267,Parameters!$K$3,$E$25:$E$267,Parameters!$M$5,Calendrier!$C$25:$C$267,EX29))</f>
        <v>0</v>
      </c>
      <c r="OJ29" s="50">
        <f>IF(EY29="","",COUNTIFS($D$25:$D$267,Parameters!$K$2,$E$25:$E$267,Parameters!$M$5,Calendrier!$C$25:$C$267,EY29)+ COUNTIFS($D$25:$D$267,Parameters!$K$4,$E$25:$E$267,Parameters!$M$5,Calendrier!$C$25:$C$267,EY29))</f>
        <v>0</v>
      </c>
      <c r="OK29" s="50">
        <f>IF(EZ29="","",COUNTIFS($D$25:$D$267,Parameters!$K$2,$E$25:$E$267,Parameters!$M$5,Calendrier!$C$25:$C$267,EZ29)+ COUNTIFS($D$25:$D$267,Parameters!$K$3,$E$25:$E$267,Parameters!$M$5,Calendrier!$C$25:$C$267,EZ29))</f>
        <v>0</v>
      </c>
      <c r="OL29" s="57">
        <f>IF(FA29="","",COUNTIFS($D$25:$D$267,Parameters!$K$2,$E$25:$E$267,Parameters!$M$5,Calendrier!$C$25:$C$267,FA29)+ COUNTIFS($D$25:$D$267,Parameters!$K$4,$E$25:$E$267,Parameters!$M$5,Calendrier!$C$25:$C$267,FA29))</f>
        <v>0</v>
      </c>
      <c r="OP29" s="49">
        <f>IF(DH29="","",COUNTIFS(Parameters!$Y:$Y,$BF$4,Parameters!$X:$X,DH29))</f>
        <v>1</v>
      </c>
      <c r="OQ29" s="50">
        <f>IF(DI29="","",COUNTIFS(Parameters!$Y:$Y,$BF$4,Parameters!$X:$X,DI29))</f>
        <v>1</v>
      </c>
      <c r="OR29" s="50">
        <f>IF(DJ29="","",COUNTIFS(Parameters!$Y:$Y,$BF$4,Parameters!$X:$X,DJ29))</f>
        <v>1</v>
      </c>
      <c r="OS29" s="50">
        <f>IF(DK29="","",COUNTIFS(Parameters!$Y:$Y,$BF$4,Parameters!$X:$X,DK29))</f>
        <v>1</v>
      </c>
      <c r="OT29" s="50">
        <f>IF(DL29="","",COUNTIFS(Parameters!$Y:$Y,$BF$4,Parameters!$X:$X,DL29))</f>
        <v>1</v>
      </c>
      <c r="OU29" s="50">
        <f>IF(DM29="","",COUNTIFS(Parameters!$Y:$Y,$BF$4,Parameters!$X:$X,DM29))</f>
        <v>1</v>
      </c>
      <c r="OV29" s="50">
        <f>IF(DN29="","",COUNTIFS(Parameters!$Y:$Y,$BF$4,Parameters!$X:$X,DN29))</f>
        <v>1</v>
      </c>
      <c r="OW29" s="50">
        <f>IF(DO29="","",COUNTIFS(Parameters!$Y:$Y,$BF$4,Parameters!$X:$X,DO29))</f>
        <v>1</v>
      </c>
      <c r="OX29" s="50">
        <f>IF(DP29="","",COUNTIFS(Parameters!$Y:$Y,$BF$4,Parameters!$X:$X,DP29))</f>
        <v>1</v>
      </c>
      <c r="OY29" s="50">
        <f>IF(DQ29="","",COUNTIFS(Parameters!$Y:$Y,$BF$4,Parameters!$X:$X,DQ29))</f>
        <v>1</v>
      </c>
      <c r="OZ29" s="50">
        <f>IF(DR29="","",COUNTIFS(Parameters!$Y:$Y,$BF$4,Parameters!$X:$X,DR29))</f>
        <v>1</v>
      </c>
      <c r="PA29" s="50">
        <f>IF(DS29="","",COUNTIFS(Parameters!$Y:$Y,$BF$4,Parameters!$X:$X,DS29))</f>
        <v>1</v>
      </c>
      <c r="PB29" s="50">
        <f>IF(DT29="","",COUNTIFS(Parameters!$Y:$Y,$BF$4,Parameters!$X:$X,DT29))</f>
        <v>1</v>
      </c>
      <c r="PC29" s="57">
        <f>IF(DU29="","",COUNTIFS(Parameters!$Y:$Y,$BF$4,Parameters!$X:$X,DU29))</f>
        <v>1</v>
      </c>
      <c r="PF29" s="49">
        <f>IF(DX29="","",COUNTIFS(Parameters!$Y:$Y,$BF$4,Parameters!$X:$X,DX29))</f>
        <v>1</v>
      </c>
      <c r="PG29" s="50">
        <f>IF(DY29="","",COUNTIFS(Parameters!$Y:$Y,$BF$4,Parameters!$X:$X,DY29))</f>
        <v>1</v>
      </c>
      <c r="PH29" s="50">
        <f>IF(DZ29="","",COUNTIFS(Parameters!$Y:$Y,$BF$4,Parameters!$X:$X,DZ29))</f>
        <v>1</v>
      </c>
      <c r="PI29" s="50">
        <f>IF(EA29="","",COUNTIFS(Parameters!$Y:$Y,$BF$4,Parameters!$X:$X,EA29))</f>
        <v>1</v>
      </c>
      <c r="PJ29" s="50">
        <f>IF(EB29="","",COUNTIFS(Parameters!$Y:$Y,$BF$4,Parameters!$X:$X,EB29))</f>
        <v>1</v>
      </c>
      <c r="PK29" s="50">
        <f>IF(EC29="","",COUNTIFS(Parameters!$Y:$Y,$BF$4,Parameters!$X:$X,EC29))</f>
        <v>1</v>
      </c>
      <c r="PL29" s="50">
        <f>IF(ED29="","",COUNTIFS(Parameters!$Y:$Y,$BF$4,Parameters!$X:$X,ED29))</f>
        <v>1</v>
      </c>
      <c r="PM29" s="50">
        <f>IF(EE29="","",COUNTIFS(Parameters!$Y:$Y,$BF$4,Parameters!$X:$X,EE29))</f>
        <v>1</v>
      </c>
      <c r="PN29" s="50">
        <f>IF(EF29="","",COUNTIFS(Parameters!$Y:$Y,$BF$4,Parameters!$X:$X,EF29))</f>
        <v>1</v>
      </c>
      <c r="PO29" s="50">
        <f>IF(EG29="","",COUNTIFS(Parameters!$Y:$Y,$BF$4,Parameters!$X:$X,EG29))</f>
        <v>1</v>
      </c>
      <c r="PP29" s="50">
        <f>IF(EH29="","",COUNTIFS(Parameters!$Y:$Y,$BF$4,Parameters!$X:$X,EH29))</f>
        <v>1</v>
      </c>
      <c r="PQ29" s="50">
        <f>IF(EI29="","",COUNTIFS(Parameters!$Y:$Y,$BF$4,Parameters!$X:$X,EI29))</f>
        <v>1</v>
      </c>
      <c r="PR29" s="50">
        <f>IF(EJ29="","",COUNTIFS(Parameters!$Y:$Y,$BF$4,Parameters!$X:$X,EJ29))</f>
        <v>1</v>
      </c>
      <c r="PS29" s="57">
        <f>IF(EK29="","",COUNTIFS(Parameters!$Y:$Y,$BF$4,Parameters!$X:$X,EK29))</f>
        <v>1</v>
      </c>
      <c r="PV29" s="49">
        <f>IF(EN29="","",COUNTIFS(Parameters!$Y:$Y,$BF$4,Parameters!$X:$X,EN29))</f>
        <v>0</v>
      </c>
      <c r="PW29" s="50">
        <f>IF(EO29="","",COUNTIFS(Parameters!$Y:$Y,$BF$4,Parameters!$X:$X,EO29))</f>
        <v>0</v>
      </c>
      <c r="PX29" s="50">
        <f>IF(EP29="","",COUNTIFS(Parameters!$Y:$Y,$BF$4,Parameters!$X:$X,EP29))</f>
        <v>0</v>
      </c>
      <c r="PY29" s="50">
        <f>IF(EQ29="","",COUNTIFS(Parameters!$Y:$Y,$BF$4,Parameters!$X:$X,EQ29))</f>
        <v>0</v>
      </c>
      <c r="PZ29" s="50">
        <f>IF(ER29="","",COUNTIFS(Parameters!$Y:$Y,$BF$4,Parameters!$X:$X,ER29))</f>
        <v>0</v>
      </c>
      <c r="QA29" s="50">
        <f>IF(ES29="","",COUNTIFS(Parameters!$Y:$Y,$BF$4,Parameters!$X:$X,ES29))</f>
        <v>0</v>
      </c>
      <c r="QB29" s="50">
        <f>IF(ET29="","",COUNTIFS(Parameters!$Y:$Y,$BF$4,Parameters!$X:$X,ET29))</f>
        <v>1</v>
      </c>
      <c r="QC29" s="50">
        <f>IF(EU29="","",COUNTIFS(Parameters!$Y:$Y,$BF$4,Parameters!$X:$X,EU29))</f>
        <v>1</v>
      </c>
      <c r="QD29" s="50">
        <f>IF(EV29="","",COUNTIFS(Parameters!$Y:$Y,$BF$4,Parameters!$X:$X,EV29))</f>
        <v>0</v>
      </c>
      <c r="QE29" s="50">
        <f>IF(EW29="","",COUNTIFS(Parameters!$Y:$Y,$BF$4,Parameters!$X:$X,EW29))</f>
        <v>0</v>
      </c>
      <c r="QF29" s="50">
        <f>IF(EX29="","",COUNTIFS(Parameters!$Y:$Y,$BF$4,Parameters!$X:$X,EX29))</f>
        <v>0</v>
      </c>
      <c r="QG29" s="50">
        <f>IF(EY29="","",COUNTIFS(Parameters!$Y:$Y,$BF$4,Parameters!$X:$X,EY29))</f>
        <v>0</v>
      </c>
      <c r="QH29" s="50">
        <f>IF(EZ29="","",COUNTIFS(Parameters!$Y:$Y,$BF$4,Parameters!$X:$X,EZ29))</f>
        <v>0</v>
      </c>
      <c r="QI29" s="57">
        <f>IF(FA29="","",COUNTIFS(Parameters!$Y:$Y,$BF$4,Parameters!$X:$X,FA29))</f>
        <v>0</v>
      </c>
      <c r="QN29" s="49">
        <f>IF(DH29="","",COUNTIFS($D$25:$D$267,Parameters!$K$2,$E$25:$E$267,Parameters!$M$6,Calendrier!$C$25:$C$267,DH29)+ COUNTIFS($D$25:$D$267,Parameters!$K$3,$E$25:$E$267,Parameters!$M$6,Calendrier!$C$25:$C$267,DH29))</f>
        <v>0</v>
      </c>
      <c r="QO29" s="50">
        <f>IF(DI29="","",COUNTIFS($D$25:$D$267,Parameters!$K$2,$E$25:$E$267,Parameters!$M$6,Calendrier!$C$25:$C$267,DI29)+ COUNTIFS($D$25:$D$267,Parameters!$K$4,$E$25:$E$267,Parameters!$M$6,Calendrier!$C$25:$C$267,DI29))</f>
        <v>0</v>
      </c>
      <c r="QP29" s="50">
        <f>IF(DJ29="","",COUNTIFS($D$25:$D$267,Parameters!$K$2,$E$25:$E$267,Parameters!$M$6,Calendrier!$C$25:$C$267,DJ29)+ COUNTIFS($D$25:$D$267,Parameters!$K$3,$E$25:$E$267,Parameters!$M$6,Calendrier!$C$25:$C$267,DJ29))</f>
        <v>0</v>
      </c>
      <c r="QQ29" s="50">
        <f>IF(DK29="","",COUNTIFS($D$25:$D$267,Parameters!$K$2,$E$25:$E$267,Parameters!$M$6,Calendrier!$C$25:$C$267,DK29)+ COUNTIFS($D$25:$D$267,Parameters!$K$4,$E$25:$E$267,Parameters!$M$6,Calendrier!$C$25:$C$267,DK29))</f>
        <v>0</v>
      </c>
      <c r="QR29" s="50">
        <f>IF(DL29="","",COUNTIFS($D$25:$D$267,Parameters!$K$2,$E$25:$E$267,Parameters!$M$6,Calendrier!$C$25:$C$267,DL29)+ COUNTIFS($D$25:$D$267,Parameters!$K$3,$E$25:$E$267,Parameters!$M$6,Calendrier!$C$25:$C$267,DL29))</f>
        <v>0</v>
      </c>
      <c r="QS29" s="50">
        <f>IF(DM29="","",COUNTIFS($D$25:$D$267,Parameters!$K$2,$E$25:$E$267,Parameters!$M$6,Calendrier!$C$25:$C$267,DM29)+ COUNTIFS($D$25:$D$267,Parameters!$K$4,$E$25:$E$267,Parameters!$M$6,Calendrier!$C$25:$C$267,DM29))</f>
        <v>0</v>
      </c>
      <c r="QT29" s="50">
        <f>IF(DN29="","",COUNTIFS($D$25:$D$267,Parameters!$K$2,$E$25:$E$267,Parameters!$M$6,Calendrier!$C$25:$C$267,DN29)+ COUNTIFS($D$25:$D$267,Parameters!$K$3,$E$25:$E$267,Parameters!$M$6,Calendrier!$C$25:$C$267,DN29))</f>
        <v>0</v>
      </c>
      <c r="QU29" s="50">
        <f>IF(DO29="","",COUNTIFS($D$25:$D$267,Parameters!$K$2,$E$25:$E$267,Parameters!$M$6,Calendrier!$C$25:$C$267,DO29)+ COUNTIFS($D$25:$D$267,Parameters!$K$4,$E$25:$E$267,Parameters!$M$6,Calendrier!$C$25:$C$267,DO29))</f>
        <v>0</v>
      </c>
      <c r="QV29" s="50">
        <f>IF(DP29="","",COUNTIFS($D$25:$D$267,Parameters!$K$2,$E$25:$E$267,Parameters!$M$6,Calendrier!$C$25:$C$267,DP29)+ COUNTIFS($D$25:$D$267,Parameters!$K$3,$E$25:$E$267,Parameters!$M$6,Calendrier!$C$25:$C$267,DP29))</f>
        <v>0</v>
      </c>
      <c r="QW29" s="50">
        <f>IF(DQ29="","",COUNTIFS($D$25:$D$267,Parameters!$K$2,$E$25:$E$267,Parameters!$M$6,Calendrier!$C$25:$C$267,DQ29)+ COUNTIFS($D$25:$D$267,Parameters!$K$4,$E$25:$E$267,Parameters!$M$6,Calendrier!$C$25:$C$267,DQ29))</f>
        <v>0</v>
      </c>
      <c r="QX29" s="50">
        <f>IF(DR29="","",COUNTIFS($D$25:$D$267,Parameters!$K$2,$E$25:$E$267,Parameters!$M$6,Calendrier!$C$25:$C$267,DR29)+ COUNTIFS($D$25:$D$267,Parameters!$K$3,$E$25:$E$267,Parameters!$M$6,Calendrier!$C$25:$C$267,DR29))</f>
        <v>0</v>
      </c>
      <c r="QY29" s="50">
        <f>IF(DS29="","",COUNTIFS($D$25:$D$267,Parameters!$K$2,$E$25:$E$267,Parameters!$M$6,Calendrier!$C$25:$C$267,DS29)+ COUNTIFS($D$25:$D$267,Parameters!$K$4,$E$25:$E$267,Parameters!$M$6,Calendrier!$C$25:$C$267,DS29))</f>
        <v>0</v>
      </c>
      <c r="QZ29" s="50">
        <f>IF(DT29="","",COUNTIFS($D$25:$D$267,Parameters!$K$2,$E$25:$E$267,Parameters!$M$6,Calendrier!$C$25:$C$267,DT29)+ COUNTIFS($D$25:$D$267,Parameters!$K$3,$E$25:$E$267,Parameters!$M$6,Calendrier!$C$25:$C$267,DT29))</f>
        <v>0</v>
      </c>
      <c r="RA29" s="57">
        <f>IF(DU29="","",COUNTIFS($D$25:$D$267,Parameters!$K$2,$E$25:$E$267,Parameters!$M$6,Calendrier!$C$25:$C$267,DU29)+ COUNTIFS($D$25:$D$267,Parameters!$K$4,$E$25:$E$267,Parameters!$M$6,Calendrier!$C$25:$C$267,DU29))</f>
        <v>0</v>
      </c>
      <c r="RD29" s="49">
        <f>IF(DX29="","",COUNTIFS($D$25:$D$267,Parameters!$K$2,$E$25:$E$267,Parameters!$M$6,Calendrier!$C$25:$C$267,DX29)+ COUNTIFS($D$25:$D$267,Parameters!$K$3,$E$25:$E$267,Parameters!$M$6,Calendrier!$C$25:$C$267,DX29))</f>
        <v>0</v>
      </c>
      <c r="RE29" s="50">
        <f>IF(DY29="","",COUNTIFS($D$25:$D$267,Parameters!$K$2,$E$25:$E$267,Parameters!$M$6,Calendrier!$C$25:$C$267,DY29)+ COUNTIFS($D$25:$D$267,Parameters!$K$4,$E$25:$E$267,Parameters!$M$6,Calendrier!$C$25:$C$267,DY29))</f>
        <v>0</v>
      </c>
      <c r="RF29" s="50">
        <f>IF(DZ29="","",COUNTIFS($D$25:$D$267,Parameters!$K$2,$E$25:$E$267,Parameters!$M$6,Calendrier!$C$25:$C$267,DZ29)+ COUNTIFS($D$25:$D$267,Parameters!$K$3,$E$25:$E$267,Parameters!$M$6,Calendrier!$C$25:$C$267,DZ29))</f>
        <v>0</v>
      </c>
      <c r="RG29" s="50">
        <f>IF(EA29="","",COUNTIFS($D$25:$D$267,Parameters!$K$2,$E$25:$E$267,Parameters!$M$6,Calendrier!$C$25:$C$267,EA29)+ COUNTIFS($D$25:$D$267,Parameters!$K$4,$E$25:$E$267,Parameters!$M$6,Calendrier!$C$25:$C$267,EA29))</f>
        <v>0</v>
      </c>
      <c r="RH29" s="50">
        <f>IF(EB29="","",COUNTIFS($D$25:$D$267,Parameters!$K$2,$E$25:$E$267,Parameters!$M$6,Calendrier!$C$25:$C$267,EB29)+ COUNTIFS($D$25:$D$267,Parameters!$K$3,$E$25:$E$267,Parameters!$M$6,Calendrier!$C$25:$C$267,EB29))</f>
        <v>0</v>
      </c>
      <c r="RI29" s="50">
        <f>IF(EC29="","",COUNTIFS($D$25:$D$267,Parameters!$K$2,$E$25:$E$267,Parameters!$M$6,Calendrier!$C$25:$C$267,EC29)+ COUNTIFS($D$25:$D$267,Parameters!$K$4,$E$25:$E$267,Parameters!$M$6,Calendrier!$C$25:$C$267,EC29))</f>
        <v>0</v>
      </c>
      <c r="RJ29" s="50">
        <f>IF(ED29="","",COUNTIFS($D$25:$D$267,Parameters!$K$2,$E$25:$E$267,Parameters!$M$6,Calendrier!$C$25:$C$267,ED29)+ COUNTIFS($D$25:$D$267,Parameters!$K$3,$E$25:$E$267,Parameters!$M$6,Calendrier!$C$25:$C$267,ED29))</f>
        <v>0</v>
      </c>
      <c r="RK29" s="50">
        <f>IF(EE29="","",COUNTIFS($D$25:$D$267,Parameters!$K$2,$E$25:$E$267,Parameters!$M$6,Calendrier!$C$25:$C$267,EE29)+ COUNTIFS($D$25:$D$267,Parameters!$K$4,$E$25:$E$267,Parameters!$M$6,Calendrier!$C$25:$C$267,EE29))</f>
        <v>0</v>
      </c>
      <c r="RL29" s="50">
        <f>IF(EF29="","",COUNTIFS($D$25:$D$267,Parameters!$K$2,$E$25:$E$267,Parameters!$M$6,Calendrier!$C$25:$C$267,EF29)+ COUNTIFS($D$25:$D$267,Parameters!$K$3,$E$25:$E$267,Parameters!$M$6,Calendrier!$C$25:$C$267,EF29))</f>
        <v>0</v>
      </c>
      <c r="RM29" s="50">
        <f>IF(EG29="","",COUNTIFS($D$25:$D$267,Parameters!$K$2,$E$25:$E$267,Parameters!$M$6,Calendrier!$C$25:$C$267,EG29)+ COUNTIFS($D$25:$D$267,Parameters!$K$4,$E$25:$E$267,Parameters!$M$6,Calendrier!$C$25:$C$267,EG29))</f>
        <v>0</v>
      </c>
      <c r="RN29" s="50">
        <f>IF(EH29="","",COUNTIFS($D$25:$D$267,Parameters!$K$2,$E$25:$E$267,Parameters!$M$6,Calendrier!$C$25:$C$267,EH29)+ COUNTIFS($D$25:$D$267,Parameters!$K$3,$E$25:$E$267,Parameters!$M$6,Calendrier!$C$25:$C$267,EH29))</f>
        <v>0</v>
      </c>
      <c r="RO29" s="50">
        <f>IF(EI29="","",COUNTIFS($D$25:$D$267,Parameters!$K$2,$E$25:$E$267,Parameters!$M$6,Calendrier!$C$25:$C$267,EI29)+ COUNTIFS($D$25:$D$267,Parameters!$K$4,$E$25:$E$267,Parameters!$M$6,Calendrier!$C$25:$C$267,EI29))</f>
        <v>0</v>
      </c>
      <c r="RP29" s="50">
        <f>IF(EJ29="","",COUNTIFS($D$25:$D$267,Parameters!$K$2,$E$25:$E$267,Parameters!$M$6,Calendrier!$C$25:$C$267,EJ29)+ COUNTIFS($D$25:$D$267,Parameters!$K$3,$E$25:$E$267,Parameters!$M$6,Calendrier!$C$25:$C$267,EJ29))</f>
        <v>0</v>
      </c>
      <c r="RQ29" s="57">
        <f>IF(EK29="","",COUNTIFS($D$25:$D$267,Parameters!$K$2,$E$25:$E$267,Parameters!$M$6,Calendrier!$C$25:$C$267,EK29)+ COUNTIFS($D$25:$D$267,Parameters!$K$4,$E$25:$E$267,Parameters!$M$6,Calendrier!$C$25:$C$267,EK29))</f>
        <v>0</v>
      </c>
      <c r="RT29" s="49">
        <f>IF(EN29="","",COUNTIFS($D$25:$D$267,Parameters!$K$2,$E$25:$E$267,Parameters!$M$6,Calendrier!$C$25:$C$267,EN29)+ COUNTIFS($D$25:$D$267,Parameters!$K$3,$E$25:$E$267,Parameters!$M$6,Calendrier!$C$25:$C$267,EN29))</f>
        <v>0</v>
      </c>
      <c r="RU29" s="50">
        <f>IF(EO29="","",COUNTIFS($D$25:$D$267,Parameters!$K$2,$E$25:$E$267,Parameters!$M$6,Calendrier!$C$25:$C$267,EO29)+ COUNTIFS($D$25:$D$267,Parameters!$K$4,$E$25:$E$267,Parameters!$M$6,Calendrier!$C$25:$C$267,EO29))</f>
        <v>0</v>
      </c>
      <c r="RV29" s="50">
        <f>IF(EP29="","",COUNTIFS($D$25:$D$267,Parameters!$K$2,$E$25:$E$267,Parameters!$M$6,Calendrier!$C$25:$C$267,EP29)+ COUNTIFS($D$25:$D$267,Parameters!$K$3,$E$25:$E$267,Parameters!$M$6,Calendrier!$C$25:$C$267,EP29))</f>
        <v>0</v>
      </c>
      <c r="RW29" s="50">
        <f>IF(EQ29="","",COUNTIFS($D$25:$D$267,Parameters!$K$2,$E$25:$E$267,Parameters!$M$6,Calendrier!$C$25:$C$267,EQ29)+ COUNTIFS($D$25:$D$267,Parameters!$K$4,$E$25:$E$267,Parameters!$M$6,Calendrier!$C$25:$C$267,EQ29))</f>
        <v>0</v>
      </c>
      <c r="RX29" s="50">
        <f>IF(ER29="","",COUNTIFS($D$25:$D$267,Parameters!$K$2,$E$25:$E$267,Parameters!$M$6,Calendrier!$C$25:$C$267,ER29)+ COUNTIFS($D$25:$D$267,Parameters!$K$3,$E$25:$E$267,Parameters!$M$6,Calendrier!$C$25:$C$267,ER29))</f>
        <v>0</v>
      </c>
      <c r="RY29" s="50">
        <f>IF(ES29="","",COUNTIFS($D$25:$D$267,Parameters!$K$2,$E$25:$E$267,Parameters!$M$6,Calendrier!$C$25:$C$267,ES29)+ COUNTIFS($D$25:$D$267,Parameters!$K$4,$E$25:$E$267,Parameters!$M$6,Calendrier!$C$25:$C$267,ES29))</f>
        <v>0</v>
      </c>
      <c r="RZ29" s="50">
        <f>IF(ET29="","",COUNTIFS($D$25:$D$267,Parameters!$K$2,$E$25:$E$267,Parameters!$M$6,Calendrier!$C$25:$C$267,ET29)+ COUNTIFS($D$25:$D$267,Parameters!$K$3,$E$25:$E$267,Parameters!$M$6,Calendrier!$C$25:$C$267,ET29))</f>
        <v>0</v>
      </c>
      <c r="SA29" s="50">
        <f>IF(EU29="","",COUNTIFS($D$25:$D$267,Parameters!$K$2,$E$25:$E$267,Parameters!$M$6,Calendrier!$C$25:$C$267,EU29)+ COUNTIFS($D$25:$D$267,Parameters!$K$4,$E$25:$E$267,Parameters!$M$6,Calendrier!$C$25:$C$267,EU29))</f>
        <v>0</v>
      </c>
      <c r="SB29" s="50">
        <f>IF(EV29="","",COUNTIFS($D$25:$D$267,Parameters!$K$2,$E$25:$E$267,Parameters!$M$6,Calendrier!$C$25:$C$267,EV29)+ COUNTIFS($D$25:$D$267,Parameters!$K$3,$E$25:$E$267,Parameters!$M$6,Calendrier!$C$25:$C$267,EV29))</f>
        <v>0</v>
      </c>
      <c r="SC29" s="50">
        <f>IF(EW29="","",COUNTIFS($D$25:$D$267,Parameters!$K$2,$E$25:$E$267,Parameters!$M$6,Calendrier!$C$25:$C$267,EW29)+ COUNTIFS($D$25:$D$267,Parameters!$K$4,$E$25:$E$267,Parameters!$M$6,Calendrier!$C$25:$C$267,EW29))</f>
        <v>0</v>
      </c>
      <c r="SD29" s="50">
        <f>IF(EX29="","",COUNTIFS($D$25:$D$267,Parameters!$K$2,$E$25:$E$267,Parameters!$M$6,Calendrier!$C$25:$C$267,EX29)+ COUNTIFS($D$25:$D$267,Parameters!$K$3,$E$25:$E$267,Parameters!$M$6,Calendrier!$C$25:$C$267,EX29))</f>
        <v>0</v>
      </c>
      <c r="SE29" s="50">
        <f>IF(EY29="","",COUNTIFS($D$25:$D$267,Parameters!$K$2,$E$25:$E$267,Parameters!$M$6,Calendrier!$C$25:$C$267,EY29)+ COUNTIFS($D$25:$D$267,Parameters!$K$4,$E$25:$E$267,Parameters!$M$6,Calendrier!$C$25:$C$267,EY29))</f>
        <v>0</v>
      </c>
      <c r="SF29" s="50">
        <f>IF(EZ29="","",COUNTIFS($D$25:$D$267,Parameters!$K$2,$E$25:$E$267,Parameters!$M$6,Calendrier!$C$25:$C$267,EZ29)+ COUNTIFS($D$25:$D$267,Parameters!$K$3,$E$25:$E$267,Parameters!$M$6,Calendrier!$C$25:$C$267,EZ29))</f>
        <v>0</v>
      </c>
      <c r="SG29" s="57">
        <f>IF(FA29="","",COUNTIFS($D$25:$D$267,Parameters!$K$2,$E$25:$E$267,Parameters!$M$6,Calendrier!$C$25:$C$267,FA29)+ COUNTIFS($D$25:$D$267,Parameters!$K$4,$E$25:$E$267,Parameters!$M$6,Calendrier!$C$25:$C$267,FA29))</f>
        <v>0</v>
      </c>
      <c r="SL29" s="49">
        <f>IF(DH29="","",COUNTIFS($D$25:$D$267,Parameters!$K$2,$E$25:$E$267,Parameters!$M$7,Calendrier!$C$25:$C$267,DH29)+ COUNTIFS($D$25:$D$267,Parameters!$K$3,$E$25:$E$267,Parameters!$M$7,Calendrier!$C$25:$C$267,DH29))</f>
        <v>0</v>
      </c>
      <c r="SM29" s="50">
        <f>IF(DI29="","",COUNTIFS($D$25:$D$267,Parameters!$K$2,$E$25:$E$267,Parameters!$M$7,Calendrier!$C$25:$C$267,DI29)+ COUNTIFS($D$25:$D$267,Parameters!$K$4,$E$25:$E$267,Parameters!$M$7,Calendrier!$C$25:$C$267,DI29))</f>
        <v>0</v>
      </c>
      <c r="SN29" s="50">
        <f>IF(DJ29="","",COUNTIFS($D$25:$D$267,Parameters!$K$2,$E$25:$E$267,Parameters!$M$7,Calendrier!$C$25:$C$267,DJ29)+ COUNTIFS($D$25:$D$267,Parameters!$K$3,$E$25:$E$267,Parameters!$M$7,Calendrier!$C$25:$C$267,DJ29))</f>
        <v>0</v>
      </c>
      <c r="SO29" s="50">
        <f>IF(DK29="","",COUNTIFS($D$25:$D$267,Parameters!$K$2,$E$25:$E$267,Parameters!$M$7,Calendrier!$C$25:$C$267,DK29)+ COUNTIFS($D$25:$D$267,Parameters!$K$4,$E$25:$E$267,Parameters!$M$7,Calendrier!$C$25:$C$267,DK29))</f>
        <v>0</v>
      </c>
      <c r="SP29" s="50">
        <f>IF(DL29="","",COUNTIFS($D$25:$D$267,Parameters!$K$2,$E$25:$E$267,Parameters!$M$7,Calendrier!$C$25:$C$267,DL29)+ COUNTIFS($D$25:$D$267,Parameters!$K$3,$E$25:$E$267,Parameters!$M$7,Calendrier!$C$25:$C$267,DL29))</f>
        <v>0</v>
      </c>
      <c r="SQ29" s="50">
        <f>IF(DM29="","",COUNTIFS($D$25:$D$267,Parameters!$K$2,$E$25:$E$267,Parameters!$M$7,Calendrier!$C$25:$C$267,DM29)+ COUNTIFS($D$25:$D$267,Parameters!$K$4,$E$25:$E$267,Parameters!$M$7,Calendrier!$C$25:$C$267,DM29))</f>
        <v>0</v>
      </c>
      <c r="SR29" s="50">
        <f>IF(DN29="","",COUNTIFS($D$25:$D$267,Parameters!$K$2,$E$25:$E$267,Parameters!$M$7,Calendrier!$C$25:$C$267,DN29)+ COUNTIFS($D$25:$D$267,Parameters!$K$3,$E$25:$E$267,Parameters!$M$7,Calendrier!$C$25:$C$267,DN29))</f>
        <v>0</v>
      </c>
      <c r="SS29" s="50">
        <f>IF(DO29="","",COUNTIFS($D$25:$D$267,Parameters!$K$2,$E$25:$E$267,Parameters!$M$7,Calendrier!$C$25:$C$267,DO29)+ COUNTIFS($D$25:$D$267,Parameters!$K$4,$E$25:$E$267,Parameters!$M$7,Calendrier!$C$25:$C$267,DO29))</f>
        <v>0</v>
      </c>
      <c r="ST29" s="50">
        <f>IF(DP29="","",COUNTIFS($D$25:$D$267,Parameters!$K$2,$E$25:$E$267,Parameters!$M$7,Calendrier!$C$25:$C$267,DP29)+ COUNTIFS($D$25:$D$267,Parameters!$K$3,$E$25:$E$267,Parameters!$M$7,Calendrier!$C$25:$C$267,DP29))</f>
        <v>0</v>
      </c>
      <c r="SU29" s="50">
        <f>IF(DQ29="","",COUNTIFS($D$25:$D$267,Parameters!$K$2,$E$25:$E$267,Parameters!$M$7,Calendrier!$C$25:$C$267,DQ29)+ COUNTIFS($D$25:$D$267,Parameters!$K$4,$E$25:$E$267,Parameters!$M$7,Calendrier!$C$25:$C$267,DQ29))</f>
        <v>0</v>
      </c>
      <c r="SV29" s="50">
        <f>IF(DR29="","",COUNTIFS($D$25:$D$267,Parameters!$K$2,$E$25:$E$267,Parameters!$M$7,Calendrier!$C$25:$C$267,DR29)+ COUNTIFS($D$25:$D$267,Parameters!$K$3,$E$25:$E$267,Parameters!$M$7,Calendrier!$C$25:$C$267,DR29))</f>
        <v>0</v>
      </c>
      <c r="SW29" s="50">
        <f>IF(DS29="","",COUNTIFS($D$25:$D$267,Parameters!$K$2,$E$25:$E$267,Parameters!$M$7,Calendrier!$C$25:$C$267,DS29)+ COUNTIFS($D$25:$D$267,Parameters!$K$4,$E$25:$E$267,Parameters!$M$7,Calendrier!$C$25:$C$267,DS29))</f>
        <v>0</v>
      </c>
      <c r="SX29" s="50">
        <f>IF(DT29="","",COUNTIFS($D$25:$D$267,Parameters!$K$2,$E$25:$E$267,Parameters!$M$7,Calendrier!$C$25:$C$267,DT29)+ COUNTIFS($D$25:$D$267,Parameters!$K$3,$E$25:$E$267,Parameters!$M$7,Calendrier!$C$25:$C$267,DT29))</f>
        <v>0</v>
      </c>
      <c r="SY29" s="57">
        <f>IF(DU29="","",COUNTIFS($D$25:$D$267,Parameters!$K$2,$E$25:$E$267,Parameters!$M$7,Calendrier!$C$25:$C$267,DU29)+ COUNTIFS($D$25:$D$267,Parameters!$K$4,$E$25:$E$267,Parameters!$M$7,Calendrier!$C$25:$C$267,DU29))</f>
        <v>0</v>
      </c>
      <c r="TB29" s="49">
        <f>IF(DX29="","",COUNTIFS($D$25:$D$267,Parameters!$K$2,$E$25:$E$267,Parameters!$M$7,Calendrier!$C$25:$C$267,DX29)+ COUNTIFS($D$25:$D$267,Parameters!$K$3,$E$25:$E$267,Parameters!$M$7,Calendrier!$C$25:$C$267,DX29))</f>
        <v>0</v>
      </c>
      <c r="TC29" s="50">
        <f>IF(DY29="","",COUNTIFS($D$25:$D$267,Parameters!$K$2,$E$25:$E$267,Parameters!$M$7,Calendrier!$C$25:$C$267,DY29)+ COUNTIFS($D$25:$D$267,Parameters!$K$4,$E$25:$E$267,Parameters!$M$7,Calendrier!$C$25:$C$267,DY29))</f>
        <v>0</v>
      </c>
      <c r="TD29" s="50">
        <f>IF(DZ29="","",COUNTIFS($D$25:$D$267,Parameters!$K$2,$E$25:$E$267,Parameters!$M$7,Calendrier!$C$25:$C$267,DZ29)+ COUNTIFS($D$25:$D$267,Parameters!$K$3,$E$25:$E$267,Parameters!$M$7,Calendrier!$C$25:$C$267,DZ29))</f>
        <v>0</v>
      </c>
      <c r="TE29" s="50">
        <f>IF(EA29="","",COUNTIFS($D$25:$D$267,Parameters!$K$2,$E$25:$E$267,Parameters!$M$7,Calendrier!$C$25:$C$267,EA29)+ COUNTIFS($D$25:$D$267,Parameters!$K$4,$E$25:$E$267,Parameters!$M$7,Calendrier!$C$25:$C$267,EA29))</f>
        <v>0</v>
      </c>
      <c r="TF29" s="50">
        <f>IF(EB29="","",COUNTIFS($D$25:$D$267,Parameters!$K$2,$E$25:$E$267,Parameters!$M$7,Calendrier!$C$25:$C$267,EB29)+ COUNTIFS($D$25:$D$267,Parameters!$K$3,$E$25:$E$267,Parameters!$M$7,Calendrier!$C$25:$C$267,EB29))</f>
        <v>0</v>
      </c>
      <c r="TG29" s="50">
        <f>IF(EC29="","",COUNTIFS($D$25:$D$267,Parameters!$K$2,$E$25:$E$267,Parameters!$M$7,Calendrier!$C$25:$C$267,EC29)+ COUNTIFS($D$25:$D$267,Parameters!$K$4,$E$25:$E$267,Parameters!$M$7,Calendrier!$C$25:$C$267,EC29))</f>
        <v>0</v>
      </c>
      <c r="TH29" s="50">
        <f>IF(ED29="","",COUNTIFS($D$25:$D$267,Parameters!$K$2,$E$25:$E$267,Parameters!$M$7,Calendrier!$C$25:$C$267,ED29)+ COUNTIFS($D$25:$D$267,Parameters!$K$3,$E$25:$E$267,Parameters!$M$7,Calendrier!$C$25:$C$267,ED29))</f>
        <v>0</v>
      </c>
      <c r="TI29" s="50">
        <f>IF(EE29="","",COUNTIFS($D$25:$D$267,Parameters!$K$2,$E$25:$E$267,Parameters!$M$7,Calendrier!$C$25:$C$267,EE29)+ COUNTIFS($D$25:$D$267,Parameters!$K$4,$E$25:$E$267,Parameters!$M$7,Calendrier!$C$25:$C$267,EE29))</f>
        <v>0</v>
      </c>
      <c r="TJ29" s="50">
        <f>IF(EF29="","",COUNTIFS($D$25:$D$267,Parameters!$K$2,$E$25:$E$267,Parameters!$M$7,Calendrier!$C$25:$C$267,EF29)+ COUNTIFS($D$25:$D$267,Parameters!$K$3,$E$25:$E$267,Parameters!$M$7,Calendrier!$C$25:$C$267,EF29))</f>
        <v>0</v>
      </c>
      <c r="TK29" s="50">
        <f>IF(EG29="","",COUNTIFS($D$25:$D$267,Parameters!$K$2,$E$25:$E$267,Parameters!$M$7,Calendrier!$C$25:$C$267,EG29)+ COUNTIFS($D$25:$D$267,Parameters!$K$4,$E$25:$E$267,Parameters!$M$7,Calendrier!$C$25:$C$267,EG29))</f>
        <v>0</v>
      </c>
      <c r="TL29" s="50">
        <f>IF(EH29="","",COUNTIFS($D$25:$D$267,Parameters!$K$2,$E$25:$E$267,Parameters!$M$7,Calendrier!$C$25:$C$267,EH29)+ COUNTIFS($D$25:$D$267,Parameters!$K$3,$E$25:$E$267,Parameters!$M$7,Calendrier!$C$25:$C$267,EH29))</f>
        <v>0</v>
      </c>
      <c r="TM29" s="50">
        <f>IF(EI29="","",COUNTIFS($D$25:$D$267,Parameters!$K$2,$E$25:$E$267,Parameters!$M$7,Calendrier!$C$25:$C$267,EI29)+ COUNTIFS($D$25:$D$267,Parameters!$K$4,$E$25:$E$267,Parameters!$M$7,Calendrier!$C$25:$C$267,EI29))</f>
        <v>0</v>
      </c>
      <c r="TN29" s="50">
        <f>IF(EJ29="","",COUNTIFS($D$25:$D$267,Parameters!$K$2,$E$25:$E$267,Parameters!$M$7,Calendrier!$C$25:$C$267,EJ29)+ COUNTIFS($D$25:$D$267,Parameters!$K$3,$E$25:$E$267,Parameters!$M$7,Calendrier!$C$25:$C$267,EJ29))</f>
        <v>0</v>
      </c>
      <c r="TO29" s="57">
        <f>IF(EK29="","",COUNTIFS($D$25:$D$267,Parameters!$K$2,$E$25:$E$267,Parameters!$M$7,Calendrier!$C$25:$C$267,EK29)+ COUNTIFS($D$25:$D$267,Parameters!$K$4,$E$25:$E$267,Parameters!$M$7,Calendrier!$C$25:$C$267,EK29))</f>
        <v>0</v>
      </c>
      <c r="TR29" s="49">
        <f>IF(EN29="","",COUNTIFS($D$25:$D$267,Parameters!$K$2,$E$25:$E$267,Parameters!$M$7,Calendrier!$C$25:$C$267,EN29)+ COUNTIFS($D$25:$D$267,Parameters!$K$3,$E$25:$E$267,Parameters!$M$7,Calendrier!$C$25:$C$267,EN29))</f>
        <v>0</v>
      </c>
      <c r="TS29" s="50">
        <f>IF(EO29="","",COUNTIFS($D$25:$D$267,Parameters!$K$2,$E$25:$E$267,Parameters!$M$7,Calendrier!$C$25:$C$267,EO29)+ COUNTIFS($D$25:$D$267,Parameters!$K$4,$E$25:$E$267,Parameters!$M$7,Calendrier!$C$25:$C$267,EO29))</f>
        <v>0</v>
      </c>
      <c r="TT29" s="50">
        <f>IF(EP29="","",COUNTIFS($D$25:$D$267,Parameters!$K$2,$E$25:$E$267,Parameters!$M$7,Calendrier!$C$25:$C$267,EP29)+ COUNTIFS($D$25:$D$267,Parameters!$K$3,$E$25:$E$267,Parameters!$M$7,Calendrier!$C$25:$C$267,EP29))</f>
        <v>0</v>
      </c>
      <c r="TU29" s="50">
        <f>IF(EQ29="","",COUNTIFS($D$25:$D$267,Parameters!$K$2,$E$25:$E$267,Parameters!$M$7,Calendrier!$C$25:$C$267,EQ29)+ COUNTIFS($D$25:$D$267,Parameters!$K$4,$E$25:$E$267,Parameters!$M$7,Calendrier!$C$25:$C$267,EQ29))</f>
        <v>0</v>
      </c>
      <c r="TV29" s="50">
        <f>IF(ER29="","",COUNTIFS($D$25:$D$267,Parameters!$K$2,$E$25:$E$267,Parameters!$M$7,Calendrier!$C$25:$C$267,ER29)+ COUNTIFS($D$25:$D$267,Parameters!$K$3,$E$25:$E$267,Parameters!$M$7,Calendrier!$C$25:$C$267,ER29))</f>
        <v>0</v>
      </c>
      <c r="TW29" s="50">
        <f>IF(ES29="","",COUNTIFS($D$25:$D$267,Parameters!$K$2,$E$25:$E$267,Parameters!$M$7,Calendrier!$C$25:$C$267,ES29)+ COUNTIFS($D$25:$D$267,Parameters!$K$4,$E$25:$E$267,Parameters!$M$7,Calendrier!$C$25:$C$267,ES29))</f>
        <v>0</v>
      </c>
      <c r="TX29" s="50">
        <f>IF(ET29="","",COUNTIFS($D$25:$D$267,Parameters!$K$2,$E$25:$E$267,Parameters!$M$7,Calendrier!$C$25:$C$267,ET29)+ COUNTIFS($D$25:$D$267,Parameters!$K$3,$E$25:$E$267,Parameters!$M$7,Calendrier!$C$25:$C$267,ET29))</f>
        <v>0</v>
      </c>
      <c r="TY29" s="50">
        <f>IF(EU29="","",COUNTIFS($D$25:$D$267,Parameters!$K$2,$E$25:$E$267,Parameters!$M$7,Calendrier!$C$25:$C$267,EU29)+ COUNTIFS($D$25:$D$267,Parameters!$K$4,$E$25:$E$267,Parameters!$M$7,Calendrier!$C$25:$C$267,EU29))</f>
        <v>0</v>
      </c>
      <c r="TZ29" s="50">
        <f>IF(EV29="","",COUNTIFS($D$25:$D$267,Parameters!$K$2,$E$25:$E$267,Parameters!$M$7,Calendrier!$C$25:$C$267,EV29)+ COUNTIFS($D$25:$D$267,Parameters!$K$3,$E$25:$E$267,Parameters!$M$7,Calendrier!$C$25:$C$267,EV29))</f>
        <v>0</v>
      </c>
      <c r="UA29" s="50">
        <f>IF(EW29="","",COUNTIFS($D$25:$D$267,Parameters!$K$2,$E$25:$E$267,Parameters!$M$7,Calendrier!$C$25:$C$267,EW29)+ COUNTIFS($D$25:$D$267,Parameters!$K$4,$E$25:$E$267,Parameters!$M$7,Calendrier!$C$25:$C$267,EW29))</f>
        <v>0</v>
      </c>
      <c r="UB29" s="50">
        <f>IF(EX29="","",COUNTIFS($D$25:$D$267,Parameters!$K$2,$E$25:$E$267,Parameters!$M$7,Calendrier!$C$25:$C$267,EX29)+ COUNTIFS($D$25:$D$267,Parameters!$K$3,$E$25:$E$267,Parameters!$M$7,Calendrier!$C$25:$C$267,EX29))</f>
        <v>0</v>
      </c>
      <c r="UC29" s="50">
        <f>IF(EY29="","",COUNTIFS($D$25:$D$267,Parameters!$K$2,$E$25:$E$267,Parameters!$M$7,Calendrier!$C$25:$C$267,EY29)+ COUNTIFS($D$25:$D$267,Parameters!$K$4,$E$25:$E$267,Parameters!$M$7,Calendrier!$C$25:$C$267,EY29))</f>
        <v>0</v>
      </c>
      <c r="UD29" s="50">
        <f>IF(EZ29="","",COUNTIFS($D$25:$D$267,Parameters!$K$2,$E$25:$E$267,Parameters!$M$7,Calendrier!$C$25:$C$267,EZ29)+ COUNTIFS($D$25:$D$267,Parameters!$K$3,$E$25:$E$267,Parameters!$M$7,Calendrier!$C$25:$C$267,EZ29))</f>
        <v>0</v>
      </c>
      <c r="UE29" s="57">
        <f>IF(FA29="","",COUNTIFS($D$25:$D$267,Parameters!$K$2,$E$25:$E$267,Parameters!$M$7,Calendrier!$C$25:$C$267,FA29)+ COUNTIFS($D$25:$D$267,Parameters!$K$4,$E$25:$E$267,Parameters!$M$7,Calendrier!$C$25:$C$267,FA29))</f>
        <v>0</v>
      </c>
    </row>
    <row r="30" spans="2:551" x14ac:dyDescent="0.3">
      <c r="B30" s="73">
        <f t="shared" si="317"/>
        <v>2025</v>
      </c>
      <c r="C30" s="27">
        <v>45825</v>
      </c>
      <c r="D30" s="30" t="s">
        <v>30</v>
      </c>
      <c r="E30" s="30" t="s">
        <v>36</v>
      </c>
      <c r="F30" s="61"/>
      <c r="G30" s="77"/>
      <c r="K30" s="31"/>
      <c r="L30" s="22">
        <f>X29+1</f>
        <v>13</v>
      </c>
      <c r="M30" s="23"/>
      <c r="N30" s="22">
        <f t="shared" ref="N30:N31" si="376">L30+1</f>
        <v>14</v>
      </c>
      <c r="O30" s="23"/>
      <c r="P30" s="22">
        <f t="shared" ref="P30:P31" si="377">N30+1</f>
        <v>15</v>
      </c>
      <c r="Q30" s="23"/>
      <c r="R30" s="22">
        <f t="shared" ref="R30:R31" si="378">P30+1</f>
        <v>16</v>
      </c>
      <c r="S30" s="23"/>
      <c r="T30" s="22">
        <f t="shared" ref="T30:T31" si="379">R30+1</f>
        <v>17</v>
      </c>
      <c r="U30" s="23"/>
      <c r="V30" s="22">
        <f t="shared" ref="V30:V31" si="380">T30+1</f>
        <v>18</v>
      </c>
      <c r="W30" s="23"/>
      <c r="X30" s="22">
        <f t="shared" ref="X30:X31" si="381">V30+1</f>
        <v>19</v>
      </c>
      <c r="Y30" s="23"/>
      <c r="Z30" s="31"/>
      <c r="AA30" s="31"/>
      <c r="AB30" s="22">
        <f>AN29+1</f>
        <v>10</v>
      </c>
      <c r="AC30" s="23"/>
      <c r="AD30" s="22">
        <f t="shared" ref="AD30:AD31" si="382">AB30+1</f>
        <v>11</v>
      </c>
      <c r="AE30" s="23"/>
      <c r="AF30" s="22">
        <f t="shared" ref="AF30:AF31" si="383">AD30+1</f>
        <v>12</v>
      </c>
      <c r="AG30" s="23"/>
      <c r="AH30" s="22">
        <f t="shared" ref="AH30:AH31" si="384">AF30+1</f>
        <v>13</v>
      </c>
      <c r="AI30" s="23"/>
      <c r="AJ30" s="22">
        <f t="shared" ref="AJ30:AJ31" si="385">AH30+1</f>
        <v>14</v>
      </c>
      <c r="AK30" s="23"/>
      <c r="AL30" s="22">
        <f t="shared" ref="AL30:AL31" si="386">AJ30+1</f>
        <v>15</v>
      </c>
      <c r="AM30" s="23"/>
      <c r="AN30" s="22">
        <f t="shared" ref="AN30:AN31" si="387">AL30+1</f>
        <v>16</v>
      </c>
      <c r="AO30" s="23"/>
      <c r="AP30" s="31"/>
      <c r="AQ30" s="31"/>
      <c r="AR30" s="22">
        <f>BD29+1</f>
        <v>14</v>
      </c>
      <c r="AS30" s="23"/>
      <c r="AT30" s="22">
        <f t="shared" ref="AT30:AT31" si="388">AR30+1</f>
        <v>15</v>
      </c>
      <c r="AU30" s="23"/>
      <c r="AV30" s="22">
        <f t="shared" ref="AV30:AV31" si="389">AT30+1</f>
        <v>16</v>
      </c>
      <c r="AW30" s="23"/>
      <c r="AX30" s="22">
        <f t="shared" ref="AX30:AX31" si="390">AV30+1</f>
        <v>17</v>
      </c>
      <c r="AY30" s="23"/>
      <c r="AZ30" s="22">
        <f t="shared" ref="AZ30:AZ31" si="391">AX30+1</f>
        <v>18</v>
      </c>
      <c r="BA30" s="23"/>
      <c r="BB30" s="22">
        <f t="shared" ref="BB30:BB31" si="392">AZ30+1</f>
        <v>19</v>
      </c>
      <c r="BC30" s="23"/>
      <c r="BD30" s="22">
        <f t="shared" ref="BD30:BD31" si="393">BB30+1</f>
        <v>20</v>
      </c>
      <c r="BE30" s="23"/>
      <c r="BF30" s="31"/>
      <c r="BG30" s="31"/>
      <c r="BJ30" s="42"/>
      <c r="BK30" s="6">
        <v>7</v>
      </c>
      <c r="BL30" s="6">
        <v>7</v>
      </c>
      <c r="BM30" s="6">
        <v>7</v>
      </c>
      <c r="BN30" s="6">
        <v>7</v>
      </c>
      <c r="BO30" s="6">
        <v>7</v>
      </c>
      <c r="BP30" s="6">
        <v>7</v>
      </c>
      <c r="BQ30" s="6">
        <v>7</v>
      </c>
      <c r="BR30" s="6">
        <v>7</v>
      </c>
      <c r="BS30" s="6">
        <v>7</v>
      </c>
      <c r="BT30" s="6">
        <v>7</v>
      </c>
      <c r="BU30" s="6">
        <v>7</v>
      </c>
      <c r="BV30" s="6">
        <v>7</v>
      </c>
      <c r="BW30" s="6">
        <v>7</v>
      </c>
      <c r="CA30" s="6">
        <v>8</v>
      </c>
      <c r="CB30" s="6">
        <v>8</v>
      </c>
      <c r="CC30" s="6">
        <v>8</v>
      </c>
      <c r="CD30" s="6">
        <v>8</v>
      </c>
      <c r="CE30" s="6">
        <v>8</v>
      </c>
      <c r="CF30" s="6">
        <v>8</v>
      </c>
      <c r="CG30" s="6">
        <v>8</v>
      </c>
      <c r="CH30" s="6">
        <v>8</v>
      </c>
      <c r="CI30" s="6">
        <v>8</v>
      </c>
      <c r="CJ30" s="6">
        <v>8</v>
      </c>
      <c r="CK30" s="6">
        <v>8</v>
      </c>
      <c r="CL30" s="6">
        <v>8</v>
      </c>
      <c r="CM30" s="6">
        <v>8</v>
      </c>
      <c r="CQ30" s="6">
        <v>9</v>
      </c>
      <c r="CR30" s="6">
        <v>9</v>
      </c>
      <c r="CS30" s="6">
        <v>9</v>
      </c>
      <c r="CT30" s="6">
        <v>9</v>
      </c>
      <c r="CU30" s="6">
        <v>9</v>
      </c>
      <c r="CV30" s="6">
        <v>9</v>
      </c>
      <c r="CW30" s="6">
        <v>9</v>
      </c>
      <c r="CX30" s="6">
        <v>9</v>
      </c>
      <c r="CY30" s="6">
        <v>9</v>
      </c>
      <c r="CZ30" s="6">
        <v>9</v>
      </c>
      <c r="DA30" s="6">
        <v>9</v>
      </c>
      <c r="DB30" s="6">
        <v>9</v>
      </c>
      <c r="DC30" s="6">
        <v>9</v>
      </c>
      <c r="DG30" s="42"/>
      <c r="DH30" s="43">
        <f t="shared" si="355"/>
        <v>46216</v>
      </c>
      <c r="DI30" s="44">
        <f t="shared" ref="DI30" si="394">DH30</f>
        <v>46216</v>
      </c>
      <c r="DJ30" s="44">
        <f t="shared" si="318"/>
        <v>46217</v>
      </c>
      <c r="DK30" s="44">
        <f t="shared" ref="DK30" si="395">DJ30</f>
        <v>46217</v>
      </c>
      <c r="DL30" s="44">
        <f t="shared" si="320"/>
        <v>46218</v>
      </c>
      <c r="DM30" s="44">
        <f t="shared" ref="DM30" si="396">DL30</f>
        <v>46218</v>
      </c>
      <c r="DN30" s="44">
        <f t="shared" si="322"/>
        <v>46219</v>
      </c>
      <c r="DO30" s="44">
        <f t="shared" ref="DO30" si="397">DN30</f>
        <v>46219</v>
      </c>
      <c r="DP30" s="44">
        <f t="shared" si="324"/>
        <v>46220</v>
      </c>
      <c r="DQ30" s="44">
        <f t="shared" ref="DQ30" si="398">DP30</f>
        <v>46220</v>
      </c>
      <c r="DR30" s="44">
        <f t="shared" si="326"/>
        <v>46221</v>
      </c>
      <c r="DS30" s="44">
        <f t="shared" ref="DS30" si="399">DR30</f>
        <v>46221</v>
      </c>
      <c r="DT30" s="44">
        <f t="shared" si="328"/>
        <v>46222</v>
      </c>
      <c r="DU30" s="45">
        <f t="shared" si="329"/>
        <v>46222</v>
      </c>
      <c r="DX30" s="43">
        <f t="shared" si="362"/>
        <v>46244</v>
      </c>
      <c r="DY30" s="44">
        <f t="shared" ref="DY30" si="400">DX30</f>
        <v>46244</v>
      </c>
      <c r="DZ30" s="44">
        <f t="shared" si="330"/>
        <v>46245</v>
      </c>
      <c r="EA30" s="44">
        <f t="shared" ref="EA30" si="401">DZ30</f>
        <v>46245</v>
      </c>
      <c r="EB30" s="44">
        <f t="shared" si="332"/>
        <v>46246</v>
      </c>
      <c r="EC30" s="44">
        <f t="shared" ref="EC30" si="402">EB30</f>
        <v>46246</v>
      </c>
      <c r="ED30" s="44">
        <f t="shared" si="334"/>
        <v>46247</v>
      </c>
      <c r="EE30" s="44">
        <f t="shared" ref="EE30" si="403">ED30</f>
        <v>46247</v>
      </c>
      <c r="EF30" s="44">
        <f t="shared" si="336"/>
        <v>46248</v>
      </c>
      <c r="EG30" s="44">
        <f t="shared" ref="EG30" si="404">EF30</f>
        <v>46248</v>
      </c>
      <c r="EH30" s="44">
        <f t="shared" si="338"/>
        <v>46249</v>
      </c>
      <c r="EI30" s="44">
        <f t="shared" ref="EI30" si="405">EH30</f>
        <v>46249</v>
      </c>
      <c r="EJ30" s="44">
        <f t="shared" si="340"/>
        <v>46250</v>
      </c>
      <c r="EK30" s="45">
        <f t="shared" si="341"/>
        <v>46250</v>
      </c>
      <c r="EN30" s="43">
        <f t="shared" si="369"/>
        <v>46279</v>
      </c>
      <c r="EO30" s="44">
        <f t="shared" ref="EO30" si="406">EN30</f>
        <v>46279</v>
      </c>
      <c r="EP30" s="44">
        <f t="shared" si="342"/>
        <v>46280</v>
      </c>
      <c r="EQ30" s="44">
        <f t="shared" ref="EQ30" si="407">EP30</f>
        <v>46280</v>
      </c>
      <c r="ER30" s="44">
        <f t="shared" si="344"/>
        <v>46281</v>
      </c>
      <c r="ES30" s="44">
        <f t="shared" ref="ES30" si="408">ER30</f>
        <v>46281</v>
      </c>
      <c r="ET30" s="44">
        <f t="shared" si="346"/>
        <v>46282</v>
      </c>
      <c r="EU30" s="44">
        <f t="shared" ref="EU30" si="409">ET30</f>
        <v>46282</v>
      </c>
      <c r="EV30" s="44">
        <f t="shared" si="348"/>
        <v>46283</v>
      </c>
      <c r="EW30" s="44">
        <f t="shared" ref="EW30" si="410">EV30</f>
        <v>46283</v>
      </c>
      <c r="EX30" s="44">
        <f t="shared" si="350"/>
        <v>46284</v>
      </c>
      <c r="EY30" s="44">
        <f t="shared" ref="EY30" si="411">EX30</f>
        <v>46284</v>
      </c>
      <c r="EZ30" s="44">
        <f t="shared" si="352"/>
        <v>46285</v>
      </c>
      <c r="FA30" s="45">
        <f t="shared" si="353"/>
        <v>46285</v>
      </c>
      <c r="FE30" s="49">
        <f>COUNTIFS(Parameters!$S:$S,$D$4,Parameters!$Q:$Q,DH30)</f>
        <v>0</v>
      </c>
      <c r="FF30" s="50">
        <f>COUNTIFS(Parameters!$S:$S,$D$4,Parameters!$Q:$Q,DI30)</f>
        <v>0</v>
      </c>
      <c r="FG30" s="50">
        <f>COUNTIFS(Parameters!$S:$S,$D$4,Parameters!$Q:$Q,DJ30)</f>
        <v>0</v>
      </c>
      <c r="FH30" s="50">
        <f>COUNTIFS(Parameters!$S:$S,$D$4,Parameters!$Q:$Q,DK30)</f>
        <v>0</v>
      </c>
      <c r="FI30" s="50">
        <f>COUNTIFS(Parameters!$S:$S,$D$4,Parameters!$Q:$Q,DL30)</f>
        <v>0</v>
      </c>
      <c r="FJ30" s="50">
        <f>COUNTIFS(Parameters!$S:$S,$D$4,Parameters!$Q:$Q,DM30)</f>
        <v>0</v>
      </c>
      <c r="FK30" s="50">
        <f>COUNTIFS(Parameters!$S:$S,$D$4,Parameters!$Q:$Q,DN30)</f>
        <v>0</v>
      </c>
      <c r="FL30" s="50">
        <f>COUNTIFS(Parameters!$S:$S,$D$4,Parameters!$Q:$Q,DO30)</f>
        <v>0</v>
      </c>
      <c r="FM30" s="50">
        <f>COUNTIFS(Parameters!$S:$S,$D$4,Parameters!$Q:$Q,DP30)</f>
        <v>0</v>
      </c>
      <c r="FN30" s="50">
        <f>COUNTIFS(Parameters!$S:$S,$D$4,Parameters!$Q:$Q,DQ30)</f>
        <v>0</v>
      </c>
      <c r="FO30" s="50">
        <f>COUNTIFS(Parameters!$S:$S,$D$4,Parameters!$Q:$Q,DR30)</f>
        <v>0</v>
      </c>
      <c r="FP30" s="50">
        <f>COUNTIFS(Parameters!$S:$S,$D$4,Parameters!$Q:$Q,DS30)</f>
        <v>0</v>
      </c>
      <c r="FQ30" s="50">
        <f>COUNTIFS(Parameters!$S:$S,$D$4,Parameters!$Q:$Q,DT30)</f>
        <v>0</v>
      </c>
      <c r="FR30" s="57">
        <f>COUNTIFS(Parameters!$S:$S,$D$4,Parameters!$Q:$Q,DU30)</f>
        <v>0</v>
      </c>
      <c r="FU30" s="49">
        <f>COUNTIFS(Parameters!$S:$S,$D$4,Parameters!$Q:$Q,DX30)</f>
        <v>0</v>
      </c>
      <c r="FV30" s="50">
        <f>COUNTIFS(Parameters!$S:$S,$D$4,Parameters!$Q:$Q,DY30)</f>
        <v>0</v>
      </c>
      <c r="FW30" s="50">
        <f>COUNTIFS(Parameters!$S:$S,$D$4,Parameters!$Q:$Q,DZ30)</f>
        <v>0</v>
      </c>
      <c r="FX30" s="50">
        <f>COUNTIFS(Parameters!$S:$S,$D$4,Parameters!$Q:$Q,EA30)</f>
        <v>0</v>
      </c>
      <c r="FY30" s="50">
        <f>COUNTIFS(Parameters!$S:$S,$D$4,Parameters!$Q:$Q,EB30)</f>
        <v>0</v>
      </c>
      <c r="FZ30" s="50">
        <f>COUNTIFS(Parameters!$S:$S,$D$4,Parameters!$Q:$Q,EC30)</f>
        <v>0</v>
      </c>
      <c r="GA30" s="50">
        <f>COUNTIFS(Parameters!$S:$S,$D$4,Parameters!$Q:$Q,ED30)</f>
        <v>0</v>
      </c>
      <c r="GB30" s="50">
        <f>COUNTIFS(Parameters!$S:$S,$D$4,Parameters!$Q:$Q,EE30)</f>
        <v>0</v>
      </c>
      <c r="GC30" s="50">
        <f>COUNTIFS(Parameters!$S:$S,$D$4,Parameters!$Q:$Q,EF30)</f>
        <v>0</v>
      </c>
      <c r="GD30" s="50">
        <f>COUNTIFS(Parameters!$S:$S,$D$4,Parameters!$Q:$Q,EG30)</f>
        <v>0</v>
      </c>
      <c r="GE30" s="50">
        <f>COUNTIFS(Parameters!$S:$S,$D$4,Parameters!$Q:$Q,EH30)</f>
        <v>0</v>
      </c>
      <c r="GF30" s="50">
        <f>COUNTIFS(Parameters!$S:$S,$D$4,Parameters!$Q:$Q,EI30)</f>
        <v>0</v>
      </c>
      <c r="GG30" s="50">
        <f>COUNTIFS(Parameters!$S:$S,$D$4,Parameters!$Q:$Q,EJ30)</f>
        <v>0</v>
      </c>
      <c r="GH30" s="57">
        <f>COUNTIFS(Parameters!$S:$S,$D$4,Parameters!$Q:$Q,EK30)</f>
        <v>0</v>
      </c>
      <c r="GK30" s="49">
        <f>COUNTIFS(Parameters!$S:$S,$D$4,Parameters!$Q:$Q,EN30)</f>
        <v>0</v>
      </c>
      <c r="GL30" s="50">
        <f>COUNTIFS(Parameters!$S:$S,$D$4,Parameters!$Q:$Q,EO30)</f>
        <v>0</v>
      </c>
      <c r="GM30" s="50">
        <f>COUNTIFS(Parameters!$S:$S,$D$4,Parameters!$Q:$Q,EP30)</f>
        <v>0</v>
      </c>
      <c r="GN30" s="50">
        <f>COUNTIFS(Parameters!$S:$S,$D$4,Parameters!$Q:$Q,EQ30)</f>
        <v>0</v>
      </c>
      <c r="GO30" s="50">
        <f>COUNTIFS(Parameters!$S:$S,$D$4,Parameters!$Q:$Q,ER30)</f>
        <v>0</v>
      </c>
      <c r="GP30" s="50">
        <f>COUNTIFS(Parameters!$S:$S,$D$4,Parameters!$Q:$Q,ES30)</f>
        <v>0</v>
      </c>
      <c r="GQ30" s="50">
        <f>COUNTIFS(Parameters!$S:$S,$D$4,Parameters!$Q:$Q,ET30)</f>
        <v>0</v>
      </c>
      <c r="GR30" s="50">
        <f>COUNTIFS(Parameters!$S:$S,$D$4,Parameters!$Q:$Q,EU30)</f>
        <v>0</v>
      </c>
      <c r="GS30" s="50">
        <f>COUNTIFS(Parameters!$S:$S,$D$4,Parameters!$Q:$Q,EV30)</f>
        <v>0</v>
      </c>
      <c r="GT30" s="50">
        <f>COUNTIFS(Parameters!$S:$S,$D$4,Parameters!$Q:$Q,EW30)</f>
        <v>0</v>
      </c>
      <c r="GU30" s="50">
        <f>COUNTIFS(Parameters!$S:$S,$D$4,Parameters!$Q:$Q,EX30)</f>
        <v>0</v>
      </c>
      <c r="GV30" s="50">
        <f>COUNTIFS(Parameters!$S:$S,$D$4,Parameters!$Q:$Q,EY30)</f>
        <v>0</v>
      </c>
      <c r="GW30" s="50">
        <f>COUNTIFS(Parameters!$S:$S,$D$4,Parameters!$Q:$Q,EZ30)</f>
        <v>0</v>
      </c>
      <c r="GX30" s="57">
        <f>COUNTIFS(Parameters!$S:$S,$D$4,Parameters!$Q:$Q,FA30)</f>
        <v>0</v>
      </c>
      <c r="HB30" s="49">
        <f>IF(DH30="","",COUNTIFS($D$25:$D$267,Parameters!$K$2,$E$25:$E$267,Parameters!$M$2,Calendrier!$C$25:$C$267,DH30)+ COUNTIFS($D$25:$D$267,Parameters!$K$3,$E$25:$E$267,Parameters!$M$2,Calendrier!$C$25:$C$267,DH30))</f>
        <v>1</v>
      </c>
      <c r="HC30" s="50">
        <f>IF(DI30="","",COUNTIFS($D$25:$D$267,Parameters!$K$2,$E$25:$E$267,Parameters!$M$2,Calendrier!$C$25:$C$267,DI30)+ COUNTIFS($D$25:$D$267,Parameters!$K$4,$E$25:$E$267,Parameters!$M$2,Calendrier!$C$25:$C$267,DI30))</f>
        <v>1</v>
      </c>
      <c r="HD30" s="50">
        <f>IF(DJ30="","",COUNTIFS($D$25:$D$267,Parameters!$K$2,$E$25:$E$267,Parameters!$M$2,Calendrier!$C$25:$C$267,DJ30)+ COUNTIFS($D$25:$D$267,Parameters!$K$3,$E$25:$E$267,Parameters!$M$2,Calendrier!$C$25:$C$267,DJ30))</f>
        <v>1</v>
      </c>
      <c r="HE30" s="50">
        <f>IF(DK30="","",COUNTIFS($D$25:$D$267,Parameters!$K$2,$E$25:$E$267,Parameters!$M$2,Calendrier!$C$25:$C$267,DK30)+ COUNTIFS($D$25:$D$267,Parameters!$K$4,$E$25:$E$267,Parameters!$M$2,Calendrier!$C$25:$C$267,DK30))</f>
        <v>1</v>
      </c>
      <c r="HF30" s="50">
        <f>IF(DL30="","",COUNTIFS($D$25:$D$267,Parameters!$K$2,$E$25:$E$267,Parameters!$M$2,Calendrier!$C$25:$C$267,DL30)+ COUNTIFS($D$25:$D$267,Parameters!$K$3,$E$25:$E$267,Parameters!$M$2,Calendrier!$C$25:$C$267,DL30))</f>
        <v>1</v>
      </c>
      <c r="HG30" s="50">
        <f>IF(DM30="","",COUNTIFS($D$25:$D$267,Parameters!$K$2,$E$25:$E$267,Parameters!$M$2,Calendrier!$C$25:$C$267,DM30)+ COUNTIFS($D$25:$D$267,Parameters!$K$4,$E$25:$E$267,Parameters!$M$2,Calendrier!$C$25:$C$267,DM30))</f>
        <v>1</v>
      </c>
      <c r="HH30" s="50">
        <f>IF(DN30="","",COUNTIFS($D$25:$D$267,Parameters!$K$2,$E$25:$E$267,Parameters!$M$2,Calendrier!$C$25:$C$267,DN30)+ COUNTIFS($D$25:$D$267,Parameters!$K$3,$E$25:$E$267,Parameters!$M$2,Calendrier!$C$25:$C$267,DN30))</f>
        <v>1</v>
      </c>
      <c r="HI30" s="50">
        <f>IF(DO30="","",COUNTIFS($D$25:$D$267,Parameters!$K$2,$E$25:$E$267,Parameters!$M$2,Calendrier!$C$25:$C$267,DO30)+ COUNTIFS($D$25:$D$267,Parameters!$K$4,$E$25:$E$267,Parameters!$M$2,Calendrier!$C$25:$C$267,DO30))</f>
        <v>1</v>
      </c>
      <c r="HJ30" s="50">
        <f>IF(DP30="","",COUNTIFS($D$25:$D$267,Parameters!$K$2,$E$25:$E$267,Parameters!$M$2,Calendrier!$C$25:$C$267,DP30)+ COUNTIFS($D$25:$D$267,Parameters!$K$3,$E$25:$E$267,Parameters!$M$2,Calendrier!$C$25:$C$267,DP30))</f>
        <v>0</v>
      </c>
      <c r="HK30" s="50">
        <f>IF(DQ30="","",COUNTIFS($D$25:$D$267,Parameters!$K$2,$E$25:$E$267,Parameters!$M$2,Calendrier!$C$25:$C$267,DQ30)+ COUNTIFS($D$25:$D$267,Parameters!$K$4,$E$25:$E$267,Parameters!$M$2,Calendrier!$C$25:$C$267,DQ30))</f>
        <v>0</v>
      </c>
      <c r="HL30" s="50">
        <f>IF(DR30="","",COUNTIFS($D$25:$D$267,Parameters!$K$2,$E$25:$E$267,Parameters!$M$2,Calendrier!$C$25:$C$267,DR30)+ COUNTIFS($D$25:$D$267,Parameters!$K$3,$E$25:$E$267,Parameters!$M$2,Calendrier!$C$25:$C$267,DR30))</f>
        <v>0</v>
      </c>
      <c r="HM30" s="50">
        <f>IF(DS30="","",COUNTIFS($D$25:$D$267,Parameters!$K$2,$E$25:$E$267,Parameters!$M$2,Calendrier!$C$25:$C$267,DS30)+ COUNTIFS($D$25:$D$267,Parameters!$K$4,$E$25:$E$267,Parameters!$M$2,Calendrier!$C$25:$C$267,DS30))</f>
        <v>0</v>
      </c>
      <c r="HN30" s="50">
        <f>IF(DT30="","",COUNTIFS($D$25:$D$267,Parameters!$K$2,$E$25:$E$267,Parameters!$M$2,Calendrier!$C$25:$C$267,DT30)+ COUNTIFS($D$25:$D$267,Parameters!$K$3,$E$25:$E$267,Parameters!$M$2,Calendrier!$C$25:$C$267,DT30))</f>
        <v>0</v>
      </c>
      <c r="HO30" s="57">
        <f>IF(DU30="","",COUNTIFS($D$25:$D$267,Parameters!$K$2,$E$25:$E$267,Parameters!$M$2,Calendrier!$C$25:$C$267,DU30)+ COUNTIFS($D$25:$D$267,Parameters!$K$4,$E$25:$E$267,Parameters!$M$2,Calendrier!$C$25:$C$267,DU30))</f>
        <v>0</v>
      </c>
      <c r="HR30" s="49">
        <f>IF(DX30="","",COUNTIFS($D$25:$D$267,Parameters!$K$2,$E$25:$E$267,Parameters!$M$2,Calendrier!$C$25:$C$267,DX30)+ COUNTIFS($D$25:$D$267,Parameters!$K$3,$E$25:$E$267,Parameters!$M$2,Calendrier!$C$25:$C$267,DX30))</f>
        <v>0</v>
      </c>
      <c r="HS30" s="50">
        <f>IF(DY30="","",COUNTIFS($D$25:$D$267,Parameters!$K$2,$E$25:$E$267,Parameters!$M$2,Calendrier!$C$25:$C$267,DY30)+ COUNTIFS($D$25:$D$267,Parameters!$K$4,$E$25:$E$267,Parameters!$M$2,Calendrier!$C$25:$C$267,DY30))</f>
        <v>0</v>
      </c>
      <c r="HT30" s="50">
        <f>IF(DZ30="","",COUNTIFS($D$25:$D$267,Parameters!$K$2,$E$25:$E$267,Parameters!$M$2,Calendrier!$C$25:$C$267,DZ30)+ COUNTIFS($D$25:$D$267,Parameters!$K$3,$E$25:$E$267,Parameters!$M$2,Calendrier!$C$25:$C$267,DZ30))</f>
        <v>0</v>
      </c>
      <c r="HU30" s="50">
        <f>IF(EA30="","",COUNTIFS($D$25:$D$267,Parameters!$K$2,$E$25:$E$267,Parameters!$M$2,Calendrier!$C$25:$C$267,EA30)+ COUNTIFS($D$25:$D$267,Parameters!$K$4,$E$25:$E$267,Parameters!$M$2,Calendrier!$C$25:$C$267,EA30))</f>
        <v>0</v>
      </c>
      <c r="HV30" s="50">
        <f>IF(EB30="","",COUNTIFS($D$25:$D$267,Parameters!$K$2,$E$25:$E$267,Parameters!$M$2,Calendrier!$C$25:$C$267,EB30)+ COUNTIFS($D$25:$D$267,Parameters!$K$3,$E$25:$E$267,Parameters!$M$2,Calendrier!$C$25:$C$267,EB30))</f>
        <v>0</v>
      </c>
      <c r="HW30" s="50">
        <f>IF(EC30="","",COUNTIFS($D$25:$D$267,Parameters!$K$2,$E$25:$E$267,Parameters!$M$2,Calendrier!$C$25:$C$267,EC30)+ COUNTIFS($D$25:$D$267,Parameters!$K$4,$E$25:$E$267,Parameters!$M$2,Calendrier!$C$25:$C$267,EC30))</f>
        <v>0</v>
      </c>
      <c r="HX30" s="50">
        <f>IF(ED30="","",COUNTIFS($D$25:$D$267,Parameters!$K$2,$E$25:$E$267,Parameters!$M$2,Calendrier!$C$25:$C$267,ED30)+ COUNTIFS($D$25:$D$267,Parameters!$K$3,$E$25:$E$267,Parameters!$M$2,Calendrier!$C$25:$C$267,ED30))</f>
        <v>0</v>
      </c>
      <c r="HY30" s="50">
        <f>IF(EE30="","",COUNTIFS($D$25:$D$267,Parameters!$K$2,$E$25:$E$267,Parameters!$M$2,Calendrier!$C$25:$C$267,EE30)+ COUNTIFS($D$25:$D$267,Parameters!$K$4,$E$25:$E$267,Parameters!$M$2,Calendrier!$C$25:$C$267,EE30))</f>
        <v>0</v>
      </c>
      <c r="HZ30" s="50">
        <f>IF(EF30="","",COUNTIFS($D$25:$D$267,Parameters!$K$2,$E$25:$E$267,Parameters!$M$2,Calendrier!$C$25:$C$267,EF30)+ COUNTIFS($D$25:$D$267,Parameters!$K$3,$E$25:$E$267,Parameters!$M$2,Calendrier!$C$25:$C$267,EF30))</f>
        <v>0</v>
      </c>
      <c r="IA30" s="50">
        <f>IF(EG30="","",COUNTIFS($D$25:$D$267,Parameters!$K$2,$E$25:$E$267,Parameters!$M$2,Calendrier!$C$25:$C$267,EG30)+ COUNTIFS($D$25:$D$267,Parameters!$K$4,$E$25:$E$267,Parameters!$M$2,Calendrier!$C$25:$C$267,EG30))</f>
        <v>0</v>
      </c>
      <c r="IB30" s="50">
        <f>IF(EH30="","",COUNTIFS($D$25:$D$267,Parameters!$K$2,$E$25:$E$267,Parameters!$M$2,Calendrier!$C$25:$C$267,EH30)+ COUNTIFS($D$25:$D$267,Parameters!$K$3,$E$25:$E$267,Parameters!$M$2,Calendrier!$C$25:$C$267,EH30))</f>
        <v>0</v>
      </c>
      <c r="IC30" s="50">
        <f>IF(EI30="","",COUNTIFS($D$25:$D$267,Parameters!$K$2,$E$25:$E$267,Parameters!$M$2,Calendrier!$C$25:$C$267,EI30)+ COUNTIFS($D$25:$D$267,Parameters!$K$4,$E$25:$E$267,Parameters!$M$2,Calendrier!$C$25:$C$267,EI30))</f>
        <v>0</v>
      </c>
      <c r="ID30" s="50">
        <f>IF(EJ30="","",COUNTIFS($D$25:$D$267,Parameters!$K$2,$E$25:$E$267,Parameters!$M$2,Calendrier!$C$25:$C$267,EJ30)+ COUNTIFS($D$25:$D$267,Parameters!$K$3,$E$25:$E$267,Parameters!$M$2,Calendrier!$C$25:$C$267,EJ30))</f>
        <v>0</v>
      </c>
      <c r="IE30" s="57">
        <f>IF(EK30="","",COUNTIFS($D$25:$D$267,Parameters!$K$2,$E$25:$E$267,Parameters!$M$2,Calendrier!$C$25:$C$267,EK30)+ COUNTIFS($D$25:$D$267,Parameters!$K$4,$E$25:$E$267,Parameters!$M$2,Calendrier!$C$25:$C$267,EK30))</f>
        <v>0</v>
      </c>
      <c r="IH30" s="49">
        <f>IF(EN30="","",COUNTIFS($D$25:$D$267,Parameters!$K$2,$E$25:$E$267,Parameters!$M$2,Calendrier!$C$25:$C$267,EN30)+ COUNTIFS($D$25:$D$267,Parameters!$K$3,$E$25:$E$267,Parameters!$M$2,Calendrier!$C$25:$C$267,EN30))</f>
        <v>0</v>
      </c>
      <c r="II30" s="50">
        <f>IF(EO30="","",COUNTIFS($D$25:$D$267,Parameters!$K$2,$E$25:$E$267,Parameters!$M$2,Calendrier!$C$25:$C$267,EO30)+ COUNTIFS($D$25:$D$267,Parameters!$K$4,$E$25:$E$267,Parameters!$M$2,Calendrier!$C$25:$C$267,EO30))</f>
        <v>0</v>
      </c>
      <c r="IJ30" s="50">
        <f>IF(EP30="","",COUNTIFS($D$25:$D$267,Parameters!$K$2,$E$25:$E$267,Parameters!$M$2,Calendrier!$C$25:$C$267,EP30)+ COUNTIFS($D$25:$D$267,Parameters!$K$3,$E$25:$E$267,Parameters!$M$2,Calendrier!$C$25:$C$267,EP30))</f>
        <v>0</v>
      </c>
      <c r="IK30" s="50">
        <f>IF(EQ30="","",COUNTIFS($D$25:$D$267,Parameters!$K$2,$E$25:$E$267,Parameters!$M$2,Calendrier!$C$25:$C$267,EQ30)+ COUNTIFS($D$25:$D$267,Parameters!$K$4,$E$25:$E$267,Parameters!$M$2,Calendrier!$C$25:$C$267,EQ30))</f>
        <v>0</v>
      </c>
      <c r="IL30" s="50">
        <f>IF(ER30="","",COUNTIFS($D$25:$D$267,Parameters!$K$2,$E$25:$E$267,Parameters!$M$2,Calendrier!$C$25:$C$267,ER30)+ COUNTIFS($D$25:$D$267,Parameters!$K$3,$E$25:$E$267,Parameters!$M$2,Calendrier!$C$25:$C$267,ER30))</f>
        <v>0</v>
      </c>
      <c r="IM30" s="50">
        <f>IF(ES30="","",COUNTIFS($D$25:$D$267,Parameters!$K$2,$E$25:$E$267,Parameters!$M$2,Calendrier!$C$25:$C$267,ES30)+ COUNTIFS($D$25:$D$267,Parameters!$K$4,$E$25:$E$267,Parameters!$M$2,Calendrier!$C$25:$C$267,ES30))</f>
        <v>0</v>
      </c>
      <c r="IN30" s="50">
        <f>IF(ET30="","",COUNTIFS($D$25:$D$267,Parameters!$K$2,$E$25:$E$267,Parameters!$M$2,Calendrier!$C$25:$C$267,ET30)+ COUNTIFS($D$25:$D$267,Parameters!$K$3,$E$25:$E$267,Parameters!$M$2,Calendrier!$C$25:$C$267,ET30))</f>
        <v>0</v>
      </c>
      <c r="IO30" s="50">
        <f>IF(EU30="","",COUNTIFS($D$25:$D$267,Parameters!$K$2,$E$25:$E$267,Parameters!$M$2,Calendrier!$C$25:$C$267,EU30)+ COUNTIFS($D$25:$D$267,Parameters!$K$4,$E$25:$E$267,Parameters!$M$2,Calendrier!$C$25:$C$267,EU30))</f>
        <v>0</v>
      </c>
      <c r="IP30" s="50">
        <f>IF(EV30="","",COUNTIFS($D$25:$D$267,Parameters!$K$2,$E$25:$E$267,Parameters!$M$2,Calendrier!$C$25:$C$267,EV30)+ COUNTIFS($D$25:$D$267,Parameters!$K$3,$E$25:$E$267,Parameters!$M$2,Calendrier!$C$25:$C$267,EV30))</f>
        <v>0</v>
      </c>
      <c r="IQ30" s="50">
        <f>IF(EW30="","",COUNTIFS($D$25:$D$267,Parameters!$K$2,$E$25:$E$267,Parameters!$M$2,Calendrier!$C$25:$C$267,EW30)+ COUNTIFS($D$25:$D$267,Parameters!$K$4,$E$25:$E$267,Parameters!$M$2,Calendrier!$C$25:$C$267,EW30))</f>
        <v>0</v>
      </c>
      <c r="IR30" s="50">
        <f>IF(EX30="","",COUNTIFS($D$25:$D$267,Parameters!$K$2,$E$25:$E$267,Parameters!$M$2,Calendrier!$C$25:$C$267,EX30)+ COUNTIFS($D$25:$D$267,Parameters!$K$3,$E$25:$E$267,Parameters!$M$2,Calendrier!$C$25:$C$267,EX30))</f>
        <v>0</v>
      </c>
      <c r="IS30" s="50">
        <f>IF(EY30="","",COUNTIFS($D$25:$D$267,Parameters!$K$2,$E$25:$E$267,Parameters!$M$2,Calendrier!$C$25:$C$267,EY30)+ COUNTIFS($D$25:$D$267,Parameters!$K$4,$E$25:$E$267,Parameters!$M$2,Calendrier!$C$25:$C$267,EY30))</f>
        <v>0</v>
      </c>
      <c r="IT30" s="50">
        <f>IF(EZ30="","",COUNTIFS($D$25:$D$267,Parameters!$K$2,$E$25:$E$267,Parameters!$M$2,Calendrier!$C$25:$C$267,EZ30)+ COUNTIFS($D$25:$D$267,Parameters!$K$3,$E$25:$E$267,Parameters!$M$2,Calendrier!$C$25:$C$267,EZ30))</f>
        <v>0</v>
      </c>
      <c r="IU30" s="57">
        <f>IF(FA30="","",COUNTIFS($D$25:$D$267,Parameters!$K$2,$E$25:$E$267,Parameters!$M$2,Calendrier!$C$25:$C$267,FA30)+ COUNTIFS($D$25:$D$267,Parameters!$K$4,$E$25:$E$267,Parameters!$M$2,Calendrier!$C$25:$C$267,FA30))</f>
        <v>0</v>
      </c>
      <c r="IY30" s="49">
        <f>IF(DH30="","",COUNTIFS($D$25:$D$267,Parameters!$K$2,$E$25:$E$267,Parameters!$M$3,Calendrier!$C$25:$C$267,DH30)+ COUNTIFS($D$25:$D$267,Parameters!$K$3,$E$25:$E$267,Parameters!$M$3,Calendrier!$C$25:$C$267,DH30))</f>
        <v>0</v>
      </c>
      <c r="IZ30" s="50">
        <f>IF(DI30="","",COUNTIFS($D$25:$D$267,Parameters!$K$2,$E$25:$E$267,Parameters!$M$3,Calendrier!$C$25:$C$267,DI30)+ COUNTIFS($D$25:$D$267,Parameters!$K$4,$E$25:$E$267,Parameters!$M$3,Calendrier!$C$25:$C$267,DI30))</f>
        <v>0</v>
      </c>
      <c r="JA30" s="50">
        <f>IF(DJ30="","",COUNTIFS($D$25:$D$267,Parameters!$K$2,$E$25:$E$267,Parameters!$M$3,Calendrier!$C$25:$C$267,DJ30)+ COUNTIFS($D$25:$D$267,Parameters!$K$3,$E$25:$E$267,Parameters!$M$3,Calendrier!$C$25:$C$267,DJ30))</f>
        <v>0</v>
      </c>
      <c r="JB30" s="50">
        <f>IF(DK30="","",COUNTIFS($D$25:$D$267,Parameters!$K$2,$E$25:$E$267,Parameters!$M$3,Calendrier!$C$25:$C$267,DK30)+ COUNTIFS($D$25:$D$267,Parameters!$K$4,$E$25:$E$267,Parameters!$M$3,Calendrier!$C$25:$C$267,DK30))</f>
        <v>0</v>
      </c>
      <c r="JC30" s="50">
        <f>IF(DL30="","",COUNTIFS($D$25:$D$267,Parameters!$K$2,$E$25:$E$267,Parameters!$M$3,Calendrier!$C$25:$C$267,DL30)+ COUNTIFS($D$25:$D$267,Parameters!$K$3,$E$25:$E$267,Parameters!$M$3,Calendrier!$C$25:$C$267,DL30))</f>
        <v>0</v>
      </c>
      <c r="JD30" s="50">
        <f>IF(DM30="","",COUNTIFS($D$25:$D$267,Parameters!$K$2,$E$25:$E$267,Parameters!$M$3,Calendrier!$C$25:$C$267,DM30)+ COUNTIFS($D$25:$D$267,Parameters!$K$4,$E$25:$E$267,Parameters!$M$3,Calendrier!$C$25:$C$267,DM30))</f>
        <v>0</v>
      </c>
      <c r="JE30" s="50">
        <f>IF(DN30="","",COUNTIFS($D$25:$D$267,Parameters!$K$2,$E$25:$E$267,Parameters!$M$3,Calendrier!$C$25:$C$267,DN30)+ COUNTIFS($D$25:$D$267,Parameters!$K$3,$E$25:$E$267,Parameters!$M$3,Calendrier!$C$25:$C$267,DN30))</f>
        <v>0</v>
      </c>
      <c r="JF30" s="50">
        <f>IF(DO30="","",COUNTIFS($D$25:$D$267,Parameters!$K$2,$E$25:$E$267,Parameters!$M$3,Calendrier!$C$25:$C$267,DO30)+ COUNTIFS($D$25:$D$267,Parameters!$K$4,$E$25:$E$267,Parameters!$M$3,Calendrier!$C$25:$C$267,DO30))</f>
        <v>0</v>
      </c>
      <c r="JG30" s="50">
        <f>IF(DP30="","",COUNTIFS($D$25:$D$267,Parameters!$K$2,$E$25:$E$267,Parameters!$M$3,Calendrier!$C$25:$C$267,DP30)+ COUNTIFS($D$25:$D$267,Parameters!$K$3,$E$25:$E$267,Parameters!$M$3,Calendrier!$C$25:$C$267,DP30))</f>
        <v>0</v>
      </c>
      <c r="JH30" s="50">
        <f>IF(DQ30="","",COUNTIFS($D$25:$D$267,Parameters!$K$2,$E$25:$E$267,Parameters!$M$3,Calendrier!$C$25:$C$267,DQ30)+ COUNTIFS($D$25:$D$267,Parameters!$K$4,$E$25:$E$267,Parameters!$M$3,Calendrier!$C$25:$C$267,DQ30))</f>
        <v>0</v>
      </c>
      <c r="JI30" s="50">
        <f>IF(DR30="","",COUNTIFS($D$25:$D$267,Parameters!$K$2,$E$25:$E$267,Parameters!$M$3,Calendrier!$C$25:$C$267,DR30)+ COUNTIFS($D$25:$D$267,Parameters!$K$3,$E$25:$E$267,Parameters!$M$3,Calendrier!$C$25:$C$267,DR30))</f>
        <v>0</v>
      </c>
      <c r="JJ30" s="50">
        <f>IF(DS30="","",COUNTIFS($D$25:$D$267,Parameters!$K$2,$E$25:$E$267,Parameters!$M$3,Calendrier!$C$25:$C$267,DS30)+ COUNTIFS($D$25:$D$267,Parameters!$K$4,$E$25:$E$267,Parameters!$M$3,Calendrier!$C$25:$C$267,DS30))</f>
        <v>0</v>
      </c>
      <c r="JK30" s="50">
        <f>IF(DT30="","",COUNTIFS($D$25:$D$267,Parameters!$K$2,$E$25:$E$267,Parameters!$M$3,Calendrier!$C$25:$C$267,DT30)+ COUNTIFS($D$25:$D$267,Parameters!$K$3,$E$25:$E$267,Parameters!$M$3,Calendrier!$C$25:$C$267,DT30))</f>
        <v>0</v>
      </c>
      <c r="JL30" s="57">
        <f>IF(DU30="","",COUNTIFS($D$25:$D$267,Parameters!$K$2,$E$25:$E$267,Parameters!$M$3,Calendrier!$C$25:$C$267,DU30)+ COUNTIFS($D$25:$D$267,Parameters!$K$4,$E$25:$E$267,Parameters!$M$3,Calendrier!$C$25:$C$267,DU30))</f>
        <v>0</v>
      </c>
      <c r="JO30" s="49">
        <f>IF(DX30="","",COUNTIFS($D$25:$D$267,Parameters!$K$2,$E$25:$E$267,Parameters!$M$3,Calendrier!$C$25:$C$267,DX30)+ COUNTIFS($D$25:$D$267,Parameters!$K$3,$E$25:$E$267,Parameters!$M$3,Calendrier!$C$25:$C$267,DX30))</f>
        <v>0</v>
      </c>
      <c r="JP30" s="50">
        <f>IF(DY30="","",COUNTIFS($D$25:$D$267,Parameters!$K$2,$E$25:$E$267,Parameters!$M$3,Calendrier!$C$25:$C$267,DY30)+ COUNTIFS($D$25:$D$267,Parameters!$K$4,$E$25:$E$267,Parameters!$M$3,Calendrier!$C$25:$C$267,DY30))</f>
        <v>0</v>
      </c>
      <c r="JQ30" s="50">
        <f>IF(DZ30="","",COUNTIFS($D$25:$D$267,Parameters!$K$2,$E$25:$E$267,Parameters!$M$3,Calendrier!$C$25:$C$267,DZ30)+ COUNTIFS($D$25:$D$267,Parameters!$K$3,$E$25:$E$267,Parameters!$M$3,Calendrier!$C$25:$C$267,DZ30))</f>
        <v>0</v>
      </c>
      <c r="JR30" s="50">
        <f>IF(EA30="","",COUNTIFS($D$25:$D$267,Parameters!$K$2,$E$25:$E$267,Parameters!$M$3,Calendrier!$C$25:$C$267,EA30)+ COUNTIFS($D$25:$D$267,Parameters!$K$4,$E$25:$E$267,Parameters!$M$3,Calendrier!$C$25:$C$267,EA30))</f>
        <v>0</v>
      </c>
      <c r="JS30" s="50">
        <f>IF(EB30="","",COUNTIFS($D$25:$D$267,Parameters!$K$2,$E$25:$E$267,Parameters!$M$3,Calendrier!$C$25:$C$267,EB30)+ COUNTIFS($D$25:$D$267,Parameters!$K$3,$E$25:$E$267,Parameters!$M$3,Calendrier!$C$25:$C$267,EB30))</f>
        <v>0</v>
      </c>
      <c r="JT30" s="50">
        <f>IF(EC30="","",COUNTIFS($D$25:$D$267,Parameters!$K$2,$E$25:$E$267,Parameters!$M$3,Calendrier!$C$25:$C$267,EC30)+ COUNTIFS($D$25:$D$267,Parameters!$K$4,$E$25:$E$267,Parameters!$M$3,Calendrier!$C$25:$C$267,EC30))</f>
        <v>0</v>
      </c>
      <c r="JU30" s="50">
        <f>IF(ED30="","",COUNTIFS($D$25:$D$267,Parameters!$K$2,$E$25:$E$267,Parameters!$M$3,Calendrier!$C$25:$C$267,ED30)+ COUNTIFS($D$25:$D$267,Parameters!$K$3,$E$25:$E$267,Parameters!$M$3,Calendrier!$C$25:$C$267,ED30))</f>
        <v>0</v>
      </c>
      <c r="JV30" s="50">
        <f>IF(EE30="","",COUNTIFS($D$25:$D$267,Parameters!$K$2,$E$25:$E$267,Parameters!$M$3,Calendrier!$C$25:$C$267,EE30)+ COUNTIFS($D$25:$D$267,Parameters!$K$4,$E$25:$E$267,Parameters!$M$3,Calendrier!$C$25:$C$267,EE30))</f>
        <v>0</v>
      </c>
      <c r="JW30" s="50">
        <f>IF(EF30="","",COUNTIFS($D$25:$D$267,Parameters!$K$2,$E$25:$E$267,Parameters!$M$3,Calendrier!$C$25:$C$267,EF30)+ COUNTIFS($D$25:$D$267,Parameters!$K$3,$E$25:$E$267,Parameters!$M$3,Calendrier!$C$25:$C$267,EF30))</f>
        <v>0</v>
      </c>
      <c r="JX30" s="50">
        <f>IF(EG30="","",COUNTIFS($D$25:$D$267,Parameters!$K$2,$E$25:$E$267,Parameters!$M$3,Calendrier!$C$25:$C$267,EG30)+ COUNTIFS($D$25:$D$267,Parameters!$K$4,$E$25:$E$267,Parameters!$M$3,Calendrier!$C$25:$C$267,EG30))</f>
        <v>0</v>
      </c>
      <c r="JY30" s="50">
        <f>IF(EH30="","",COUNTIFS($D$25:$D$267,Parameters!$K$2,$E$25:$E$267,Parameters!$M$3,Calendrier!$C$25:$C$267,EH30)+ COUNTIFS($D$25:$D$267,Parameters!$K$3,$E$25:$E$267,Parameters!$M$3,Calendrier!$C$25:$C$267,EH30))</f>
        <v>0</v>
      </c>
      <c r="JZ30" s="50">
        <f>IF(EI30="","",COUNTIFS($D$25:$D$267,Parameters!$K$2,$E$25:$E$267,Parameters!$M$3,Calendrier!$C$25:$C$267,EI30)+ COUNTIFS($D$25:$D$267,Parameters!$K$4,$E$25:$E$267,Parameters!$M$3,Calendrier!$C$25:$C$267,EI30))</f>
        <v>0</v>
      </c>
      <c r="KA30" s="50">
        <f>IF(EJ30="","",COUNTIFS($D$25:$D$267,Parameters!$K$2,$E$25:$E$267,Parameters!$M$3,Calendrier!$C$25:$C$267,EJ30)+ COUNTIFS($D$25:$D$267,Parameters!$K$3,$E$25:$E$267,Parameters!$M$3,Calendrier!$C$25:$C$267,EJ30))</f>
        <v>0</v>
      </c>
      <c r="KB30" s="57">
        <f>IF(EK30="","",COUNTIFS($D$25:$D$267,Parameters!$K$2,$E$25:$E$267,Parameters!$M$3,Calendrier!$C$25:$C$267,EK30)+ COUNTIFS($D$25:$D$267,Parameters!$K$4,$E$25:$E$267,Parameters!$M$3,Calendrier!$C$25:$C$267,EK30))</f>
        <v>0</v>
      </c>
      <c r="KE30" s="49">
        <f>IF(EN30="","",COUNTIFS($D$25:$D$267,Parameters!$K$2,$E$25:$E$267,Parameters!$M$3,Calendrier!$C$25:$C$267,EN30)+ COUNTIFS($D$25:$D$267,Parameters!$K$3,$E$25:$E$267,Parameters!$M$3,Calendrier!$C$25:$C$267,EN30))</f>
        <v>0</v>
      </c>
      <c r="KF30" s="50">
        <f>IF(EO30="","",COUNTIFS($D$25:$D$267,Parameters!$K$2,$E$25:$E$267,Parameters!$M$3,Calendrier!$C$25:$C$267,EO30)+ COUNTIFS($D$25:$D$267,Parameters!$K$4,$E$25:$E$267,Parameters!$M$3,Calendrier!$C$25:$C$267,EO30))</f>
        <v>0</v>
      </c>
      <c r="KG30" s="50">
        <f>IF(EP30="","",COUNTIFS($D$25:$D$267,Parameters!$K$2,$E$25:$E$267,Parameters!$M$3,Calendrier!$C$25:$C$267,EP30)+ COUNTIFS($D$25:$D$267,Parameters!$K$3,$E$25:$E$267,Parameters!$M$3,Calendrier!$C$25:$C$267,EP30))</f>
        <v>0</v>
      </c>
      <c r="KH30" s="50">
        <f>IF(EQ30="","",COUNTIFS($D$25:$D$267,Parameters!$K$2,$E$25:$E$267,Parameters!$M$3,Calendrier!$C$25:$C$267,EQ30)+ COUNTIFS($D$25:$D$267,Parameters!$K$4,$E$25:$E$267,Parameters!$M$3,Calendrier!$C$25:$C$267,EQ30))</f>
        <v>0</v>
      </c>
      <c r="KI30" s="50">
        <f>IF(ER30="","",COUNTIFS($D$25:$D$267,Parameters!$K$2,$E$25:$E$267,Parameters!$M$3,Calendrier!$C$25:$C$267,ER30)+ COUNTIFS($D$25:$D$267,Parameters!$K$3,$E$25:$E$267,Parameters!$M$3,Calendrier!$C$25:$C$267,ER30))</f>
        <v>0</v>
      </c>
      <c r="KJ30" s="50">
        <f>IF(ES30="","",COUNTIFS($D$25:$D$267,Parameters!$K$2,$E$25:$E$267,Parameters!$M$3,Calendrier!$C$25:$C$267,ES30)+ COUNTIFS($D$25:$D$267,Parameters!$K$4,$E$25:$E$267,Parameters!$M$3,Calendrier!$C$25:$C$267,ES30))</f>
        <v>0</v>
      </c>
      <c r="KK30" s="50">
        <f>IF(ET30="","",COUNTIFS($D$25:$D$267,Parameters!$K$2,$E$25:$E$267,Parameters!$M$3,Calendrier!$C$25:$C$267,ET30)+ COUNTIFS($D$25:$D$267,Parameters!$K$3,$E$25:$E$267,Parameters!$M$3,Calendrier!$C$25:$C$267,ET30))</f>
        <v>0</v>
      </c>
      <c r="KL30" s="50">
        <f>IF(EU30="","",COUNTIFS($D$25:$D$267,Parameters!$K$2,$E$25:$E$267,Parameters!$M$3,Calendrier!$C$25:$C$267,EU30)+ COUNTIFS($D$25:$D$267,Parameters!$K$4,$E$25:$E$267,Parameters!$M$3,Calendrier!$C$25:$C$267,EU30))</f>
        <v>0</v>
      </c>
      <c r="KM30" s="50">
        <f>IF(EV30="","",COUNTIFS($D$25:$D$267,Parameters!$K$2,$E$25:$E$267,Parameters!$M$3,Calendrier!$C$25:$C$267,EV30)+ COUNTIFS($D$25:$D$267,Parameters!$K$3,$E$25:$E$267,Parameters!$M$3,Calendrier!$C$25:$C$267,EV30))</f>
        <v>0</v>
      </c>
      <c r="KN30" s="50">
        <f>IF(EW30="","",COUNTIFS($D$25:$D$267,Parameters!$K$2,$E$25:$E$267,Parameters!$M$3,Calendrier!$C$25:$C$267,EW30)+ COUNTIFS($D$25:$D$267,Parameters!$K$4,$E$25:$E$267,Parameters!$M$3,Calendrier!$C$25:$C$267,EW30))</f>
        <v>0</v>
      </c>
      <c r="KO30" s="50">
        <f>IF(EX30="","",COUNTIFS($D$25:$D$267,Parameters!$K$2,$E$25:$E$267,Parameters!$M$3,Calendrier!$C$25:$C$267,EX30)+ COUNTIFS($D$25:$D$267,Parameters!$K$3,$E$25:$E$267,Parameters!$M$3,Calendrier!$C$25:$C$267,EX30))</f>
        <v>0</v>
      </c>
      <c r="KP30" s="50">
        <f>IF(EY30="","",COUNTIFS($D$25:$D$267,Parameters!$K$2,$E$25:$E$267,Parameters!$M$3,Calendrier!$C$25:$C$267,EY30)+ COUNTIFS($D$25:$D$267,Parameters!$K$4,$E$25:$E$267,Parameters!$M$3,Calendrier!$C$25:$C$267,EY30))</f>
        <v>0</v>
      </c>
      <c r="KQ30" s="50">
        <f>IF(EZ30="","",COUNTIFS($D$25:$D$267,Parameters!$K$2,$E$25:$E$267,Parameters!$M$3,Calendrier!$C$25:$C$267,EZ30)+ COUNTIFS($D$25:$D$267,Parameters!$K$3,$E$25:$E$267,Parameters!$M$3,Calendrier!$C$25:$C$267,EZ30))</f>
        <v>0</v>
      </c>
      <c r="KR30" s="57">
        <f>IF(FA30="","",COUNTIFS($D$25:$D$267,Parameters!$K$2,$E$25:$E$267,Parameters!$M$3,Calendrier!$C$25:$C$267,FA30)+ COUNTIFS($D$25:$D$267,Parameters!$K$4,$E$25:$E$267,Parameters!$M$3,Calendrier!$C$25:$C$267,FA30))</f>
        <v>0</v>
      </c>
      <c r="KV30" s="49">
        <f>IF(DH30="","",COUNTIFS($D$25:$D$267,Parameters!$K$2,$E$25:$E$267,Parameters!$M$4,Calendrier!$C$25:$C$267,DH30)+ COUNTIFS($D$25:$D$267,Parameters!$K$3,$E$25:$E$267,Parameters!$M$4,Calendrier!$C$25:$C$267,DH30))</f>
        <v>0</v>
      </c>
      <c r="KW30" s="50">
        <f>IF(DI30="","",COUNTIFS($D$25:$D$267,Parameters!$K$2,$E$25:$E$267,Parameters!$M$4,Calendrier!$C$25:$C$267,DI30)+ COUNTIFS($D$25:$D$267,Parameters!$K$4,$E$25:$E$267,Parameters!$M$4,Calendrier!$C$25:$C$267,DI30))</f>
        <v>0</v>
      </c>
      <c r="KX30" s="50">
        <f>IF(DJ30="","",COUNTIFS($D$25:$D$267,Parameters!$K$2,$E$25:$E$267,Parameters!$M$4,Calendrier!$C$25:$C$267,DJ30)+ COUNTIFS($D$25:$D$267,Parameters!$K$3,$E$25:$E$267,Parameters!$M$4,Calendrier!$C$25:$C$267,DJ30))</f>
        <v>0</v>
      </c>
      <c r="KY30" s="50">
        <f>IF(DK30="","",COUNTIFS($D$25:$D$267,Parameters!$K$2,$E$25:$E$267,Parameters!$M$4,Calendrier!$C$25:$C$267,DK30)+ COUNTIFS($D$25:$D$267,Parameters!$K$4,$E$25:$E$267,Parameters!$M$4,Calendrier!$C$25:$C$267,DK30))</f>
        <v>0</v>
      </c>
      <c r="KZ30" s="50">
        <f>IF(DL30="","",COUNTIFS($D$25:$D$267,Parameters!$K$2,$E$25:$E$267,Parameters!$M$4,Calendrier!$C$25:$C$267,DL30)+ COUNTIFS($D$25:$D$267,Parameters!$K$3,$E$25:$E$267,Parameters!$M$4,Calendrier!$C$25:$C$267,DL30))</f>
        <v>0</v>
      </c>
      <c r="LA30" s="50">
        <f>IF(DM30="","",COUNTIFS($D$25:$D$267,Parameters!$K$2,$E$25:$E$267,Parameters!$M$4,Calendrier!$C$25:$C$267,DM30)+ COUNTIFS($D$25:$D$267,Parameters!$K$4,$E$25:$E$267,Parameters!$M$4,Calendrier!$C$25:$C$267,DM30))</f>
        <v>0</v>
      </c>
      <c r="LB30" s="50">
        <f>IF(DN30="","",COUNTIFS($D$25:$D$267,Parameters!$K$2,$E$25:$E$267,Parameters!$M$4,Calendrier!$C$25:$C$267,DN30)+ COUNTIFS($D$25:$D$267,Parameters!$K$3,$E$25:$E$267,Parameters!$M$4,Calendrier!$C$25:$C$267,DN30))</f>
        <v>0</v>
      </c>
      <c r="LC30" s="50">
        <f>IF(DO30="","",COUNTIFS($D$25:$D$267,Parameters!$K$2,$E$25:$E$267,Parameters!$M$4,Calendrier!$C$25:$C$267,DO30)+ COUNTIFS($D$25:$D$267,Parameters!$K$4,$E$25:$E$267,Parameters!$M$4,Calendrier!$C$25:$C$267,DO30))</f>
        <v>0</v>
      </c>
      <c r="LD30" s="50">
        <f>IF(DP30="","",COUNTIFS($D$25:$D$267,Parameters!$K$2,$E$25:$E$267,Parameters!$M$4,Calendrier!$C$25:$C$267,DP30)+ COUNTIFS($D$25:$D$267,Parameters!$K$3,$E$25:$E$267,Parameters!$M$4,Calendrier!$C$25:$C$267,DP30))</f>
        <v>0</v>
      </c>
      <c r="LE30" s="50">
        <f>IF(DQ30="","",COUNTIFS($D$25:$D$267,Parameters!$K$2,$E$25:$E$267,Parameters!$M$4,Calendrier!$C$25:$C$267,DQ30)+ COUNTIFS($D$25:$D$267,Parameters!$K$4,$E$25:$E$267,Parameters!$M$4,Calendrier!$C$25:$C$267,DQ30))</f>
        <v>0</v>
      </c>
      <c r="LF30" s="50">
        <f>IF(DR30="","",COUNTIFS($D$25:$D$267,Parameters!$K$2,$E$25:$E$267,Parameters!$M$4,Calendrier!$C$25:$C$267,DR30)+ COUNTIFS($D$25:$D$267,Parameters!$K$3,$E$25:$E$267,Parameters!$M$4,Calendrier!$C$25:$C$267,DR30))</f>
        <v>0</v>
      </c>
      <c r="LG30" s="50">
        <f>IF(DS30="","",COUNTIFS($D$25:$D$267,Parameters!$K$2,$E$25:$E$267,Parameters!$M$4,Calendrier!$C$25:$C$267,DS30)+ COUNTIFS($D$25:$D$267,Parameters!$K$4,$E$25:$E$267,Parameters!$M$4,Calendrier!$C$25:$C$267,DS30))</f>
        <v>0</v>
      </c>
      <c r="LH30" s="50">
        <f>IF(DT30="","",COUNTIFS($D$25:$D$267,Parameters!$K$2,$E$25:$E$267,Parameters!$M$4,Calendrier!$C$25:$C$267,DT30)+ COUNTIFS($D$25:$D$267,Parameters!$K$3,$E$25:$E$267,Parameters!$M$4,Calendrier!$C$25:$C$267,DT30))</f>
        <v>0</v>
      </c>
      <c r="LI30" s="57">
        <f>IF(DU30="","",COUNTIFS($D$25:$D$267,Parameters!$K$2,$E$25:$E$267,Parameters!$M$4,Calendrier!$C$25:$C$267,DU30)+ COUNTIFS($D$25:$D$267,Parameters!$K$4,$E$25:$E$267,Parameters!$M$4,Calendrier!$C$25:$C$267,DU30))</f>
        <v>0</v>
      </c>
      <c r="LL30" s="49">
        <f>IF(DX30="","",COUNTIFS($D$25:$D$267,Parameters!$K$2,$E$25:$E$267,Parameters!$M$4,Calendrier!$C$25:$C$267,DX30)+ COUNTIFS($D$25:$D$267,Parameters!$K$3,$E$25:$E$267,Parameters!$M$4,Calendrier!$C$25:$C$267,DX30))</f>
        <v>0</v>
      </c>
      <c r="LM30" s="50">
        <f>IF(DY30="","",COUNTIFS($D$25:$D$267,Parameters!$K$2,$E$25:$E$267,Parameters!$M$4,Calendrier!$C$25:$C$267,DY30)+ COUNTIFS($D$25:$D$267,Parameters!$K$4,$E$25:$E$267,Parameters!$M$4,Calendrier!$C$25:$C$267,DY30))</f>
        <v>0</v>
      </c>
      <c r="LN30" s="50">
        <f>IF(DZ30="","",COUNTIFS($D$25:$D$267,Parameters!$K$2,$E$25:$E$267,Parameters!$M$4,Calendrier!$C$25:$C$267,DZ30)+ COUNTIFS($D$25:$D$267,Parameters!$K$3,$E$25:$E$267,Parameters!$M$4,Calendrier!$C$25:$C$267,DZ30))</f>
        <v>0</v>
      </c>
      <c r="LO30" s="50">
        <f>IF(EA30="","",COUNTIFS($D$25:$D$267,Parameters!$K$2,$E$25:$E$267,Parameters!$M$4,Calendrier!$C$25:$C$267,EA30)+ COUNTIFS($D$25:$D$267,Parameters!$K$4,$E$25:$E$267,Parameters!$M$4,Calendrier!$C$25:$C$267,EA30))</f>
        <v>0</v>
      </c>
      <c r="LP30" s="50">
        <f>IF(EB30="","",COUNTIFS($D$25:$D$267,Parameters!$K$2,$E$25:$E$267,Parameters!$M$4,Calendrier!$C$25:$C$267,EB30)+ COUNTIFS($D$25:$D$267,Parameters!$K$3,$E$25:$E$267,Parameters!$M$4,Calendrier!$C$25:$C$267,EB30))</f>
        <v>0</v>
      </c>
      <c r="LQ30" s="50">
        <f>IF(EC30="","",COUNTIFS($D$25:$D$267,Parameters!$K$2,$E$25:$E$267,Parameters!$M$4,Calendrier!$C$25:$C$267,EC30)+ COUNTIFS($D$25:$D$267,Parameters!$K$4,$E$25:$E$267,Parameters!$M$4,Calendrier!$C$25:$C$267,EC30))</f>
        <v>0</v>
      </c>
      <c r="LR30" s="50">
        <f>IF(ED30="","",COUNTIFS($D$25:$D$267,Parameters!$K$2,$E$25:$E$267,Parameters!$M$4,Calendrier!$C$25:$C$267,ED30)+ COUNTIFS($D$25:$D$267,Parameters!$K$3,$E$25:$E$267,Parameters!$M$4,Calendrier!$C$25:$C$267,ED30))</f>
        <v>0</v>
      </c>
      <c r="LS30" s="50">
        <f>IF(EE30="","",COUNTIFS($D$25:$D$267,Parameters!$K$2,$E$25:$E$267,Parameters!$M$4,Calendrier!$C$25:$C$267,EE30)+ COUNTIFS($D$25:$D$267,Parameters!$K$4,$E$25:$E$267,Parameters!$M$4,Calendrier!$C$25:$C$267,EE30))</f>
        <v>0</v>
      </c>
      <c r="LT30" s="50">
        <f>IF(EF30="","",COUNTIFS($D$25:$D$267,Parameters!$K$2,$E$25:$E$267,Parameters!$M$4,Calendrier!$C$25:$C$267,EF30)+ COUNTIFS($D$25:$D$267,Parameters!$K$3,$E$25:$E$267,Parameters!$M$4,Calendrier!$C$25:$C$267,EF30))</f>
        <v>0</v>
      </c>
      <c r="LU30" s="50">
        <f>IF(EG30="","",COUNTIFS($D$25:$D$267,Parameters!$K$2,$E$25:$E$267,Parameters!$M$4,Calendrier!$C$25:$C$267,EG30)+ COUNTIFS($D$25:$D$267,Parameters!$K$4,$E$25:$E$267,Parameters!$M$4,Calendrier!$C$25:$C$267,EG30))</f>
        <v>0</v>
      </c>
      <c r="LV30" s="50">
        <f>IF(EH30="","",COUNTIFS($D$25:$D$267,Parameters!$K$2,$E$25:$E$267,Parameters!$M$4,Calendrier!$C$25:$C$267,EH30)+ COUNTIFS($D$25:$D$267,Parameters!$K$3,$E$25:$E$267,Parameters!$M$4,Calendrier!$C$25:$C$267,EH30))</f>
        <v>0</v>
      </c>
      <c r="LW30" s="50">
        <f>IF(EI30="","",COUNTIFS($D$25:$D$267,Parameters!$K$2,$E$25:$E$267,Parameters!$M$4,Calendrier!$C$25:$C$267,EI30)+ COUNTIFS($D$25:$D$267,Parameters!$K$4,$E$25:$E$267,Parameters!$M$4,Calendrier!$C$25:$C$267,EI30))</f>
        <v>0</v>
      </c>
      <c r="LX30" s="50">
        <f>IF(EJ30="","",COUNTIFS($D$25:$D$267,Parameters!$K$2,$E$25:$E$267,Parameters!$M$4,Calendrier!$C$25:$C$267,EJ30)+ COUNTIFS($D$25:$D$267,Parameters!$K$3,$E$25:$E$267,Parameters!$M$4,Calendrier!$C$25:$C$267,EJ30))</f>
        <v>0</v>
      </c>
      <c r="LY30" s="57">
        <f>IF(EK30="","",COUNTIFS($D$25:$D$267,Parameters!$K$2,$E$25:$E$267,Parameters!$M$4,Calendrier!$C$25:$C$267,EK30)+ COUNTIFS($D$25:$D$267,Parameters!$K$4,$E$25:$E$267,Parameters!$M$4,Calendrier!$C$25:$C$267,EK30))</f>
        <v>0</v>
      </c>
      <c r="MB30" s="49">
        <f>IF(EN30="","",COUNTIFS($D$25:$D$267,Parameters!$K$2,$E$25:$E$267,Parameters!$M$4,Calendrier!$C$25:$C$267,EN30)+ COUNTIFS($D$25:$D$267,Parameters!$K$3,$E$25:$E$267,Parameters!$M$4,Calendrier!$C$25:$C$267,EN30))</f>
        <v>0</v>
      </c>
      <c r="MC30" s="50">
        <f>IF(EO30="","",COUNTIFS($D$25:$D$267,Parameters!$K$2,$E$25:$E$267,Parameters!$M$4,Calendrier!$C$25:$C$267,EO30)+ COUNTIFS($D$25:$D$267,Parameters!$K$4,$E$25:$E$267,Parameters!$M$4,Calendrier!$C$25:$C$267,EO30))</f>
        <v>0</v>
      </c>
      <c r="MD30" s="50">
        <f>IF(EP30="","",COUNTIFS($D$25:$D$267,Parameters!$K$2,$E$25:$E$267,Parameters!$M$4,Calendrier!$C$25:$C$267,EP30)+ COUNTIFS($D$25:$D$267,Parameters!$K$3,$E$25:$E$267,Parameters!$M$4,Calendrier!$C$25:$C$267,EP30))</f>
        <v>0</v>
      </c>
      <c r="ME30" s="50">
        <f>IF(EQ30="","",COUNTIFS($D$25:$D$267,Parameters!$K$2,$E$25:$E$267,Parameters!$M$4,Calendrier!$C$25:$C$267,EQ30)+ COUNTIFS($D$25:$D$267,Parameters!$K$4,$E$25:$E$267,Parameters!$M$4,Calendrier!$C$25:$C$267,EQ30))</f>
        <v>0</v>
      </c>
      <c r="MF30" s="50">
        <f>IF(ER30="","",COUNTIFS($D$25:$D$267,Parameters!$K$2,$E$25:$E$267,Parameters!$M$4,Calendrier!$C$25:$C$267,ER30)+ COUNTIFS($D$25:$D$267,Parameters!$K$3,$E$25:$E$267,Parameters!$M$4,Calendrier!$C$25:$C$267,ER30))</f>
        <v>0</v>
      </c>
      <c r="MG30" s="50">
        <f>IF(ES30="","",COUNTIFS($D$25:$D$267,Parameters!$K$2,$E$25:$E$267,Parameters!$M$4,Calendrier!$C$25:$C$267,ES30)+ COUNTIFS($D$25:$D$267,Parameters!$K$4,$E$25:$E$267,Parameters!$M$4,Calendrier!$C$25:$C$267,ES30))</f>
        <v>0</v>
      </c>
      <c r="MH30" s="50">
        <f>IF(ET30="","",COUNTIFS($D$25:$D$267,Parameters!$K$2,$E$25:$E$267,Parameters!$M$4,Calendrier!$C$25:$C$267,ET30)+ COUNTIFS($D$25:$D$267,Parameters!$K$3,$E$25:$E$267,Parameters!$M$4,Calendrier!$C$25:$C$267,ET30))</f>
        <v>0</v>
      </c>
      <c r="MI30" s="50">
        <f>IF(EU30="","",COUNTIFS($D$25:$D$267,Parameters!$K$2,$E$25:$E$267,Parameters!$M$4,Calendrier!$C$25:$C$267,EU30)+ COUNTIFS($D$25:$D$267,Parameters!$K$4,$E$25:$E$267,Parameters!$M$4,Calendrier!$C$25:$C$267,EU30))</f>
        <v>0</v>
      </c>
      <c r="MJ30" s="50">
        <f>IF(EV30="","",COUNTIFS($D$25:$D$267,Parameters!$K$2,$E$25:$E$267,Parameters!$M$4,Calendrier!$C$25:$C$267,EV30)+ COUNTIFS($D$25:$D$267,Parameters!$K$3,$E$25:$E$267,Parameters!$M$4,Calendrier!$C$25:$C$267,EV30))</f>
        <v>0</v>
      </c>
      <c r="MK30" s="50">
        <f>IF(EW30="","",COUNTIFS($D$25:$D$267,Parameters!$K$2,$E$25:$E$267,Parameters!$M$4,Calendrier!$C$25:$C$267,EW30)+ COUNTIFS($D$25:$D$267,Parameters!$K$4,$E$25:$E$267,Parameters!$M$4,Calendrier!$C$25:$C$267,EW30))</f>
        <v>0</v>
      </c>
      <c r="ML30" s="50">
        <f>IF(EX30="","",COUNTIFS($D$25:$D$267,Parameters!$K$2,$E$25:$E$267,Parameters!$M$4,Calendrier!$C$25:$C$267,EX30)+ COUNTIFS($D$25:$D$267,Parameters!$K$3,$E$25:$E$267,Parameters!$M$4,Calendrier!$C$25:$C$267,EX30))</f>
        <v>0</v>
      </c>
      <c r="MM30" s="50">
        <f>IF(EY30="","",COUNTIFS($D$25:$D$267,Parameters!$K$2,$E$25:$E$267,Parameters!$M$4,Calendrier!$C$25:$C$267,EY30)+ COUNTIFS($D$25:$D$267,Parameters!$K$4,$E$25:$E$267,Parameters!$M$4,Calendrier!$C$25:$C$267,EY30))</f>
        <v>0</v>
      </c>
      <c r="MN30" s="50">
        <f>IF(EZ30="","",COUNTIFS($D$25:$D$267,Parameters!$K$2,$E$25:$E$267,Parameters!$M$4,Calendrier!$C$25:$C$267,EZ30)+ COUNTIFS($D$25:$D$267,Parameters!$K$3,$E$25:$E$267,Parameters!$M$4,Calendrier!$C$25:$C$267,EZ30))</f>
        <v>0</v>
      </c>
      <c r="MO30" s="57">
        <f>IF(FA30="","",COUNTIFS($D$25:$D$267,Parameters!$K$2,$E$25:$E$267,Parameters!$M$4,Calendrier!$C$25:$C$267,FA30)+ COUNTIFS($D$25:$D$267,Parameters!$K$4,$E$25:$E$267,Parameters!$M$4,Calendrier!$C$25:$C$267,FA30))</f>
        <v>0</v>
      </c>
      <c r="MS30" s="49">
        <f>IF(DH30="","",COUNTIFS($D$25:$D$267,Parameters!$K$2,$E$25:$E$267,Parameters!$M$5,Calendrier!$C$25:$C$267,DH30)+ COUNTIFS($D$25:$D$267,Parameters!$K$3,$E$25:$E$267,Parameters!$M$5,Calendrier!$C$25:$C$267,DH30))</f>
        <v>0</v>
      </c>
      <c r="MT30" s="50">
        <f>IF(DI30="","",COUNTIFS($D$25:$D$267,Parameters!$K$2,$E$25:$E$267,Parameters!$M$5,Calendrier!$C$25:$C$267,DI30)+ COUNTIFS($D$25:$D$267,Parameters!$K$4,$E$25:$E$267,Parameters!$M$5,Calendrier!$C$25:$C$267,DI30))</f>
        <v>0</v>
      </c>
      <c r="MU30" s="50">
        <f>IF(DJ30="","",COUNTIFS($D$25:$D$267,Parameters!$K$2,$E$25:$E$267,Parameters!$M$5,Calendrier!$C$25:$C$267,DJ30)+ COUNTIFS($D$25:$D$267,Parameters!$K$3,$E$25:$E$267,Parameters!$M$5,Calendrier!$C$25:$C$267,DJ30))</f>
        <v>0</v>
      </c>
      <c r="MV30" s="50">
        <f>IF(DK30="","",COUNTIFS($D$25:$D$267,Parameters!$K$2,$E$25:$E$267,Parameters!$M$5,Calendrier!$C$25:$C$267,DK30)+ COUNTIFS($D$25:$D$267,Parameters!$K$4,$E$25:$E$267,Parameters!$M$5,Calendrier!$C$25:$C$267,DK30))</f>
        <v>0</v>
      </c>
      <c r="MW30" s="50">
        <f>IF(DL30="","",COUNTIFS($D$25:$D$267,Parameters!$K$2,$E$25:$E$267,Parameters!$M$5,Calendrier!$C$25:$C$267,DL30)+ COUNTIFS($D$25:$D$267,Parameters!$K$3,$E$25:$E$267,Parameters!$M$5,Calendrier!$C$25:$C$267,DL30))</f>
        <v>0</v>
      </c>
      <c r="MX30" s="50">
        <f>IF(DM30="","",COUNTIFS($D$25:$D$267,Parameters!$K$2,$E$25:$E$267,Parameters!$M$5,Calendrier!$C$25:$C$267,DM30)+ COUNTIFS($D$25:$D$267,Parameters!$K$4,$E$25:$E$267,Parameters!$M$5,Calendrier!$C$25:$C$267,DM30))</f>
        <v>0</v>
      </c>
      <c r="MY30" s="50">
        <f>IF(DN30="","",COUNTIFS($D$25:$D$267,Parameters!$K$2,$E$25:$E$267,Parameters!$M$5,Calendrier!$C$25:$C$267,DN30)+ COUNTIFS($D$25:$D$267,Parameters!$K$3,$E$25:$E$267,Parameters!$M$5,Calendrier!$C$25:$C$267,DN30))</f>
        <v>0</v>
      </c>
      <c r="MZ30" s="50">
        <f>IF(DO30="","",COUNTIFS($D$25:$D$267,Parameters!$K$2,$E$25:$E$267,Parameters!$M$5,Calendrier!$C$25:$C$267,DO30)+ COUNTIFS($D$25:$D$267,Parameters!$K$4,$E$25:$E$267,Parameters!$M$5,Calendrier!$C$25:$C$267,DO30))</f>
        <v>0</v>
      </c>
      <c r="NA30" s="50">
        <f>IF(DP30="","",COUNTIFS($D$25:$D$267,Parameters!$K$2,$E$25:$E$267,Parameters!$M$5,Calendrier!$C$25:$C$267,DP30)+ COUNTIFS($D$25:$D$267,Parameters!$K$3,$E$25:$E$267,Parameters!$M$5,Calendrier!$C$25:$C$267,DP30))</f>
        <v>0</v>
      </c>
      <c r="NB30" s="50">
        <f>IF(DQ30="","",COUNTIFS($D$25:$D$267,Parameters!$K$2,$E$25:$E$267,Parameters!$M$5,Calendrier!$C$25:$C$267,DQ30)+ COUNTIFS($D$25:$D$267,Parameters!$K$4,$E$25:$E$267,Parameters!$M$5,Calendrier!$C$25:$C$267,DQ30))</f>
        <v>0</v>
      </c>
      <c r="NC30" s="50">
        <f>IF(DR30="","",COUNTIFS($D$25:$D$267,Parameters!$K$2,$E$25:$E$267,Parameters!$M$5,Calendrier!$C$25:$C$267,DR30)+ COUNTIFS($D$25:$D$267,Parameters!$K$3,$E$25:$E$267,Parameters!$M$5,Calendrier!$C$25:$C$267,DR30))</f>
        <v>0</v>
      </c>
      <c r="ND30" s="50">
        <f>IF(DS30="","",COUNTIFS($D$25:$D$267,Parameters!$K$2,$E$25:$E$267,Parameters!$M$5,Calendrier!$C$25:$C$267,DS30)+ COUNTIFS($D$25:$D$267,Parameters!$K$4,$E$25:$E$267,Parameters!$M$5,Calendrier!$C$25:$C$267,DS30))</f>
        <v>0</v>
      </c>
      <c r="NE30" s="50">
        <f>IF(DT30="","",COUNTIFS($D$25:$D$267,Parameters!$K$2,$E$25:$E$267,Parameters!$M$5,Calendrier!$C$25:$C$267,DT30)+ COUNTIFS($D$25:$D$267,Parameters!$K$3,$E$25:$E$267,Parameters!$M$5,Calendrier!$C$25:$C$267,DT30))</f>
        <v>0</v>
      </c>
      <c r="NF30" s="57">
        <f>IF(DU30="","",COUNTIFS($D$25:$D$267,Parameters!$K$2,$E$25:$E$267,Parameters!$M$5,Calendrier!$C$25:$C$267,DU30)+ COUNTIFS($D$25:$D$267,Parameters!$K$4,$E$25:$E$267,Parameters!$M$5,Calendrier!$C$25:$C$267,DU30))</f>
        <v>0</v>
      </c>
      <c r="NI30" s="49">
        <f>IF(DX30="","",COUNTIFS($D$25:$D$267,Parameters!$K$2,$E$25:$E$267,Parameters!$M$5,Calendrier!$C$25:$C$267,DX30)+ COUNTIFS($D$25:$D$267,Parameters!$K$3,$E$25:$E$267,Parameters!$M$5,Calendrier!$C$25:$C$267,DX30))</f>
        <v>0</v>
      </c>
      <c r="NJ30" s="50">
        <f>IF(DY30="","",COUNTIFS($D$25:$D$267,Parameters!$K$2,$E$25:$E$267,Parameters!$M$5,Calendrier!$C$25:$C$267,DY30)+ COUNTIFS($D$25:$D$267,Parameters!$K$4,$E$25:$E$267,Parameters!$M$5,Calendrier!$C$25:$C$267,DY30))</f>
        <v>0</v>
      </c>
      <c r="NK30" s="50">
        <f>IF(DZ30="","",COUNTIFS($D$25:$D$267,Parameters!$K$2,$E$25:$E$267,Parameters!$M$5,Calendrier!$C$25:$C$267,DZ30)+ COUNTIFS($D$25:$D$267,Parameters!$K$3,$E$25:$E$267,Parameters!$M$5,Calendrier!$C$25:$C$267,DZ30))</f>
        <v>0</v>
      </c>
      <c r="NL30" s="50">
        <f>IF(EA30="","",COUNTIFS($D$25:$D$267,Parameters!$K$2,$E$25:$E$267,Parameters!$M$5,Calendrier!$C$25:$C$267,EA30)+ COUNTIFS($D$25:$D$267,Parameters!$K$4,$E$25:$E$267,Parameters!$M$5,Calendrier!$C$25:$C$267,EA30))</f>
        <v>0</v>
      </c>
      <c r="NM30" s="50">
        <f>IF(EB30="","",COUNTIFS($D$25:$D$267,Parameters!$K$2,$E$25:$E$267,Parameters!$M$5,Calendrier!$C$25:$C$267,EB30)+ COUNTIFS($D$25:$D$267,Parameters!$K$3,$E$25:$E$267,Parameters!$M$5,Calendrier!$C$25:$C$267,EB30))</f>
        <v>0</v>
      </c>
      <c r="NN30" s="50">
        <f>IF(EC30="","",COUNTIFS($D$25:$D$267,Parameters!$K$2,$E$25:$E$267,Parameters!$M$5,Calendrier!$C$25:$C$267,EC30)+ COUNTIFS($D$25:$D$267,Parameters!$K$4,$E$25:$E$267,Parameters!$M$5,Calendrier!$C$25:$C$267,EC30))</f>
        <v>0</v>
      </c>
      <c r="NO30" s="50">
        <f>IF(ED30="","",COUNTIFS($D$25:$D$267,Parameters!$K$2,$E$25:$E$267,Parameters!$M$5,Calendrier!$C$25:$C$267,ED30)+ COUNTIFS($D$25:$D$267,Parameters!$K$3,$E$25:$E$267,Parameters!$M$5,Calendrier!$C$25:$C$267,ED30))</f>
        <v>0</v>
      </c>
      <c r="NP30" s="50">
        <f>IF(EE30="","",COUNTIFS($D$25:$D$267,Parameters!$K$2,$E$25:$E$267,Parameters!$M$5,Calendrier!$C$25:$C$267,EE30)+ COUNTIFS($D$25:$D$267,Parameters!$K$4,$E$25:$E$267,Parameters!$M$5,Calendrier!$C$25:$C$267,EE30))</f>
        <v>0</v>
      </c>
      <c r="NQ30" s="50">
        <f>IF(EF30="","",COUNTIFS($D$25:$D$267,Parameters!$K$2,$E$25:$E$267,Parameters!$M$5,Calendrier!$C$25:$C$267,EF30)+ COUNTIFS($D$25:$D$267,Parameters!$K$3,$E$25:$E$267,Parameters!$M$5,Calendrier!$C$25:$C$267,EF30))</f>
        <v>0</v>
      </c>
      <c r="NR30" s="50">
        <f>IF(EG30="","",COUNTIFS($D$25:$D$267,Parameters!$K$2,$E$25:$E$267,Parameters!$M$5,Calendrier!$C$25:$C$267,EG30)+ COUNTIFS($D$25:$D$267,Parameters!$K$4,$E$25:$E$267,Parameters!$M$5,Calendrier!$C$25:$C$267,EG30))</f>
        <v>0</v>
      </c>
      <c r="NS30" s="50">
        <f>IF(EH30="","",COUNTIFS($D$25:$D$267,Parameters!$K$2,$E$25:$E$267,Parameters!$M$5,Calendrier!$C$25:$C$267,EH30)+ COUNTIFS($D$25:$D$267,Parameters!$K$3,$E$25:$E$267,Parameters!$M$5,Calendrier!$C$25:$C$267,EH30))</f>
        <v>0</v>
      </c>
      <c r="NT30" s="50">
        <f>IF(EI30="","",COUNTIFS($D$25:$D$267,Parameters!$K$2,$E$25:$E$267,Parameters!$M$5,Calendrier!$C$25:$C$267,EI30)+ COUNTIFS($D$25:$D$267,Parameters!$K$4,$E$25:$E$267,Parameters!$M$5,Calendrier!$C$25:$C$267,EI30))</f>
        <v>0</v>
      </c>
      <c r="NU30" s="50">
        <f>IF(EJ30="","",COUNTIFS($D$25:$D$267,Parameters!$K$2,$E$25:$E$267,Parameters!$M$5,Calendrier!$C$25:$C$267,EJ30)+ COUNTIFS($D$25:$D$267,Parameters!$K$3,$E$25:$E$267,Parameters!$M$5,Calendrier!$C$25:$C$267,EJ30))</f>
        <v>0</v>
      </c>
      <c r="NV30" s="57">
        <f>IF(EK30="","",COUNTIFS($D$25:$D$267,Parameters!$K$2,$E$25:$E$267,Parameters!$M$5,Calendrier!$C$25:$C$267,EK30)+ COUNTIFS($D$25:$D$267,Parameters!$K$4,$E$25:$E$267,Parameters!$M$5,Calendrier!$C$25:$C$267,EK30))</f>
        <v>0</v>
      </c>
      <c r="NY30" s="49">
        <f>IF(EN30="","",COUNTIFS($D$25:$D$267,Parameters!$K$2,$E$25:$E$267,Parameters!$M$5,Calendrier!$C$25:$C$267,EN30)+ COUNTIFS($D$25:$D$267,Parameters!$K$3,$E$25:$E$267,Parameters!$M$5,Calendrier!$C$25:$C$267,EN30))</f>
        <v>0</v>
      </c>
      <c r="NZ30" s="50">
        <f>IF(EO30="","",COUNTIFS($D$25:$D$267,Parameters!$K$2,$E$25:$E$267,Parameters!$M$5,Calendrier!$C$25:$C$267,EO30)+ COUNTIFS($D$25:$D$267,Parameters!$K$4,$E$25:$E$267,Parameters!$M$5,Calendrier!$C$25:$C$267,EO30))</f>
        <v>0</v>
      </c>
      <c r="OA30" s="50">
        <f>IF(EP30="","",COUNTIFS($D$25:$D$267,Parameters!$K$2,$E$25:$E$267,Parameters!$M$5,Calendrier!$C$25:$C$267,EP30)+ COUNTIFS($D$25:$D$267,Parameters!$K$3,$E$25:$E$267,Parameters!$M$5,Calendrier!$C$25:$C$267,EP30))</f>
        <v>0</v>
      </c>
      <c r="OB30" s="50">
        <f>IF(EQ30="","",COUNTIFS($D$25:$D$267,Parameters!$K$2,$E$25:$E$267,Parameters!$M$5,Calendrier!$C$25:$C$267,EQ30)+ COUNTIFS($D$25:$D$267,Parameters!$K$4,$E$25:$E$267,Parameters!$M$5,Calendrier!$C$25:$C$267,EQ30))</f>
        <v>0</v>
      </c>
      <c r="OC30" s="50">
        <f>IF(ER30="","",COUNTIFS($D$25:$D$267,Parameters!$K$2,$E$25:$E$267,Parameters!$M$5,Calendrier!$C$25:$C$267,ER30)+ COUNTIFS($D$25:$D$267,Parameters!$K$3,$E$25:$E$267,Parameters!$M$5,Calendrier!$C$25:$C$267,ER30))</f>
        <v>0</v>
      </c>
      <c r="OD30" s="50">
        <f>IF(ES30="","",COUNTIFS($D$25:$D$267,Parameters!$K$2,$E$25:$E$267,Parameters!$M$5,Calendrier!$C$25:$C$267,ES30)+ COUNTIFS($D$25:$D$267,Parameters!$K$4,$E$25:$E$267,Parameters!$M$5,Calendrier!$C$25:$C$267,ES30))</f>
        <v>0</v>
      </c>
      <c r="OE30" s="50">
        <f>IF(ET30="","",COUNTIFS($D$25:$D$267,Parameters!$K$2,$E$25:$E$267,Parameters!$M$5,Calendrier!$C$25:$C$267,ET30)+ COUNTIFS($D$25:$D$267,Parameters!$K$3,$E$25:$E$267,Parameters!$M$5,Calendrier!$C$25:$C$267,ET30))</f>
        <v>0</v>
      </c>
      <c r="OF30" s="50">
        <f>IF(EU30="","",COUNTIFS($D$25:$D$267,Parameters!$K$2,$E$25:$E$267,Parameters!$M$5,Calendrier!$C$25:$C$267,EU30)+ COUNTIFS($D$25:$D$267,Parameters!$K$4,$E$25:$E$267,Parameters!$M$5,Calendrier!$C$25:$C$267,EU30))</f>
        <v>0</v>
      </c>
      <c r="OG30" s="50">
        <f>IF(EV30="","",COUNTIFS($D$25:$D$267,Parameters!$K$2,$E$25:$E$267,Parameters!$M$5,Calendrier!$C$25:$C$267,EV30)+ COUNTIFS($D$25:$D$267,Parameters!$K$3,$E$25:$E$267,Parameters!$M$5,Calendrier!$C$25:$C$267,EV30))</f>
        <v>0</v>
      </c>
      <c r="OH30" s="50">
        <f>IF(EW30="","",COUNTIFS($D$25:$D$267,Parameters!$K$2,$E$25:$E$267,Parameters!$M$5,Calendrier!$C$25:$C$267,EW30)+ COUNTIFS($D$25:$D$267,Parameters!$K$4,$E$25:$E$267,Parameters!$M$5,Calendrier!$C$25:$C$267,EW30))</f>
        <v>0</v>
      </c>
      <c r="OI30" s="50">
        <f>IF(EX30="","",COUNTIFS($D$25:$D$267,Parameters!$K$2,$E$25:$E$267,Parameters!$M$5,Calendrier!$C$25:$C$267,EX30)+ COUNTIFS($D$25:$D$267,Parameters!$K$3,$E$25:$E$267,Parameters!$M$5,Calendrier!$C$25:$C$267,EX30))</f>
        <v>0</v>
      </c>
      <c r="OJ30" s="50">
        <f>IF(EY30="","",COUNTIFS($D$25:$D$267,Parameters!$K$2,$E$25:$E$267,Parameters!$M$5,Calendrier!$C$25:$C$267,EY30)+ COUNTIFS($D$25:$D$267,Parameters!$K$4,$E$25:$E$267,Parameters!$M$5,Calendrier!$C$25:$C$267,EY30))</f>
        <v>0</v>
      </c>
      <c r="OK30" s="50">
        <f>IF(EZ30="","",COUNTIFS($D$25:$D$267,Parameters!$K$2,$E$25:$E$267,Parameters!$M$5,Calendrier!$C$25:$C$267,EZ30)+ COUNTIFS($D$25:$D$267,Parameters!$K$3,$E$25:$E$267,Parameters!$M$5,Calendrier!$C$25:$C$267,EZ30))</f>
        <v>0</v>
      </c>
      <c r="OL30" s="57">
        <f>IF(FA30="","",COUNTIFS($D$25:$D$267,Parameters!$K$2,$E$25:$E$267,Parameters!$M$5,Calendrier!$C$25:$C$267,FA30)+ COUNTIFS($D$25:$D$267,Parameters!$K$4,$E$25:$E$267,Parameters!$M$5,Calendrier!$C$25:$C$267,FA30))</f>
        <v>0</v>
      </c>
      <c r="OP30" s="49">
        <f>IF(DH30="","",COUNTIFS(Parameters!$Y:$Y,$BF$4,Parameters!$X:$X,DH30))</f>
        <v>1</v>
      </c>
      <c r="OQ30" s="50">
        <f>IF(DI30="","",COUNTIFS(Parameters!$Y:$Y,$BF$4,Parameters!$X:$X,DI30))</f>
        <v>1</v>
      </c>
      <c r="OR30" s="50">
        <f>IF(DJ30="","",COUNTIFS(Parameters!$Y:$Y,$BF$4,Parameters!$X:$X,DJ30))</f>
        <v>1</v>
      </c>
      <c r="OS30" s="50">
        <f>IF(DK30="","",COUNTIFS(Parameters!$Y:$Y,$BF$4,Parameters!$X:$X,DK30))</f>
        <v>1</v>
      </c>
      <c r="OT30" s="50">
        <f>IF(DL30="","",COUNTIFS(Parameters!$Y:$Y,$BF$4,Parameters!$X:$X,DL30))</f>
        <v>1</v>
      </c>
      <c r="OU30" s="50">
        <f>IF(DM30="","",COUNTIFS(Parameters!$Y:$Y,$BF$4,Parameters!$X:$X,DM30))</f>
        <v>1</v>
      </c>
      <c r="OV30" s="50">
        <f>IF(DN30="","",COUNTIFS(Parameters!$Y:$Y,$BF$4,Parameters!$X:$X,DN30))</f>
        <v>1</v>
      </c>
      <c r="OW30" s="50">
        <f>IF(DO30="","",COUNTIFS(Parameters!$Y:$Y,$BF$4,Parameters!$X:$X,DO30))</f>
        <v>1</v>
      </c>
      <c r="OX30" s="50">
        <f>IF(DP30="","",COUNTIFS(Parameters!$Y:$Y,$BF$4,Parameters!$X:$X,DP30))</f>
        <v>1</v>
      </c>
      <c r="OY30" s="50">
        <f>IF(DQ30="","",COUNTIFS(Parameters!$Y:$Y,$BF$4,Parameters!$X:$X,DQ30))</f>
        <v>1</v>
      </c>
      <c r="OZ30" s="50">
        <f>IF(DR30="","",COUNTIFS(Parameters!$Y:$Y,$BF$4,Parameters!$X:$X,DR30))</f>
        <v>1</v>
      </c>
      <c r="PA30" s="50">
        <f>IF(DS30="","",COUNTIFS(Parameters!$Y:$Y,$BF$4,Parameters!$X:$X,DS30))</f>
        <v>1</v>
      </c>
      <c r="PB30" s="50">
        <f>IF(DT30="","",COUNTIFS(Parameters!$Y:$Y,$BF$4,Parameters!$X:$X,DT30))</f>
        <v>1</v>
      </c>
      <c r="PC30" s="57">
        <f>IF(DU30="","",COUNTIFS(Parameters!$Y:$Y,$BF$4,Parameters!$X:$X,DU30))</f>
        <v>1</v>
      </c>
      <c r="PF30" s="49">
        <f>IF(DX30="","",COUNTIFS(Parameters!$Y:$Y,$BF$4,Parameters!$X:$X,DX30))</f>
        <v>1</v>
      </c>
      <c r="PG30" s="50">
        <f>IF(DY30="","",COUNTIFS(Parameters!$Y:$Y,$BF$4,Parameters!$X:$X,DY30))</f>
        <v>1</v>
      </c>
      <c r="PH30" s="50">
        <f>IF(DZ30="","",COUNTIFS(Parameters!$Y:$Y,$BF$4,Parameters!$X:$X,DZ30))</f>
        <v>1</v>
      </c>
      <c r="PI30" s="50">
        <f>IF(EA30="","",COUNTIFS(Parameters!$Y:$Y,$BF$4,Parameters!$X:$X,EA30))</f>
        <v>1</v>
      </c>
      <c r="PJ30" s="50">
        <f>IF(EB30="","",COUNTIFS(Parameters!$Y:$Y,$BF$4,Parameters!$X:$X,EB30))</f>
        <v>1</v>
      </c>
      <c r="PK30" s="50">
        <f>IF(EC30="","",COUNTIFS(Parameters!$Y:$Y,$BF$4,Parameters!$X:$X,EC30))</f>
        <v>1</v>
      </c>
      <c r="PL30" s="50">
        <f>IF(ED30="","",COUNTIFS(Parameters!$Y:$Y,$BF$4,Parameters!$X:$X,ED30))</f>
        <v>1</v>
      </c>
      <c r="PM30" s="50">
        <f>IF(EE30="","",COUNTIFS(Parameters!$Y:$Y,$BF$4,Parameters!$X:$X,EE30))</f>
        <v>1</v>
      </c>
      <c r="PN30" s="50">
        <f>IF(EF30="","",COUNTIFS(Parameters!$Y:$Y,$BF$4,Parameters!$X:$X,EF30))</f>
        <v>1</v>
      </c>
      <c r="PO30" s="50">
        <f>IF(EG30="","",COUNTIFS(Parameters!$Y:$Y,$BF$4,Parameters!$X:$X,EG30))</f>
        <v>1</v>
      </c>
      <c r="PP30" s="50">
        <f>IF(EH30="","",COUNTIFS(Parameters!$Y:$Y,$BF$4,Parameters!$X:$X,EH30))</f>
        <v>1</v>
      </c>
      <c r="PQ30" s="50">
        <f>IF(EI30="","",COUNTIFS(Parameters!$Y:$Y,$BF$4,Parameters!$X:$X,EI30))</f>
        <v>1</v>
      </c>
      <c r="PR30" s="50">
        <f>IF(EJ30="","",COUNTIFS(Parameters!$Y:$Y,$BF$4,Parameters!$X:$X,EJ30))</f>
        <v>1</v>
      </c>
      <c r="PS30" s="57">
        <f>IF(EK30="","",COUNTIFS(Parameters!$Y:$Y,$BF$4,Parameters!$X:$X,EK30))</f>
        <v>1</v>
      </c>
      <c r="PV30" s="49">
        <f>IF(EN30="","",COUNTIFS(Parameters!$Y:$Y,$BF$4,Parameters!$X:$X,EN30))</f>
        <v>0</v>
      </c>
      <c r="PW30" s="50">
        <f>IF(EO30="","",COUNTIFS(Parameters!$Y:$Y,$BF$4,Parameters!$X:$X,EO30))</f>
        <v>0</v>
      </c>
      <c r="PX30" s="50">
        <f>IF(EP30="","",COUNTIFS(Parameters!$Y:$Y,$BF$4,Parameters!$X:$X,EP30))</f>
        <v>0</v>
      </c>
      <c r="PY30" s="50">
        <f>IF(EQ30="","",COUNTIFS(Parameters!$Y:$Y,$BF$4,Parameters!$X:$X,EQ30))</f>
        <v>0</v>
      </c>
      <c r="PZ30" s="50">
        <f>IF(ER30="","",COUNTIFS(Parameters!$Y:$Y,$BF$4,Parameters!$X:$X,ER30))</f>
        <v>0</v>
      </c>
      <c r="QA30" s="50">
        <f>IF(ES30="","",COUNTIFS(Parameters!$Y:$Y,$BF$4,Parameters!$X:$X,ES30))</f>
        <v>0</v>
      </c>
      <c r="QB30" s="50">
        <f>IF(ET30="","",COUNTIFS(Parameters!$Y:$Y,$BF$4,Parameters!$X:$X,ET30))</f>
        <v>0</v>
      </c>
      <c r="QC30" s="50">
        <f>IF(EU30="","",COUNTIFS(Parameters!$Y:$Y,$BF$4,Parameters!$X:$X,EU30))</f>
        <v>0</v>
      </c>
      <c r="QD30" s="50">
        <f>IF(EV30="","",COUNTIFS(Parameters!$Y:$Y,$BF$4,Parameters!$X:$X,EV30))</f>
        <v>0</v>
      </c>
      <c r="QE30" s="50">
        <f>IF(EW30="","",COUNTIFS(Parameters!$Y:$Y,$BF$4,Parameters!$X:$X,EW30))</f>
        <v>0</v>
      </c>
      <c r="QF30" s="50">
        <f>IF(EX30="","",COUNTIFS(Parameters!$Y:$Y,$BF$4,Parameters!$X:$X,EX30))</f>
        <v>0</v>
      </c>
      <c r="QG30" s="50">
        <f>IF(EY30="","",COUNTIFS(Parameters!$Y:$Y,$BF$4,Parameters!$X:$X,EY30))</f>
        <v>0</v>
      </c>
      <c r="QH30" s="50">
        <f>IF(EZ30="","",COUNTIFS(Parameters!$Y:$Y,$BF$4,Parameters!$X:$X,EZ30))</f>
        <v>0</v>
      </c>
      <c r="QI30" s="57">
        <f>IF(FA30="","",COUNTIFS(Parameters!$Y:$Y,$BF$4,Parameters!$X:$X,FA30))</f>
        <v>0</v>
      </c>
      <c r="QN30" s="49">
        <f>IF(DH30="","",COUNTIFS($D$25:$D$267,Parameters!$K$2,$E$25:$E$267,Parameters!$M$6,Calendrier!$C$25:$C$267,DH30)+ COUNTIFS($D$25:$D$267,Parameters!$K$3,$E$25:$E$267,Parameters!$M$6,Calendrier!$C$25:$C$267,DH30))</f>
        <v>0</v>
      </c>
      <c r="QO30" s="50">
        <f>IF(DI30="","",COUNTIFS($D$25:$D$267,Parameters!$K$2,$E$25:$E$267,Parameters!$M$6,Calendrier!$C$25:$C$267,DI30)+ COUNTIFS($D$25:$D$267,Parameters!$K$4,$E$25:$E$267,Parameters!$M$6,Calendrier!$C$25:$C$267,DI30))</f>
        <v>0</v>
      </c>
      <c r="QP30" s="50">
        <f>IF(DJ30="","",COUNTIFS($D$25:$D$267,Parameters!$K$2,$E$25:$E$267,Parameters!$M$6,Calendrier!$C$25:$C$267,DJ30)+ COUNTIFS($D$25:$D$267,Parameters!$K$3,$E$25:$E$267,Parameters!$M$6,Calendrier!$C$25:$C$267,DJ30))</f>
        <v>0</v>
      </c>
      <c r="QQ30" s="50">
        <f>IF(DK30="","",COUNTIFS($D$25:$D$267,Parameters!$K$2,$E$25:$E$267,Parameters!$M$6,Calendrier!$C$25:$C$267,DK30)+ COUNTIFS($D$25:$D$267,Parameters!$K$4,$E$25:$E$267,Parameters!$M$6,Calendrier!$C$25:$C$267,DK30))</f>
        <v>0</v>
      </c>
      <c r="QR30" s="50">
        <f>IF(DL30="","",COUNTIFS($D$25:$D$267,Parameters!$K$2,$E$25:$E$267,Parameters!$M$6,Calendrier!$C$25:$C$267,DL30)+ COUNTIFS($D$25:$D$267,Parameters!$K$3,$E$25:$E$267,Parameters!$M$6,Calendrier!$C$25:$C$267,DL30))</f>
        <v>0</v>
      </c>
      <c r="QS30" s="50">
        <f>IF(DM30="","",COUNTIFS($D$25:$D$267,Parameters!$K$2,$E$25:$E$267,Parameters!$M$6,Calendrier!$C$25:$C$267,DM30)+ COUNTIFS($D$25:$D$267,Parameters!$K$4,$E$25:$E$267,Parameters!$M$6,Calendrier!$C$25:$C$267,DM30))</f>
        <v>0</v>
      </c>
      <c r="QT30" s="50">
        <f>IF(DN30="","",COUNTIFS($D$25:$D$267,Parameters!$K$2,$E$25:$E$267,Parameters!$M$6,Calendrier!$C$25:$C$267,DN30)+ COUNTIFS($D$25:$D$267,Parameters!$K$3,$E$25:$E$267,Parameters!$M$6,Calendrier!$C$25:$C$267,DN30))</f>
        <v>0</v>
      </c>
      <c r="QU30" s="50">
        <f>IF(DO30="","",COUNTIFS($D$25:$D$267,Parameters!$K$2,$E$25:$E$267,Parameters!$M$6,Calendrier!$C$25:$C$267,DO30)+ COUNTIFS($D$25:$D$267,Parameters!$K$4,$E$25:$E$267,Parameters!$M$6,Calendrier!$C$25:$C$267,DO30))</f>
        <v>0</v>
      </c>
      <c r="QV30" s="50">
        <f>IF(DP30="","",COUNTIFS($D$25:$D$267,Parameters!$K$2,$E$25:$E$267,Parameters!$M$6,Calendrier!$C$25:$C$267,DP30)+ COUNTIFS($D$25:$D$267,Parameters!$K$3,$E$25:$E$267,Parameters!$M$6,Calendrier!$C$25:$C$267,DP30))</f>
        <v>0</v>
      </c>
      <c r="QW30" s="50">
        <f>IF(DQ30="","",COUNTIFS($D$25:$D$267,Parameters!$K$2,$E$25:$E$267,Parameters!$M$6,Calendrier!$C$25:$C$267,DQ30)+ COUNTIFS($D$25:$D$267,Parameters!$K$4,$E$25:$E$267,Parameters!$M$6,Calendrier!$C$25:$C$267,DQ30))</f>
        <v>0</v>
      </c>
      <c r="QX30" s="50">
        <f>IF(DR30="","",COUNTIFS($D$25:$D$267,Parameters!$K$2,$E$25:$E$267,Parameters!$M$6,Calendrier!$C$25:$C$267,DR30)+ COUNTIFS($D$25:$D$267,Parameters!$K$3,$E$25:$E$267,Parameters!$M$6,Calendrier!$C$25:$C$267,DR30))</f>
        <v>0</v>
      </c>
      <c r="QY30" s="50">
        <f>IF(DS30="","",COUNTIFS($D$25:$D$267,Parameters!$K$2,$E$25:$E$267,Parameters!$M$6,Calendrier!$C$25:$C$267,DS30)+ COUNTIFS($D$25:$D$267,Parameters!$K$4,$E$25:$E$267,Parameters!$M$6,Calendrier!$C$25:$C$267,DS30))</f>
        <v>0</v>
      </c>
      <c r="QZ30" s="50">
        <f>IF(DT30="","",COUNTIFS($D$25:$D$267,Parameters!$K$2,$E$25:$E$267,Parameters!$M$6,Calendrier!$C$25:$C$267,DT30)+ COUNTIFS($D$25:$D$267,Parameters!$K$3,$E$25:$E$267,Parameters!$M$6,Calendrier!$C$25:$C$267,DT30))</f>
        <v>0</v>
      </c>
      <c r="RA30" s="57">
        <f>IF(DU30="","",COUNTIFS($D$25:$D$267,Parameters!$K$2,$E$25:$E$267,Parameters!$M$6,Calendrier!$C$25:$C$267,DU30)+ COUNTIFS($D$25:$D$267,Parameters!$K$4,$E$25:$E$267,Parameters!$M$6,Calendrier!$C$25:$C$267,DU30))</f>
        <v>0</v>
      </c>
      <c r="RD30" s="49">
        <f>IF(DX30="","",COUNTIFS($D$25:$D$267,Parameters!$K$2,$E$25:$E$267,Parameters!$M$6,Calendrier!$C$25:$C$267,DX30)+ COUNTIFS($D$25:$D$267,Parameters!$K$3,$E$25:$E$267,Parameters!$M$6,Calendrier!$C$25:$C$267,DX30))</f>
        <v>0</v>
      </c>
      <c r="RE30" s="50">
        <f>IF(DY30="","",COUNTIFS($D$25:$D$267,Parameters!$K$2,$E$25:$E$267,Parameters!$M$6,Calendrier!$C$25:$C$267,DY30)+ COUNTIFS($D$25:$D$267,Parameters!$K$4,$E$25:$E$267,Parameters!$M$6,Calendrier!$C$25:$C$267,DY30))</f>
        <v>0</v>
      </c>
      <c r="RF30" s="50">
        <f>IF(DZ30="","",COUNTIFS($D$25:$D$267,Parameters!$K$2,$E$25:$E$267,Parameters!$M$6,Calendrier!$C$25:$C$267,DZ30)+ COUNTIFS($D$25:$D$267,Parameters!$K$3,$E$25:$E$267,Parameters!$M$6,Calendrier!$C$25:$C$267,DZ30))</f>
        <v>0</v>
      </c>
      <c r="RG30" s="50">
        <f>IF(EA30="","",COUNTIFS($D$25:$D$267,Parameters!$K$2,$E$25:$E$267,Parameters!$M$6,Calendrier!$C$25:$C$267,EA30)+ COUNTIFS($D$25:$D$267,Parameters!$K$4,$E$25:$E$267,Parameters!$M$6,Calendrier!$C$25:$C$267,EA30))</f>
        <v>0</v>
      </c>
      <c r="RH30" s="50">
        <f>IF(EB30="","",COUNTIFS($D$25:$D$267,Parameters!$K$2,$E$25:$E$267,Parameters!$M$6,Calendrier!$C$25:$C$267,EB30)+ COUNTIFS($D$25:$D$267,Parameters!$K$3,$E$25:$E$267,Parameters!$M$6,Calendrier!$C$25:$C$267,EB30))</f>
        <v>0</v>
      </c>
      <c r="RI30" s="50">
        <f>IF(EC30="","",COUNTIFS($D$25:$D$267,Parameters!$K$2,$E$25:$E$267,Parameters!$M$6,Calendrier!$C$25:$C$267,EC30)+ COUNTIFS($D$25:$D$267,Parameters!$K$4,$E$25:$E$267,Parameters!$M$6,Calendrier!$C$25:$C$267,EC30))</f>
        <v>0</v>
      </c>
      <c r="RJ30" s="50">
        <f>IF(ED30="","",COUNTIFS($D$25:$D$267,Parameters!$K$2,$E$25:$E$267,Parameters!$M$6,Calendrier!$C$25:$C$267,ED30)+ COUNTIFS($D$25:$D$267,Parameters!$K$3,$E$25:$E$267,Parameters!$M$6,Calendrier!$C$25:$C$267,ED30))</f>
        <v>0</v>
      </c>
      <c r="RK30" s="50">
        <f>IF(EE30="","",COUNTIFS($D$25:$D$267,Parameters!$K$2,$E$25:$E$267,Parameters!$M$6,Calendrier!$C$25:$C$267,EE30)+ COUNTIFS($D$25:$D$267,Parameters!$K$4,$E$25:$E$267,Parameters!$M$6,Calendrier!$C$25:$C$267,EE30))</f>
        <v>0</v>
      </c>
      <c r="RL30" s="50">
        <f>IF(EF30="","",COUNTIFS($D$25:$D$267,Parameters!$K$2,$E$25:$E$267,Parameters!$M$6,Calendrier!$C$25:$C$267,EF30)+ COUNTIFS($D$25:$D$267,Parameters!$K$3,$E$25:$E$267,Parameters!$M$6,Calendrier!$C$25:$C$267,EF30))</f>
        <v>0</v>
      </c>
      <c r="RM30" s="50">
        <f>IF(EG30="","",COUNTIFS($D$25:$D$267,Parameters!$K$2,$E$25:$E$267,Parameters!$M$6,Calendrier!$C$25:$C$267,EG30)+ COUNTIFS($D$25:$D$267,Parameters!$K$4,$E$25:$E$267,Parameters!$M$6,Calendrier!$C$25:$C$267,EG30))</f>
        <v>0</v>
      </c>
      <c r="RN30" s="50">
        <f>IF(EH30="","",COUNTIFS($D$25:$D$267,Parameters!$K$2,$E$25:$E$267,Parameters!$M$6,Calendrier!$C$25:$C$267,EH30)+ COUNTIFS($D$25:$D$267,Parameters!$K$3,$E$25:$E$267,Parameters!$M$6,Calendrier!$C$25:$C$267,EH30))</f>
        <v>0</v>
      </c>
      <c r="RO30" s="50">
        <f>IF(EI30="","",COUNTIFS($D$25:$D$267,Parameters!$K$2,$E$25:$E$267,Parameters!$M$6,Calendrier!$C$25:$C$267,EI30)+ COUNTIFS($D$25:$D$267,Parameters!$K$4,$E$25:$E$267,Parameters!$M$6,Calendrier!$C$25:$C$267,EI30))</f>
        <v>0</v>
      </c>
      <c r="RP30" s="50">
        <f>IF(EJ30="","",COUNTIFS($D$25:$D$267,Parameters!$K$2,$E$25:$E$267,Parameters!$M$6,Calendrier!$C$25:$C$267,EJ30)+ COUNTIFS($D$25:$D$267,Parameters!$K$3,$E$25:$E$267,Parameters!$M$6,Calendrier!$C$25:$C$267,EJ30))</f>
        <v>0</v>
      </c>
      <c r="RQ30" s="57">
        <f>IF(EK30="","",COUNTIFS($D$25:$D$267,Parameters!$K$2,$E$25:$E$267,Parameters!$M$6,Calendrier!$C$25:$C$267,EK30)+ COUNTIFS($D$25:$D$267,Parameters!$K$4,$E$25:$E$267,Parameters!$M$6,Calendrier!$C$25:$C$267,EK30))</f>
        <v>0</v>
      </c>
      <c r="RT30" s="49">
        <f>IF(EN30="","",COUNTIFS($D$25:$D$267,Parameters!$K$2,$E$25:$E$267,Parameters!$M$6,Calendrier!$C$25:$C$267,EN30)+ COUNTIFS($D$25:$D$267,Parameters!$K$3,$E$25:$E$267,Parameters!$M$6,Calendrier!$C$25:$C$267,EN30))</f>
        <v>0</v>
      </c>
      <c r="RU30" s="50">
        <f>IF(EO30="","",COUNTIFS($D$25:$D$267,Parameters!$K$2,$E$25:$E$267,Parameters!$M$6,Calendrier!$C$25:$C$267,EO30)+ COUNTIFS($D$25:$D$267,Parameters!$K$4,$E$25:$E$267,Parameters!$M$6,Calendrier!$C$25:$C$267,EO30))</f>
        <v>0</v>
      </c>
      <c r="RV30" s="50">
        <f>IF(EP30="","",COUNTIFS($D$25:$D$267,Parameters!$K$2,$E$25:$E$267,Parameters!$M$6,Calendrier!$C$25:$C$267,EP30)+ COUNTIFS($D$25:$D$267,Parameters!$K$3,$E$25:$E$267,Parameters!$M$6,Calendrier!$C$25:$C$267,EP30))</f>
        <v>0</v>
      </c>
      <c r="RW30" s="50">
        <f>IF(EQ30="","",COUNTIFS($D$25:$D$267,Parameters!$K$2,$E$25:$E$267,Parameters!$M$6,Calendrier!$C$25:$C$267,EQ30)+ COUNTIFS($D$25:$D$267,Parameters!$K$4,$E$25:$E$267,Parameters!$M$6,Calendrier!$C$25:$C$267,EQ30))</f>
        <v>0</v>
      </c>
      <c r="RX30" s="50">
        <f>IF(ER30="","",COUNTIFS($D$25:$D$267,Parameters!$K$2,$E$25:$E$267,Parameters!$M$6,Calendrier!$C$25:$C$267,ER30)+ COUNTIFS($D$25:$D$267,Parameters!$K$3,$E$25:$E$267,Parameters!$M$6,Calendrier!$C$25:$C$267,ER30))</f>
        <v>0</v>
      </c>
      <c r="RY30" s="50">
        <f>IF(ES30="","",COUNTIFS($D$25:$D$267,Parameters!$K$2,$E$25:$E$267,Parameters!$M$6,Calendrier!$C$25:$C$267,ES30)+ COUNTIFS($D$25:$D$267,Parameters!$K$4,$E$25:$E$267,Parameters!$M$6,Calendrier!$C$25:$C$267,ES30))</f>
        <v>0</v>
      </c>
      <c r="RZ30" s="50">
        <f>IF(ET30="","",COUNTIFS($D$25:$D$267,Parameters!$K$2,$E$25:$E$267,Parameters!$M$6,Calendrier!$C$25:$C$267,ET30)+ COUNTIFS($D$25:$D$267,Parameters!$K$3,$E$25:$E$267,Parameters!$M$6,Calendrier!$C$25:$C$267,ET30))</f>
        <v>0</v>
      </c>
      <c r="SA30" s="50">
        <f>IF(EU30="","",COUNTIFS($D$25:$D$267,Parameters!$K$2,$E$25:$E$267,Parameters!$M$6,Calendrier!$C$25:$C$267,EU30)+ COUNTIFS($D$25:$D$267,Parameters!$K$4,$E$25:$E$267,Parameters!$M$6,Calendrier!$C$25:$C$267,EU30))</f>
        <v>0</v>
      </c>
      <c r="SB30" s="50">
        <f>IF(EV30="","",COUNTIFS($D$25:$D$267,Parameters!$K$2,$E$25:$E$267,Parameters!$M$6,Calendrier!$C$25:$C$267,EV30)+ COUNTIFS($D$25:$D$267,Parameters!$K$3,$E$25:$E$267,Parameters!$M$6,Calendrier!$C$25:$C$267,EV30))</f>
        <v>0</v>
      </c>
      <c r="SC30" s="50">
        <f>IF(EW30="","",COUNTIFS($D$25:$D$267,Parameters!$K$2,$E$25:$E$267,Parameters!$M$6,Calendrier!$C$25:$C$267,EW30)+ COUNTIFS($D$25:$D$267,Parameters!$K$4,$E$25:$E$267,Parameters!$M$6,Calendrier!$C$25:$C$267,EW30))</f>
        <v>0</v>
      </c>
      <c r="SD30" s="50">
        <f>IF(EX30="","",COUNTIFS($D$25:$D$267,Parameters!$K$2,$E$25:$E$267,Parameters!$M$6,Calendrier!$C$25:$C$267,EX30)+ COUNTIFS($D$25:$D$267,Parameters!$K$3,$E$25:$E$267,Parameters!$M$6,Calendrier!$C$25:$C$267,EX30))</f>
        <v>0</v>
      </c>
      <c r="SE30" s="50">
        <f>IF(EY30="","",COUNTIFS($D$25:$D$267,Parameters!$K$2,$E$25:$E$267,Parameters!$M$6,Calendrier!$C$25:$C$267,EY30)+ COUNTIFS($D$25:$D$267,Parameters!$K$4,$E$25:$E$267,Parameters!$M$6,Calendrier!$C$25:$C$267,EY30))</f>
        <v>0</v>
      </c>
      <c r="SF30" s="50">
        <f>IF(EZ30="","",COUNTIFS($D$25:$D$267,Parameters!$K$2,$E$25:$E$267,Parameters!$M$6,Calendrier!$C$25:$C$267,EZ30)+ COUNTIFS($D$25:$D$267,Parameters!$K$3,$E$25:$E$267,Parameters!$M$6,Calendrier!$C$25:$C$267,EZ30))</f>
        <v>0</v>
      </c>
      <c r="SG30" s="57">
        <f>IF(FA30="","",COUNTIFS($D$25:$D$267,Parameters!$K$2,$E$25:$E$267,Parameters!$M$6,Calendrier!$C$25:$C$267,FA30)+ COUNTIFS($D$25:$D$267,Parameters!$K$4,$E$25:$E$267,Parameters!$M$6,Calendrier!$C$25:$C$267,FA30))</f>
        <v>0</v>
      </c>
      <c r="SL30" s="49">
        <f>IF(DH30="","",COUNTIFS($D$25:$D$267,Parameters!$K$2,$E$25:$E$267,Parameters!$M$7,Calendrier!$C$25:$C$267,DH30)+ COUNTIFS($D$25:$D$267,Parameters!$K$3,$E$25:$E$267,Parameters!$M$7,Calendrier!$C$25:$C$267,DH30))</f>
        <v>0</v>
      </c>
      <c r="SM30" s="50">
        <f>IF(DI30="","",COUNTIFS($D$25:$D$267,Parameters!$K$2,$E$25:$E$267,Parameters!$M$7,Calendrier!$C$25:$C$267,DI30)+ COUNTIFS($D$25:$D$267,Parameters!$K$4,$E$25:$E$267,Parameters!$M$7,Calendrier!$C$25:$C$267,DI30))</f>
        <v>0</v>
      </c>
      <c r="SN30" s="50">
        <f>IF(DJ30="","",COUNTIFS($D$25:$D$267,Parameters!$K$2,$E$25:$E$267,Parameters!$M$7,Calendrier!$C$25:$C$267,DJ30)+ COUNTIFS($D$25:$D$267,Parameters!$K$3,$E$25:$E$267,Parameters!$M$7,Calendrier!$C$25:$C$267,DJ30))</f>
        <v>0</v>
      </c>
      <c r="SO30" s="50">
        <f>IF(DK30="","",COUNTIFS($D$25:$D$267,Parameters!$K$2,$E$25:$E$267,Parameters!$M$7,Calendrier!$C$25:$C$267,DK30)+ COUNTIFS($D$25:$D$267,Parameters!$K$4,$E$25:$E$267,Parameters!$M$7,Calendrier!$C$25:$C$267,DK30))</f>
        <v>0</v>
      </c>
      <c r="SP30" s="50">
        <f>IF(DL30="","",COUNTIFS($D$25:$D$267,Parameters!$K$2,$E$25:$E$267,Parameters!$M$7,Calendrier!$C$25:$C$267,DL30)+ COUNTIFS($D$25:$D$267,Parameters!$K$3,$E$25:$E$267,Parameters!$M$7,Calendrier!$C$25:$C$267,DL30))</f>
        <v>0</v>
      </c>
      <c r="SQ30" s="50">
        <f>IF(DM30="","",COUNTIFS($D$25:$D$267,Parameters!$K$2,$E$25:$E$267,Parameters!$M$7,Calendrier!$C$25:$C$267,DM30)+ COUNTIFS($D$25:$D$267,Parameters!$K$4,$E$25:$E$267,Parameters!$M$7,Calendrier!$C$25:$C$267,DM30))</f>
        <v>0</v>
      </c>
      <c r="SR30" s="50">
        <f>IF(DN30="","",COUNTIFS($D$25:$D$267,Parameters!$K$2,$E$25:$E$267,Parameters!$M$7,Calendrier!$C$25:$C$267,DN30)+ COUNTIFS($D$25:$D$267,Parameters!$K$3,$E$25:$E$267,Parameters!$M$7,Calendrier!$C$25:$C$267,DN30))</f>
        <v>0</v>
      </c>
      <c r="SS30" s="50">
        <f>IF(DO30="","",COUNTIFS($D$25:$D$267,Parameters!$K$2,$E$25:$E$267,Parameters!$M$7,Calendrier!$C$25:$C$267,DO30)+ COUNTIFS($D$25:$D$267,Parameters!$K$4,$E$25:$E$267,Parameters!$M$7,Calendrier!$C$25:$C$267,DO30))</f>
        <v>0</v>
      </c>
      <c r="ST30" s="50">
        <f>IF(DP30="","",COUNTIFS($D$25:$D$267,Parameters!$K$2,$E$25:$E$267,Parameters!$M$7,Calendrier!$C$25:$C$267,DP30)+ COUNTIFS($D$25:$D$267,Parameters!$K$3,$E$25:$E$267,Parameters!$M$7,Calendrier!$C$25:$C$267,DP30))</f>
        <v>0</v>
      </c>
      <c r="SU30" s="50">
        <f>IF(DQ30="","",COUNTIFS($D$25:$D$267,Parameters!$K$2,$E$25:$E$267,Parameters!$M$7,Calendrier!$C$25:$C$267,DQ30)+ COUNTIFS($D$25:$D$267,Parameters!$K$4,$E$25:$E$267,Parameters!$M$7,Calendrier!$C$25:$C$267,DQ30))</f>
        <v>0</v>
      </c>
      <c r="SV30" s="50">
        <f>IF(DR30="","",COUNTIFS($D$25:$D$267,Parameters!$K$2,$E$25:$E$267,Parameters!$M$7,Calendrier!$C$25:$C$267,DR30)+ COUNTIFS($D$25:$D$267,Parameters!$K$3,$E$25:$E$267,Parameters!$M$7,Calendrier!$C$25:$C$267,DR30))</f>
        <v>0</v>
      </c>
      <c r="SW30" s="50">
        <f>IF(DS30="","",COUNTIFS($D$25:$D$267,Parameters!$K$2,$E$25:$E$267,Parameters!$M$7,Calendrier!$C$25:$C$267,DS30)+ COUNTIFS($D$25:$D$267,Parameters!$K$4,$E$25:$E$267,Parameters!$M$7,Calendrier!$C$25:$C$267,DS30))</f>
        <v>0</v>
      </c>
      <c r="SX30" s="50">
        <f>IF(DT30="","",COUNTIFS($D$25:$D$267,Parameters!$K$2,$E$25:$E$267,Parameters!$M$7,Calendrier!$C$25:$C$267,DT30)+ COUNTIFS($D$25:$D$267,Parameters!$K$3,$E$25:$E$267,Parameters!$M$7,Calendrier!$C$25:$C$267,DT30))</f>
        <v>0</v>
      </c>
      <c r="SY30" s="57">
        <f>IF(DU30="","",COUNTIFS($D$25:$D$267,Parameters!$K$2,$E$25:$E$267,Parameters!$M$7,Calendrier!$C$25:$C$267,DU30)+ COUNTIFS($D$25:$D$267,Parameters!$K$4,$E$25:$E$267,Parameters!$M$7,Calendrier!$C$25:$C$267,DU30))</f>
        <v>0</v>
      </c>
      <c r="TB30" s="49">
        <f>IF(DX30="","",COUNTIFS($D$25:$D$267,Parameters!$K$2,$E$25:$E$267,Parameters!$M$7,Calendrier!$C$25:$C$267,DX30)+ COUNTIFS($D$25:$D$267,Parameters!$K$3,$E$25:$E$267,Parameters!$M$7,Calendrier!$C$25:$C$267,DX30))</f>
        <v>0</v>
      </c>
      <c r="TC30" s="50">
        <f>IF(DY30="","",COUNTIFS($D$25:$D$267,Parameters!$K$2,$E$25:$E$267,Parameters!$M$7,Calendrier!$C$25:$C$267,DY30)+ COUNTIFS($D$25:$D$267,Parameters!$K$4,$E$25:$E$267,Parameters!$M$7,Calendrier!$C$25:$C$267,DY30))</f>
        <v>0</v>
      </c>
      <c r="TD30" s="50">
        <f>IF(DZ30="","",COUNTIFS($D$25:$D$267,Parameters!$K$2,$E$25:$E$267,Parameters!$M$7,Calendrier!$C$25:$C$267,DZ30)+ COUNTIFS($D$25:$D$267,Parameters!$K$3,$E$25:$E$267,Parameters!$M$7,Calendrier!$C$25:$C$267,DZ30))</f>
        <v>0</v>
      </c>
      <c r="TE30" s="50">
        <f>IF(EA30="","",COUNTIFS($D$25:$D$267,Parameters!$K$2,$E$25:$E$267,Parameters!$M$7,Calendrier!$C$25:$C$267,EA30)+ COUNTIFS($D$25:$D$267,Parameters!$K$4,$E$25:$E$267,Parameters!$M$7,Calendrier!$C$25:$C$267,EA30))</f>
        <v>0</v>
      </c>
      <c r="TF30" s="50">
        <f>IF(EB30="","",COUNTIFS($D$25:$D$267,Parameters!$K$2,$E$25:$E$267,Parameters!$M$7,Calendrier!$C$25:$C$267,EB30)+ COUNTIFS($D$25:$D$267,Parameters!$K$3,$E$25:$E$267,Parameters!$M$7,Calendrier!$C$25:$C$267,EB30))</f>
        <v>0</v>
      </c>
      <c r="TG30" s="50">
        <f>IF(EC30="","",COUNTIFS($D$25:$D$267,Parameters!$K$2,$E$25:$E$267,Parameters!$M$7,Calendrier!$C$25:$C$267,EC30)+ COUNTIFS($D$25:$D$267,Parameters!$K$4,$E$25:$E$267,Parameters!$M$7,Calendrier!$C$25:$C$267,EC30))</f>
        <v>0</v>
      </c>
      <c r="TH30" s="50">
        <f>IF(ED30="","",COUNTIFS($D$25:$D$267,Parameters!$K$2,$E$25:$E$267,Parameters!$M$7,Calendrier!$C$25:$C$267,ED30)+ COUNTIFS($D$25:$D$267,Parameters!$K$3,$E$25:$E$267,Parameters!$M$7,Calendrier!$C$25:$C$267,ED30))</f>
        <v>0</v>
      </c>
      <c r="TI30" s="50">
        <f>IF(EE30="","",COUNTIFS($D$25:$D$267,Parameters!$K$2,$E$25:$E$267,Parameters!$M$7,Calendrier!$C$25:$C$267,EE30)+ COUNTIFS($D$25:$D$267,Parameters!$K$4,$E$25:$E$267,Parameters!$M$7,Calendrier!$C$25:$C$267,EE30))</f>
        <v>0</v>
      </c>
      <c r="TJ30" s="50">
        <f>IF(EF30="","",COUNTIFS($D$25:$D$267,Parameters!$K$2,$E$25:$E$267,Parameters!$M$7,Calendrier!$C$25:$C$267,EF30)+ COUNTIFS($D$25:$D$267,Parameters!$K$3,$E$25:$E$267,Parameters!$M$7,Calendrier!$C$25:$C$267,EF30))</f>
        <v>0</v>
      </c>
      <c r="TK30" s="50">
        <f>IF(EG30="","",COUNTIFS($D$25:$D$267,Parameters!$K$2,$E$25:$E$267,Parameters!$M$7,Calendrier!$C$25:$C$267,EG30)+ COUNTIFS($D$25:$D$267,Parameters!$K$4,$E$25:$E$267,Parameters!$M$7,Calendrier!$C$25:$C$267,EG30))</f>
        <v>0</v>
      </c>
      <c r="TL30" s="50">
        <f>IF(EH30="","",COUNTIFS($D$25:$D$267,Parameters!$K$2,$E$25:$E$267,Parameters!$M$7,Calendrier!$C$25:$C$267,EH30)+ COUNTIFS($D$25:$D$267,Parameters!$K$3,$E$25:$E$267,Parameters!$M$7,Calendrier!$C$25:$C$267,EH30))</f>
        <v>0</v>
      </c>
      <c r="TM30" s="50">
        <f>IF(EI30="","",COUNTIFS($D$25:$D$267,Parameters!$K$2,$E$25:$E$267,Parameters!$M$7,Calendrier!$C$25:$C$267,EI30)+ COUNTIFS($D$25:$D$267,Parameters!$K$4,$E$25:$E$267,Parameters!$M$7,Calendrier!$C$25:$C$267,EI30))</f>
        <v>0</v>
      </c>
      <c r="TN30" s="50">
        <f>IF(EJ30="","",COUNTIFS($D$25:$D$267,Parameters!$K$2,$E$25:$E$267,Parameters!$M$7,Calendrier!$C$25:$C$267,EJ30)+ COUNTIFS($D$25:$D$267,Parameters!$K$3,$E$25:$E$267,Parameters!$M$7,Calendrier!$C$25:$C$267,EJ30))</f>
        <v>0</v>
      </c>
      <c r="TO30" s="57">
        <f>IF(EK30="","",COUNTIFS($D$25:$D$267,Parameters!$K$2,$E$25:$E$267,Parameters!$M$7,Calendrier!$C$25:$C$267,EK30)+ COUNTIFS($D$25:$D$267,Parameters!$K$4,$E$25:$E$267,Parameters!$M$7,Calendrier!$C$25:$C$267,EK30))</f>
        <v>0</v>
      </c>
      <c r="TR30" s="49">
        <f>IF(EN30="","",COUNTIFS($D$25:$D$267,Parameters!$K$2,$E$25:$E$267,Parameters!$M$7,Calendrier!$C$25:$C$267,EN30)+ COUNTIFS($D$25:$D$267,Parameters!$K$3,$E$25:$E$267,Parameters!$M$7,Calendrier!$C$25:$C$267,EN30))</f>
        <v>0</v>
      </c>
      <c r="TS30" s="50">
        <f>IF(EO30="","",COUNTIFS($D$25:$D$267,Parameters!$K$2,$E$25:$E$267,Parameters!$M$7,Calendrier!$C$25:$C$267,EO30)+ COUNTIFS($D$25:$D$267,Parameters!$K$4,$E$25:$E$267,Parameters!$M$7,Calendrier!$C$25:$C$267,EO30))</f>
        <v>0</v>
      </c>
      <c r="TT30" s="50">
        <f>IF(EP30="","",COUNTIFS($D$25:$D$267,Parameters!$K$2,$E$25:$E$267,Parameters!$M$7,Calendrier!$C$25:$C$267,EP30)+ COUNTIFS($D$25:$D$267,Parameters!$K$3,$E$25:$E$267,Parameters!$M$7,Calendrier!$C$25:$C$267,EP30))</f>
        <v>0</v>
      </c>
      <c r="TU30" s="50">
        <f>IF(EQ30="","",COUNTIFS($D$25:$D$267,Parameters!$K$2,$E$25:$E$267,Parameters!$M$7,Calendrier!$C$25:$C$267,EQ30)+ COUNTIFS($D$25:$D$267,Parameters!$K$4,$E$25:$E$267,Parameters!$M$7,Calendrier!$C$25:$C$267,EQ30))</f>
        <v>0</v>
      </c>
      <c r="TV30" s="50">
        <f>IF(ER30="","",COUNTIFS($D$25:$D$267,Parameters!$K$2,$E$25:$E$267,Parameters!$M$7,Calendrier!$C$25:$C$267,ER30)+ COUNTIFS($D$25:$D$267,Parameters!$K$3,$E$25:$E$267,Parameters!$M$7,Calendrier!$C$25:$C$267,ER30))</f>
        <v>0</v>
      </c>
      <c r="TW30" s="50">
        <f>IF(ES30="","",COUNTIFS($D$25:$D$267,Parameters!$K$2,$E$25:$E$267,Parameters!$M$7,Calendrier!$C$25:$C$267,ES30)+ COUNTIFS($D$25:$D$267,Parameters!$K$4,$E$25:$E$267,Parameters!$M$7,Calendrier!$C$25:$C$267,ES30))</f>
        <v>0</v>
      </c>
      <c r="TX30" s="50">
        <f>IF(ET30="","",COUNTIFS($D$25:$D$267,Parameters!$K$2,$E$25:$E$267,Parameters!$M$7,Calendrier!$C$25:$C$267,ET30)+ COUNTIFS($D$25:$D$267,Parameters!$K$3,$E$25:$E$267,Parameters!$M$7,Calendrier!$C$25:$C$267,ET30))</f>
        <v>0</v>
      </c>
      <c r="TY30" s="50">
        <f>IF(EU30="","",COUNTIFS($D$25:$D$267,Parameters!$K$2,$E$25:$E$267,Parameters!$M$7,Calendrier!$C$25:$C$267,EU30)+ COUNTIFS($D$25:$D$267,Parameters!$K$4,$E$25:$E$267,Parameters!$M$7,Calendrier!$C$25:$C$267,EU30))</f>
        <v>0</v>
      </c>
      <c r="TZ30" s="50">
        <f>IF(EV30="","",COUNTIFS($D$25:$D$267,Parameters!$K$2,$E$25:$E$267,Parameters!$M$7,Calendrier!$C$25:$C$267,EV30)+ COUNTIFS($D$25:$D$267,Parameters!$K$3,$E$25:$E$267,Parameters!$M$7,Calendrier!$C$25:$C$267,EV30))</f>
        <v>0</v>
      </c>
      <c r="UA30" s="50">
        <f>IF(EW30="","",COUNTIFS($D$25:$D$267,Parameters!$K$2,$E$25:$E$267,Parameters!$M$7,Calendrier!$C$25:$C$267,EW30)+ COUNTIFS($D$25:$D$267,Parameters!$K$4,$E$25:$E$267,Parameters!$M$7,Calendrier!$C$25:$C$267,EW30))</f>
        <v>0</v>
      </c>
      <c r="UB30" s="50">
        <f>IF(EX30="","",COUNTIFS($D$25:$D$267,Parameters!$K$2,$E$25:$E$267,Parameters!$M$7,Calendrier!$C$25:$C$267,EX30)+ COUNTIFS($D$25:$D$267,Parameters!$K$3,$E$25:$E$267,Parameters!$M$7,Calendrier!$C$25:$C$267,EX30))</f>
        <v>0</v>
      </c>
      <c r="UC30" s="50">
        <f>IF(EY30="","",COUNTIFS($D$25:$D$267,Parameters!$K$2,$E$25:$E$267,Parameters!$M$7,Calendrier!$C$25:$C$267,EY30)+ COUNTIFS($D$25:$D$267,Parameters!$K$4,$E$25:$E$267,Parameters!$M$7,Calendrier!$C$25:$C$267,EY30))</f>
        <v>0</v>
      </c>
      <c r="UD30" s="50">
        <f>IF(EZ30="","",COUNTIFS($D$25:$D$267,Parameters!$K$2,$E$25:$E$267,Parameters!$M$7,Calendrier!$C$25:$C$267,EZ30)+ COUNTIFS($D$25:$D$267,Parameters!$K$3,$E$25:$E$267,Parameters!$M$7,Calendrier!$C$25:$C$267,EZ30))</f>
        <v>0</v>
      </c>
      <c r="UE30" s="57">
        <f>IF(FA30="","",COUNTIFS($D$25:$D$267,Parameters!$K$2,$E$25:$E$267,Parameters!$M$7,Calendrier!$C$25:$C$267,FA30)+ COUNTIFS($D$25:$D$267,Parameters!$K$4,$E$25:$E$267,Parameters!$M$7,Calendrier!$C$25:$C$267,FA30))</f>
        <v>0</v>
      </c>
    </row>
    <row r="31" spans="2:551" x14ac:dyDescent="0.3">
      <c r="B31" s="73">
        <f t="shared" si="317"/>
        <v>2025</v>
      </c>
      <c r="C31" s="27">
        <v>45826</v>
      </c>
      <c r="D31" s="30" t="s">
        <v>30</v>
      </c>
      <c r="E31" s="30" t="s">
        <v>36</v>
      </c>
      <c r="F31" s="61"/>
      <c r="G31" s="77"/>
      <c r="K31" s="31"/>
      <c r="L31" s="22">
        <f t="shared" ref="L31" si="412">X30+1</f>
        <v>20</v>
      </c>
      <c r="M31" s="23"/>
      <c r="N31" s="22">
        <f t="shared" si="376"/>
        <v>21</v>
      </c>
      <c r="O31" s="23"/>
      <c r="P31" s="22">
        <f t="shared" si="377"/>
        <v>22</v>
      </c>
      <c r="Q31" s="23"/>
      <c r="R31" s="22">
        <f t="shared" si="378"/>
        <v>23</v>
      </c>
      <c r="S31" s="23"/>
      <c r="T31" s="22">
        <f t="shared" si="379"/>
        <v>24</v>
      </c>
      <c r="U31" s="23"/>
      <c r="V31" s="22">
        <f t="shared" si="380"/>
        <v>25</v>
      </c>
      <c r="W31" s="23"/>
      <c r="X31" s="22">
        <f t="shared" si="381"/>
        <v>26</v>
      </c>
      <c r="Y31" s="23"/>
      <c r="Z31" s="31"/>
      <c r="AA31" s="31"/>
      <c r="AB31" s="22">
        <f t="shared" si="354"/>
        <v>17</v>
      </c>
      <c r="AC31" s="23"/>
      <c r="AD31" s="22">
        <f t="shared" si="382"/>
        <v>18</v>
      </c>
      <c r="AE31" s="23"/>
      <c r="AF31" s="22">
        <f t="shared" si="383"/>
        <v>19</v>
      </c>
      <c r="AG31" s="23"/>
      <c r="AH31" s="22">
        <f t="shared" si="384"/>
        <v>20</v>
      </c>
      <c r="AI31" s="23"/>
      <c r="AJ31" s="22">
        <f t="shared" si="385"/>
        <v>21</v>
      </c>
      <c r="AK31" s="23"/>
      <c r="AL31" s="22">
        <f t="shared" si="386"/>
        <v>22</v>
      </c>
      <c r="AM31" s="23"/>
      <c r="AN31" s="22">
        <f t="shared" si="387"/>
        <v>23</v>
      </c>
      <c r="AO31" s="23"/>
      <c r="AP31" s="31"/>
      <c r="AQ31" s="31"/>
      <c r="AR31" s="22">
        <f t="shared" ref="AR31" si="413">BD30+1</f>
        <v>21</v>
      </c>
      <c r="AS31" s="23"/>
      <c r="AT31" s="22">
        <f t="shared" si="388"/>
        <v>22</v>
      </c>
      <c r="AU31" s="23"/>
      <c r="AV31" s="22">
        <f t="shared" si="389"/>
        <v>23</v>
      </c>
      <c r="AW31" s="23"/>
      <c r="AX31" s="22">
        <f t="shared" si="390"/>
        <v>24</v>
      </c>
      <c r="AY31" s="23"/>
      <c r="AZ31" s="22">
        <f t="shared" si="391"/>
        <v>25</v>
      </c>
      <c r="BA31" s="23"/>
      <c r="BB31" s="22">
        <f t="shared" si="392"/>
        <v>26</v>
      </c>
      <c r="BC31" s="23"/>
      <c r="BD31" s="22">
        <f t="shared" si="393"/>
        <v>27</v>
      </c>
      <c r="BE31" s="23"/>
      <c r="BF31" s="31"/>
      <c r="BG31" s="31"/>
      <c r="BJ31" s="42"/>
      <c r="BK31" s="6">
        <v>7</v>
      </c>
      <c r="BL31" s="6">
        <v>7</v>
      </c>
      <c r="BM31" s="6">
        <v>7</v>
      </c>
      <c r="BN31" s="6">
        <v>7</v>
      </c>
      <c r="BO31" s="6">
        <v>7</v>
      </c>
      <c r="BP31" s="6">
        <v>7</v>
      </c>
      <c r="BQ31" s="6">
        <v>7</v>
      </c>
      <c r="BR31" s="6">
        <v>7</v>
      </c>
      <c r="BS31" s="6">
        <v>7</v>
      </c>
      <c r="BT31" s="6">
        <v>7</v>
      </c>
      <c r="BU31" s="6">
        <v>7</v>
      </c>
      <c r="BV31" s="6">
        <v>7</v>
      </c>
      <c r="BW31" s="6">
        <v>7</v>
      </c>
      <c r="CA31" s="6">
        <v>8</v>
      </c>
      <c r="CB31" s="6">
        <v>8</v>
      </c>
      <c r="CC31" s="6">
        <v>8</v>
      </c>
      <c r="CD31" s="6">
        <v>8</v>
      </c>
      <c r="CE31" s="6">
        <v>8</v>
      </c>
      <c r="CF31" s="6">
        <v>8</v>
      </c>
      <c r="CG31" s="6">
        <v>8</v>
      </c>
      <c r="CH31" s="6">
        <v>8</v>
      </c>
      <c r="CI31" s="6">
        <v>8</v>
      </c>
      <c r="CJ31" s="6">
        <v>8</v>
      </c>
      <c r="CK31" s="6">
        <v>8</v>
      </c>
      <c r="CL31" s="6">
        <v>8</v>
      </c>
      <c r="CM31" s="6">
        <v>8</v>
      </c>
      <c r="CQ31" s="6">
        <v>9</v>
      </c>
      <c r="CR31" s="6">
        <v>9</v>
      </c>
      <c r="CS31" s="6">
        <v>9</v>
      </c>
      <c r="CT31" s="6">
        <v>9</v>
      </c>
      <c r="CU31" s="6">
        <v>9</v>
      </c>
      <c r="CV31" s="6">
        <v>9</v>
      </c>
      <c r="CW31" s="6">
        <v>9</v>
      </c>
      <c r="CX31" s="6">
        <v>9</v>
      </c>
      <c r="CY31" s="6">
        <v>9</v>
      </c>
      <c r="CZ31" s="6">
        <v>9</v>
      </c>
      <c r="DA31" s="6">
        <v>9</v>
      </c>
      <c r="DB31" s="6">
        <v>9</v>
      </c>
      <c r="DC31" s="6">
        <v>9</v>
      </c>
      <c r="DG31" s="42"/>
      <c r="DH31" s="43">
        <f t="shared" si="355"/>
        <v>46223</v>
      </c>
      <c r="DI31" s="44">
        <f t="shared" ref="DI31" si="414">DH31</f>
        <v>46223</v>
      </c>
      <c r="DJ31" s="44">
        <f t="shared" si="318"/>
        <v>46224</v>
      </c>
      <c r="DK31" s="44">
        <f t="shared" ref="DK31" si="415">DJ31</f>
        <v>46224</v>
      </c>
      <c r="DL31" s="44">
        <f t="shared" si="320"/>
        <v>46225</v>
      </c>
      <c r="DM31" s="44">
        <f t="shared" ref="DM31" si="416">DL31</f>
        <v>46225</v>
      </c>
      <c r="DN31" s="44">
        <f t="shared" si="322"/>
        <v>46226</v>
      </c>
      <c r="DO31" s="44">
        <f t="shared" ref="DO31" si="417">DN31</f>
        <v>46226</v>
      </c>
      <c r="DP31" s="44">
        <f t="shared" si="324"/>
        <v>46227</v>
      </c>
      <c r="DQ31" s="44">
        <f t="shared" ref="DQ31" si="418">DP31</f>
        <v>46227</v>
      </c>
      <c r="DR31" s="44">
        <f t="shared" si="326"/>
        <v>46228</v>
      </c>
      <c r="DS31" s="44">
        <f t="shared" ref="DS31" si="419">DR31</f>
        <v>46228</v>
      </c>
      <c r="DT31" s="44">
        <f t="shared" si="328"/>
        <v>46229</v>
      </c>
      <c r="DU31" s="45">
        <f t="shared" si="329"/>
        <v>46229</v>
      </c>
      <c r="DX31" s="43">
        <f t="shared" si="362"/>
        <v>46251</v>
      </c>
      <c r="DY31" s="44">
        <f t="shared" ref="DY31" si="420">DX31</f>
        <v>46251</v>
      </c>
      <c r="DZ31" s="44">
        <f t="shared" si="330"/>
        <v>46252</v>
      </c>
      <c r="EA31" s="44">
        <f t="shared" ref="EA31" si="421">DZ31</f>
        <v>46252</v>
      </c>
      <c r="EB31" s="44">
        <f t="shared" si="332"/>
        <v>46253</v>
      </c>
      <c r="EC31" s="44">
        <f t="shared" ref="EC31" si="422">EB31</f>
        <v>46253</v>
      </c>
      <c r="ED31" s="44">
        <f t="shared" si="334"/>
        <v>46254</v>
      </c>
      <c r="EE31" s="44">
        <f t="shared" ref="EE31" si="423">ED31</f>
        <v>46254</v>
      </c>
      <c r="EF31" s="44">
        <f t="shared" si="336"/>
        <v>46255</v>
      </c>
      <c r="EG31" s="44">
        <f t="shared" ref="EG31" si="424">EF31</f>
        <v>46255</v>
      </c>
      <c r="EH31" s="44">
        <f t="shared" si="338"/>
        <v>46256</v>
      </c>
      <c r="EI31" s="44">
        <f t="shared" ref="EI31" si="425">EH31</f>
        <v>46256</v>
      </c>
      <c r="EJ31" s="44">
        <f t="shared" si="340"/>
        <v>46257</v>
      </c>
      <c r="EK31" s="45">
        <f t="shared" si="341"/>
        <v>46257</v>
      </c>
      <c r="EN31" s="43">
        <f t="shared" si="369"/>
        <v>46286</v>
      </c>
      <c r="EO31" s="44">
        <f t="shared" ref="EO31" si="426">EN31</f>
        <v>46286</v>
      </c>
      <c r="EP31" s="44">
        <f t="shared" si="342"/>
        <v>46287</v>
      </c>
      <c r="EQ31" s="44">
        <f t="shared" ref="EQ31" si="427">EP31</f>
        <v>46287</v>
      </c>
      <c r="ER31" s="44">
        <f t="shared" si="344"/>
        <v>46288</v>
      </c>
      <c r="ES31" s="44">
        <f t="shared" ref="ES31" si="428">ER31</f>
        <v>46288</v>
      </c>
      <c r="ET31" s="44">
        <f t="shared" si="346"/>
        <v>46289</v>
      </c>
      <c r="EU31" s="44">
        <f t="shared" ref="EU31" si="429">ET31</f>
        <v>46289</v>
      </c>
      <c r="EV31" s="44">
        <f t="shared" si="348"/>
        <v>46290</v>
      </c>
      <c r="EW31" s="44">
        <f t="shared" ref="EW31" si="430">EV31</f>
        <v>46290</v>
      </c>
      <c r="EX31" s="44">
        <f t="shared" si="350"/>
        <v>46291</v>
      </c>
      <c r="EY31" s="44">
        <f t="shared" ref="EY31" si="431">EX31</f>
        <v>46291</v>
      </c>
      <c r="EZ31" s="44">
        <f t="shared" si="352"/>
        <v>46292</v>
      </c>
      <c r="FA31" s="45">
        <f t="shared" si="353"/>
        <v>46292</v>
      </c>
      <c r="FE31" s="49">
        <f>COUNTIFS(Parameters!$S:$S,$D$4,Parameters!$Q:$Q,DH31)</f>
        <v>0</v>
      </c>
      <c r="FF31" s="50">
        <f>COUNTIFS(Parameters!$S:$S,$D$4,Parameters!$Q:$Q,DI31)</f>
        <v>0</v>
      </c>
      <c r="FG31" s="50">
        <f>COUNTIFS(Parameters!$S:$S,$D$4,Parameters!$Q:$Q,DJ31)</f>
        <v>0</v>
      </c>
      <c r="FH31" s="50">
        <f>COUNTIFS(Parameters!$S:$S,$D$4,Parameters!$Q:$Q,DK31)</f>
        <v>0</v>
      </c>
      <c r="FI31" s="50">
        <f>COUNTIFS(Parameters!$S:$S,$D$4,Parameters!$Q:$Q,DL31)</f>
        <v>0</v>
      </c>
      <c r="FJ31" s="50">
        <f>COUNTIFS(Parameters!$S:$S,$D$4,Parameters!$Q:$Q,DM31)</f>
        <v>0</v>
      </c>
      <c r="FK31" s="50">
        <f>COUNTIFS(Parameters!$S:$S,$D$4,Parameters!$Q:$Q,DN31)</f>
        <v>0</v>
      </c>
      <c r="FL31" s="50">
        <f>COUNTIFS(Parameters!$S:$S,$D$4,Parameters!$Q:$Q,DO31)</f>
        <v>0</v>
      </c>
      <c r="FM31" s="50">
        <f>COUNTIFS(Parameters!$S:$S,$D$4,Parameters!$Q:$Q,DP31)</f>
        <v>0</v>
      </c>
      <c r="FN31" s="50">
        <f>COUNTIFS(Parameters!$S:$S,$D$4,Parameters!$Q:$Q,DQ31)</f>
        <v>0</v>
      </c>
      <c r="FO31" s="50">
        <f>COUNTIFS(Parameters!$S:$S,$D$4,Parameters!$Q:$Q,DR31)</f>
        <v>0</v>
      </c>
      <c r="FP31" s="50">
        <f>COUNTIFS(Parameters!$S:$S,$D$4,Parameters!$Q:$Q,DS31)</f>
        <v>0</v>
      </c>
      <c r="FQ31" s="50">
        <f>COUNTIFS(Parameters!$S:$S,$D$4,Parameters!$Q:$Q,DT31)</f>
        <v>0</v>
      </c>
      <c r="FR31" s="57">
        <f>COUNTIFS(Parameters!$S:$S,$D$4,Parameters!$Q:$Q,DU31)</f>
        <v>0</v>
      </c>
      <c r="FU31" s="49">
        <f>COUNTIFS(Parameters!$S:$S,$D$4,Parameters!$Q:$Q,DX31)</f>
        <v>0</v>
      </c>
      <c r="FV31" s="50">
        <f>COUNTIFS(Parameters!$S:$S,$D$4,Parameters!$Q:$Q,DY31)</f>
        <v>0</v>
      </c>
      <c r="FW31" s="50">
        <f>COUNTIFS(Parameters!$S:$S,$D$4,Parameters!$Q:$Q,DZ31)</f>
        <v>0</v>
      </c>
      <c r="FX31" s="50">
        <f>COUNTIFS(Parameters!$S:$S,$D$4,Parameters!$Q:$Q,EA31)</f>
        <v>0</v>
      </c>
      <c r="FY31" s="50">
        <f>COUNTIFS(Parameters!$S:$S,$D$4,Parameters!$Q:$Q,EB31)</f>
        <v>0</v>
      </c>
      <c r="FZ31" s="50">
        <f>COUNTIFS(Parameters!$S:$S,$D$4,Parameters!$Q:$Q,EC31)</f>
        <v>0</v>
      </c>
      <c r="GA31" s="50">
        <f>COUNTIFS(Parameters!$S:$S,$D$4,Parameters!$Q:$Q,ED31)</f>
        <v>0</v>
      </c>
      <c r="GB31" s="50">
        <f>COUNTIFS(Parameters!$S:$S,$D$4,Parameters!$Q:$Q,EE31)</f>
        <v>0</v>
      </c>
      <c r="GC31" s="50">
        <f>COUNTIFS(Parameters!$S:$S,$D$4,Parameters!$Q:$Q,EF31)</f>
        <v>0</v>
      </c>
      <c r="GD31" s="50">
        <f>COUNTIFS(Parameters!$S:$S,$D$4,Parameters!$Q:$Q,EG31)</f>
        <v>0</v>
      </c>
      <c r="GE31" s="50">
        <f>COUNTIFS(Parameters!$S:$S,$D$4,Parameters!$Q:$Q,EH31)</f>
        <v>0</v>
      </c>
      <c r="GF31" s="50">
        <f>COUNTIFS(Parameters!$S:$S,$D$4,Parameters!$Q:$Q,EI31)</f>
        <v>0</v>
      </c>
      <c r="GG31" s="50">
        <f>COUNTIFS(Parameters!$S:$S,$D$4,Parameters!$Q:$Q,EJ31)</f>
        <v>0</v>
      </c>
      <c r="GH31" s="57">
        <f>COUNTIFS(Parameters!$S:$S,$D$4,Parameters!$Q:$Q,EK31)</f>
        <v>0</v>
      </c>
      <c r="GK31" s="49">
        <f>COUNTIFS(Parameters!$S:$S,$D$4,Parameters!$Q:$Q,EN31)</f>
        <v>0</v>
      </c>
      <c r="GL31" s="50">
        <f>COUNTIFS(Parameters!$S:$S,$D$4,Parameters!$Q:$Q,EO31)</f>
        <v>0</v>
      </c>
      <c r="GM31" s="50">
        <f>COUNTIFS(Parameters!$S:$S,$D$4,Parameters!$Q:$Q,EP31)</f>
        <v>0</v>
      </c>
      <c r="GN31" s="50">
        <f>COUNTIFS(Parameters!$S:$S,$D$4,Parameters!$Q:$Q,EQ31)</f>
        <v>0</v>
      </c>
      <c r="GO31" s="50">
        <f>COUNTIFS(Parameters!$S:$S,$D$4,Parameters!$Q:$Q,ER31)</f>
        <v>0</v>
      </c>
      <c r="GP31" s="50">
        <f>COUNTIFS(Parameters!$S:$S,$D$4,Parameters!$Q:$Q,ES31)</f>
        <v>0</v>
      </c>
      <c r="GQ31" s="50">
        <f>COUNTIFS(Parameters!$S:$S,$D$4,Parameters!$Q:$Q,ET31)</f>
        <v>0</v>
      </c>
      <c r="GR31" s="50">
        <f>COUNTIFS(Parameters!$S:$S,$D$4,Parameters!$Q:$Q,EU31)</f>
        <v>0</v>
      </c>
      <c r="GS31" s="50">
        <f>COUNTIFS(Parameters!$S:$S,$D$4,Parameters!$Q:$Q,EV31)</f>
        <v>0</v>
      </c>
      <c r="GT31" s="50">
        <f>COUNTIFS(Parameters!$S:$S,$D$4,Parameters!$Q:$Q,EW31)</f>
        <v>0</v>
      </c>
      <c r="GU31" s="50">
        <f>COUNTIFS(Parameters!$S:$S,$D$4,Parameters!$Q:$Q,EX31)</f>
        <v>0</v>
      </c>
      <c r="GV31" s="50">
        <f>COUNTIFS(Parameters!$S:$S,$D$4,Parameters!$Q:$Q,EY31)</f>
        <v>0</v>
      </c>
      <c r="GW31" s="50">
        <f>COUNTIFS(Parameters!$S:$S,$D$4,Parameters!$Q:$Q,EZ31)</f>
        <v>0</v>
      </c>
      <c r="GX31" s="57">
        <f>COUNTIFS(Parameters!$S:$S,$D$4,Parameters!$Q:$Q,FA31)</f>
        <v>0</v>
      </c>
      <c r="HB31" s="49">
        <f>IF(DH31="","",COUNTIFS($D$25:$D$267,Parameters!$K$2,$E$25:$E$267,Parameters!$M$2,Calendrier!$C$25:$C$267,DH31)+ COUNTIFS($D$25:$D$267,Parameters!$K$3,$E$25:$E$267,Parameters!$M$2,Calendrier!$C$25:$C$267,DH31))</f>
        <v>1</v>
      </c>
      <c r="HC31" s="50">
        <f>IF(DI31="","",COUNTIFS($D$25:$D$267,Parameters!$K$2,$E$25:$E$267,Parameters!$M$2,Calendrier!$C$25:$C$267,DI31)+ COUNTIFS($D$25:$D$267,Parameters!$K$4,$E$25:$E$267,Parameters!$M$2,Calendrier!$C$25:$C$267,DI31))</f>
        <v>1</v>
      </c>
      <c r="HD31" s="50">
        <f>IF(DJ31="","",COUNTIFS($D$25:$D$267,Parameters!$K$2,$E$25:$E$267,Parameters!$M$2,Calendrier!$C$25:$C$267,DJ31)+ COUNTIFS($D$25:$D$267,Parameters!$K$3,$E$25:$E$267,Parameters!$M$2,Calendrier!$C$25:$C$267,DJ31))</f>
        <v>1</v>
      </c>
      <c r="HE31" s="50">
        <f>IF(DK31="","",COUNTIFS($D$25:$D$267,Parameters!$K$2,$E$25:$E$267,Parameters!$M$2,Calendrier!$C$25:$C$267,DK31)+ COUNTIFS($D$25:$D$267,Parameters!$K$4,$E$25:$E$267,Parameters!$M$2,Calendrier!$C$25:$C$267,DK31))</f>
        <v>1</v>
      </c>
      <c r="HF31" s="50">
        <f>IF(DL31="","",COUNTIFS($D$25:$D$267,Parameters!$K$2,$E$25:$E$267,Parameters!$M$2,Calendrier!$C$25:$C$267,DL31)+ COUNTIFS($D$25:$D$267,Parameters!$K$3,$E$25:$E$267,Parameters!$M$2,Calendrier!$C$25:$C$267,DL31))</f>
        <v>1</v>
      </c>
      <c r="HG31" s="50">
        <f>IF(DM31="","",COUNTIFS($D$25:$D$267,Parameters!$K$2,$E$25:$E$267,Parameters!$M$2,Calendrier!$C$25:$C$267,DM31)+ COUNTIFS($D$25:$D$267,Parameters!$K$4,$E$25:$E$267,Parameters!$M$2,Calendrier!$C$25:$C$267,DM31))</f>
        <v>1</v>
      </c>
      <c r="HH31" s="50">
        <f>IF(DN31="","",COUNTIFS($D$25:$D$267,Parameters!$K$2,$E$25:$E$267,Parameters!$M$2,Calendrier!$C$25:$C$267,DN31)+ COUNTIFS($D$25:$D$267,Parameters!$K$3,$E$25:$E$267,Parameters!$M$2,Calendrier!$C$25:$C$267,DN31))</f>
        <v>1</v>
      </c>
      <c r="HI31" s="50">
        <f>IF(DO31="","",COUNTIFS($D$25:$D$267,Parameters!$K$2,$E$25:$E$267,Parameters!$M$2,Calendrier!$C$25:$C$267,DO31)+ COUNTIFS($D$25:$D$267,Parameters!$K$4,$E$25:$E$267,Parameters!$M$2,Calendrier!$C$25:$C$267,DO31))</f>
        <v>1</v>
      </c>
      <c r="HJ31" s="50">
        <f>IF(DP31="","",COUNTIFS($D$25:$D$267,Parameters!$K$2,$E$25:$E$267,Parameters!$M$2,Calendrier!$C$25:$C$267,DP31)+ COUNTIFS($D$25:$D$267,Parameters!$K$3,$E$25:$E$267,Parameters!$M$2,Calendrier!$C$25:$C$267,DP31))</f>
        <v>0</v>
      </c>
      <c r="HK31" s="50">
        <f>IF(DQ31="","",COUNTIFS($D$25:$D$267,Parameters!$K$2,$E$25:$E$267,Parameters!$M$2,Calendrier!$C$25:$C$267,DQ31)+ COUNTIFS($D$25:$D$267,Parameters!$K$4,$E$25:$E$267,Parameters!$M$2,Calendrier!$C$25:$C$267,DQ31))</f>
        <v>0</v>
      </c>
      <c r="HL31" s="50">
        <f>IF(DR31="","",COUNTIFS($D$25:$D$267,Parameters!$K$2,$E$25:$E$267,Parameters!$M$2,Calendrier!$C$25:$C$267,DR31)+ COUNTIFS($D$25:$D$267,Parameters!$K$3,$E$25:$E$267,Parameters!$M$2,Calendrier!$C$25:$C$267,DR31))</f>
        <v>0</v>
      </c>
      <c r="HM31" s="50">
        <f>IF(DS31="","",COUNTIFS($D$25:$D$267,Parameters!$K$2,$E$25:$E$267,Parameters!$M$2,Calendrier!$C$25:$C$267,DS31)+ COUNTIFS($D$25:$D$267,Parameters!$K$4,$E$25:$E$267,Parameters!$M$2,Calendrier!$C$25:$C$267,DS31))</f>
        <v>0</v>
      </c>
      <c r="HN31" s="50">
        <f>IF(DT31="","",COUNTIFS($D$25:$D$267,Parameters!$K$2,$E$25:$E$267,Parameters!$M$2,Calendrier!$C$25:$C$267,DT31)+ COUNTIFS($D$25:$D$267,Parameters!$K$3,$E$25:$E$267,Parameters!$M$2,Calendrier!$C$25:$C$267,DT31))</f>
        <v>0</v>
      </c>
      <c r="HO31" s="57">
        <f>IF(DU31="","",COUNTIFS($D$25:$D$267,Parameters!$K$2,$E$25:$E$267,Parameters!$M$2,Calendrier!$C$25:$C$267,DU31)+ COUNTIFS($D$25:$D$267,Parameters!$K$4,$E$25:$E$267,Parameters!$M$2,Calendrier!$C$25:$C$267,DU31))</f>
        <v>0</v>
      </c>
      <c r="HR31" s="49">
        <f>IF(DX31="","",COUNTIFS($D$25:$D$267,Parameters!$K$2,$E$25:$E$267,Parameters!$M$2,Calendrier!$C$25:$C$267,DX31)+ COUNTIFS($D$25:$D$267,Parameters!$K$3,$E$25:$E$267,Parameters!$M$2,Calendrier!$C$25:$C$267,DX31))</f>
        <v>0</v>
      </c>
      <c r="HS31" s="50">
        <f>IF(DY31="","",COUNTIFS($D$25:$D$267,Parameters!$K$2,$E$25:$E$267,Parameters!$M$2,Calendrier!$C$25:$C$267,DY31)+ COUNTIFS($D$25:$D$267,Parameters!$K$4,$E$25:$E$267,Parameters!$M$2,Calendrier!$C$25:$C$267,DY31))</f>
        <v>0</v>
      </c>
      <c r="HT31" s="50">
        <f>IF(DZ31="","",COUNTIFS($D$25:$D$267,Parameters!$K$2,$E$25:$E$267,Parameters!$M$2,Calendrier!$C$25:$C$267,DZ31)+ COUNTIFS($D$25:$D$267,Parameters!$K$3,$E$25:$E$267,Parameters!$M$2,Calendrier!$C$25:$C$267,DZ31))</f>
        <v>0</v>
      </c>
      <c r="HU31" s="50">
        <f>IF(EA31="","",COUNTIFS($D$25:$D$267,Parameters!$K$2,$E$25:$E$267,Parameters!$M$2,Calendrier!$C$25:$C$267,EA31)+ COUNTIFS($D$25:$D$267,Parameters!$K$4,$E$25:$E$267,Parameters!$M$2,Calendrier!$C$25:$C$267,EA31))</f>
        <v>0</v>
      </c>
      <c r="HV31" s="50">
        <f>IF(EB31="","",COUNTIFS($D$25:$D$267,Parameters!$K$2,$E$25:$E$267,Parameters!$M$2,Calendrier!$C$25:$C$267,EB31)+ COUNTIFS($D$25:$D$267,Parameters!$K$3,$E$25:$E$267,Parameters!$M$2,Calendrier!$C$25:$C$267,EB31))</f>
        <v>0</v>
      </c>
      <c r="HW31" s="50">
        <f>IF(EC31="","",COUNTIFS($D$25:$D$267,Parameters!$K$2,$E$25:$E$267,Parameters!$M$2,Calendrier!$C$25:$C$267,EC31)+ COUNTIFS($D$25:$D$267,Parameters!$K$4,$E$25:$E$267,Parameters!$M$2,Calendrier!$C$25:$C$267,EC31))</f>
        <v>0</v>
      </c>
      <c r="HX31" s="50">
        <f>IF(ED31="","",COUNTIFS($D$25:$D$267,Parameters!$K$2,$E$25:$E$267,Parameters!$M$2,Calendrier!$C$25:$C$267,ED31)+ COUNTIFS($D$25:$D$267,Parameters!$K$3,$E$25:$E$267,Parameters!$M$2,Calendrier!$C$25:$C$267,ED31))</f>
        <v>0</v>
      </c>
      <c r="HY31" s="50">
        <f>IF(EE31="","",COUNTIFS($D$25:$D$267,Parameters!$K$2,$E$25:$E$267,Parameters!$M$2,Calendrier!$C$25:$C$267,EE31)+ COUNTIFS($D$25:$D$267,Parameters!$K$4,$E$25:$E$267,Parameters!$M$2,Calendrier!$C$25:$C$267,EE31))</f>
        <v>0</v>
      </c>
      <c r="HZ31" s="50">
        <f>IF(EF31="","",COUNTIFS($D$25:$D$267,Parameters!$K$2,$E$25:$E$267,Parameters!$M$2,Calendrier!$C$25:$C$267,EF31)+ COUNTIFS($D$25:$D$267,Parameters!$K$3,$E$25:$E$267,Parameters!$M$2,Calendrier!$C$25:$C$267,EF31))</f>
        <v>0</v>
      </c>
      <c r="IA31" s="50">
        <f>IF(EG31="","",COUNTIFS($D$25:$D$267,Parameters!$K$2,$E$25:$E$267,Parameters!$M$2,Calendrier!$C$25:$C$267,EG31)+ COUNTIFS($D$25:$D$267,Parameters!$K$4,$E$25:$E$267,Parameters!$M$2,Calendrier!$C$25:$C$267,EG31))</f>
        <v>0</v>
      </c>
      <c r="IB31" s="50">
        <f>IF(EH31="","",COUNTIFS($D$25:$D$267,Parameters!$K$2,$E$25:$E$267,Parameters!$M$2,Calendrier!$C$25:$C$267,EH31)+ COUNTIFS($D$25:$D$267,Parameters!$K$3,$E$25:$E$267,Parameters!$M$2,Calendrier!$C$25:$C$267,EH31))</f>
        <v>0</v>
      </c>
      <c r="IC31" s="50">
        <f>IF(EI31="","",COUNTIFS($D$25:$D$267,Parameters!$K$2,$E$25:$E$267,Parameters!$M$2,Calendrier!$C$25:$C$267,EI31)+ COUNTIFS($D$25:$D$267,Parameters!$K$4,$E$25:$E$267,Parameters!$M$2,Calendrier!$C$25:$C$267,EI31))</f>
        <v>0</v>
      </c>
      <c r="ID31" s="50">
        <f>IF(EJ31="","",COUNTIFS($D$25:$D$267,Parameters!$K$2,$E$25:$E$267,Parameters!$M$2,Calendrier!$C$25:$C$267,EJ31)+ COUNTIFS($D$25:$D$267,Parameters!$K$3,$E$25:$E$267,Parameters!$M$2,Calendrier!$C$25:$C$267,EJ31))</f>
        <v>0</v>
      </c>
      <c r="IE31" s="57">
        <f>IF(EK31="","",COUNTIFS($D$25:$D$267,Parameters!$K$2,$E$25:$E$267,Parameters!$M$2,Calendrier!$C$25:$C$267,EK31)+ COUNTIFS($D$25:$D$267,Parameters!$K$4,$E$25:$E$267,Parameters!$M$2,Calendrier!$C$25:$C$267,EK31))</f>
        <v>0</v>
      </c>
      <c r="IH31" s="49">
        <f>IF(EN31="","",COUNTIFS($D$25:$D$267,Parameters!$K$2,$E$25:$E$267,Parameters!$M$2,Calendrier!$C$25:$C$267,EN31)+ COUNTIFS($D$25:$D$267,Parameters!$K$3,$E$25:$E$267,Parameters!$M$2,Calendrier!$C$25:$C$267,EN31))</f>
        <v>0</v>
      </c>
      <c r="II31" s="50">
        <f>IF(EO31="","",COUNTIFS($D$25:$D$267,Parameters!$K$2,$E$25:$E$267,Parameters!$M$2,Calendrier!$C$25:$C$267,EO31)+ COUNTIFS($D$25:$D$267,Parameters!$K$4,$E$25:$E$267,Parameters!$M$2,Calendrier!$C$25:$C$267,EO31))</f>
        <v>0</v>
      </c>
      <c r="IJ31" s="50">
        <f>IF(EP31="","",COUNTIFS($D$25:$D$267,Parameters!$K$2,$E$25:$E$267,Parameters!$M$2,Calendrier!$C$25:$C$267,EP31)+ COUNTIFS($D$25:$D$267,Parameters!$K$3,$E$25:$E$267,Parameters!$M$2,Calendrier!$C$25:$C$267,EP31))</f>
        <v>0</v>
      </c>
      <c r="IK31" s="50">
        <f>IF(EQ31="","",COUNTIFS($D$25:$D$267,Parameters!$K$2,$E$25:$E$267,Parameters!$M$2,Calendrier!$C$25:$C$267,EQ31)+ COUNTIFS($D$25:$D$267,Parameters!$K$4,$E$25:$E$267,Parameters!$M$2,Calendrier!$C$25:$C$267,EQ31))</f>
        <v>0</v>
      </c>
      <c r="IL31" s="50">
        <f>IF(ER31="","",COUNTIFS($D$25:$D$267,Parameters!$K$2,$E$25:$E$267,Parameters!$M$2,Calendrier!$C$25:$C$267,ER31)+ COUNTIFS($D$25:$D$267,Parameters!$K$3,$E$25:$E$267,Parameters!$M$2,Calendrier!$C$25:$C$267,ER31))</f>
        <v>0</v>
      </c>
      <c r="IM31" s="50">
        <f>IF(ES31="","",COUNTIFS($D$25:$D$267,Parameters!$K$2,$E$25:$E$267,Parameters!$M$2,Calendrier!$C$25:$C$267,ES31)+ COUNTIFS($D$25:$D$267,Parameters!$K$4,$E$25:$E$267,Parameters!$M$2,Calendrier!$C$25:$C$267,ES31))</f>
        <v>0</v>
      </c>
      <c r="IN31" s="50">
        <f>IF(ET31="","",COUNTIFS($D$25:$D$267,Parameters!$K$2,$E$25:$E$267,Parameters!$M$2,Calendrier!$C$25:$C$267,ET31)+ COUNTIFS($D$25:$D$267,Parameters!$K$3,$E$25:$E$267,Parameters!$M$2,Calendrier!$C$25:$C$267,ET31))</f>
        <v>0</v>
      </c>
      <c r="IO31" s="50">
        <f>IF(EU31="","",COUNTIFS($D$25:$D$267,Parameters!$K$2,$E$25:$E$267,Parameters!$M$2,Calendrier!$C$25:$C$267,EU31)+ COUNTIFS($D$25:$D$267,Parameters!$K$4,$E$25:$E$267,Parameters!$M$2,Calendrier!$C$25:$C$267,EU31))</f>
        <v>0</v>
      </c>
      <c r="IP31" s="50">
        <f>IF(EV31="","",COUNTIFS($D$25:$D$267,Parameters!$K$2,$E$25:$E$267,Parameters!$M$2,Calendrier!$C$25:$C$267,EV31)+ COUNTIFS($D$25:$D$267,Parameters!$K$3,$E$25:$E$267,Parameters!$M$2,Calendrier!$C$25:$C$267,EV31))</f>
        <v>0</v>
      </c>
      <c r="IQ31" s="50">
        <f>IF(EW31="","",COUNTIFS($D$25:$D$267,Parameters!$K$2,$E$25:$E$267,Parameters!$M$2,Calendrier!$C$25:$C$267,EW31)+ COUNTIFS($D$25:$D$267,Parameters!$K$4,$E$25:$E$267,Parameters!$M$2,Calendrier!$C$25:$C$267,EW31))</f>
        <v>0</v>
      </c>
      <c r="IR31" s="50">
        <f>IF(EX31="","",COUNTIFS($D$25:$D$267,Parameters!$K$2,$E$25:$E$267,Parameters!$M$2,Calendrier!$C$25:$C$267,EX31)+ COUNTIFS($D$25:$D$267,Parameters!$K$3,$E$25:$E$267,Parameters!$M$2,Calendrier!$C$25:$C$267,EX31))</f>
        <v>0</v>
      </c>
      <c r="IS31" s="50">
        <f>IF(EY31="","",COUNTIFS($D$25:$D$267,Parameters!$K$2,$E$25:$E$267,Parameters!$M$2,Calendrier!$C$25:$C$267,EY31)+ COUNTIFS($D$25:$D$267,Parameters!$K$4,$E$25:$E$267,Parameters!$M$2,Calendrier!$C$25:$C$267,EY31))</f>
        <v>0</v>
      </c>
      <c r="IT31" s="50">
        <f>IF(EZ31="","",COUNTIFS($D$25:$D$267,Parameters!$K$2,$E$25:$E$267,Parameters!$M$2,Calendrier!$C$25:$C$267,EZ31)+ COUNTIFS($D$25:$D$267,Parameters!$K$3,$E$25:$E$267,Parameters!$M$2,Calendrier!$C$25:$C$267,EZ31))</f>
        <v>0</v>
      </c>
      <c r="IU31" s="57">
        <f>IF(FA31="","",COUNTIFS($D$25:$D$267,Parameters!$K$2,$E$25:$E$267,Parameters!$M$2,Calendrier!$C$25:$C$267,FA31)+ COUNTIFS($D$25:$D$267,Parameters!$K$4,$E$25:$E$267,Parameters!$M$2,Calendrier!$C$25:$C$267,FA31))</f>
        <v>0</v>
      </c>
      <c r="IY31" s="49">
        <f>IF(DH31="","",COUNTIFS($D$25:$D$267,Parameters!$K$2,$E$25:$E$267,Parameters!$M$3,Calendrier!$C$25:$C$267,DH31)+ COUNTIFS($D$25:$D$267,Parameters!$K$3,$E$25:$E$267,Parameters!$M$3,Calendrier!$C$25:$C$267,DH31))</f>
        <v>0</v>
      </c>
      <c r="IZ31" s="50">
        <f>IF(DI31="","",COUNTIFS($D$25:$D$267,Parameters!$K$2,$E$25:$E$267,Parameters!$M$3,Calendrier!$C$25:$C$267,DI31)+ COUNTIFS($D$25:$D$267,Parameters!$K$4,$E$25:$E$267,Parameters!$M$3,Calendrier!$C$25:$C$267,DI31))</f>
        <v>0</v>
      </c>
      <c r="JA31" s="50">
        <f>IF(DJ31="","",COUNTIFS($D$25:$D$267,Parameters!$K$2,$E$25:$E$267,Parameters!$M$3,Calendrier!$C$25:$C$267,DJ31)+ COUNTIFS($D$25:$D$267,Parameters!$K$3,$E$25:$E$267,Parameters!$M$3,Calendrier!$C$25:$C$267,DJ31))</f>
        <v>0</v>
      </c>
      <c r="JB31" s="50">
        <f>IF(DK31="","",COUNTIFS($D$25:$D$267,Parameters!$K$2,$E$25:$E$267,Parameters!$M$3,Calendrier!$C$25:$C$267,DK31)+ COUNTIFS($D$25:$D$267,Parameters!$K$4,$E$25:$E$267,Parameters!$M$3,Calendrier!$C$25:$C$267,DK31))</f>
        <v>0</v>
      </c>
      <c r="JC31" s="50">
        <f>IF(DL31="","",COUNTIFS($D$25:$D$267,Parameters!$K$2,$E$25:$E$267,Parameters!$M$3,Calendrier!$C$25:$C$267,DL31)+ COUNTIFS($D$25:$D$267,Parameters!$K$3,$E$25:$E$267,Parameters!$M$3,Calendrier!$C$25:$C$267,DL31))</f>
        <v>0</v>
      </c>
      <c r="JD31" s="50">
        <f>IF(DM31="","",COUNTIFS($D$25:$D$267,Parameters!$K$2,$E$25:$E$267,Parameters!$M$3,Calendrier!$C$25:$C$267,DM31)+ COUNTIFS($D$25:$D$267,Parameters!$K$4,$E$25:$E$267,Parameters!$M$3,Calendrier!$C$25:$C$267,DM31))</f>
        <v>0</v>
      </c>
      <c r="JE31" s="50">
        <f>IF(DN31="","",COUNTIFS($D$25:$D$267,Parameters!$K$2,$E$25:$E$267,Parameters!$M$3,Calendrier!$C$25:$C$267,DN31)+ COUNTIFS($D$25:$D$267,Parameters!$K$3,$E$25:$E$267,Parameters!$M$3,Calendrier!$C$25:$C$267,DN31))</f>
        <v>0</v>
      </c>
      <c r="JF31" s="50">
        <f>IF(DO31="","",COUNTIFS($D$25:$D$267,Parameters!$K$2,$E$25:$E$267,Parameters!$M$3,Calendrier!$C$25:$C$267,DO31)+ COUNTIFS($D$25:$D$267,Parameters!$K$4,$E$25:$E$267,Parameters!$M$3,Calendrier!$C$25:$C$267,DO31))</f>
        <v>0</v>
      </c>
      <c r="JG31" s="50">
        <f>IF(DP31="","",COUNTIFS($D$25:$D$267,Parameters!$K$2,$E$25:$E$267,Parameters!$M$3,Calendrier!$C$25:$C$267,DP31)+ COUNTIFS($D$25:$D$267,Parameters!$K$3,$E$25:$E$267,Parameters!$M$3,Calendrier!$C$25:$C$267,DP31))</f>
        <v>0</v>
      </c>
      <c r="JH31" s="50">
        <f>IF(DQ31="","",COUNTIFS($D$25:$D$267,Parameters!$K$2,$E$25:$E$267,Parameters!$M$3,Calendrier!$C$25:$C$267,DQ31)+ COUNTIFS($D$25:$D$267,Parameters!$K$4,$E$25:$E$267,Parameters!$M$3,Calendrier!$C$25:$C$267,DQ31))</f>
        <v>0</v>
      </c>
      <c r="JI31" s="50">
        <f>IF(DR31="","",COUNTIFS($D$25:$D$267,Parameters!$K$2,$E$25:$E$267,Parameters!$M$3,Calendrier!$C$25:$C$267,DR31)+ COUNTIFS($D$25:$D$267,Parameters!$K$3,$E$25:$E$267,Parameters!$M$3,Calendrier!$C$25:$C$267,DR31))</f>
        <v>0</v>
      </c>
      <c r="JJ31" s="50">
        <f>IF(DS31="","",COUNTIFS($D$25:$D$267,Parameters!$K$2,$E$25:$E$267,Parameters!$M$3,Calendrier!$C$25:$C$267,DS31)+ COUNTIFS($D$25:$D$267,Parameters!$K$4,$E$25:$E$267,Parameters!$M$3,Calendrier!$C$25:$C$267,DS31))</f>
        <v>0</v>
      </c>
      <c r="JK31" s="50">
        <f>IF(DT31="","",COUNTIFS($D$25:$D$267,Parameters!$K$2,$E$25:$E$267,Parameters!$M$3,Calendrier!$C$25:$C$267,DT31)+ COUNTIFS($D$25:$D$267,Parameters!$K$3,$E$25:$E$267,Parameters!$M$3,Calendrier!$C$25:$C$267,DT31))</f>
        <v>0</v>
      </c>
      <c r="JL31" s="57">
        <f>IF(DU31="","",COUNTIFS($D$25:$D$267,Parameters!$K$2,$E$25:$E$267,Parameters!$M$3,Calendrier!$C$25:$C$267,DU31)+ COUNTIFS($D$25:$D$267,Parameters!$K$4,$E$25:$E$267,Parameters!$M$3,Calendrier!$C$25:$C$267,DU31))</f>
        <v>0</v>
      </c>
      <c r="JO31" s="49">
        <f>IF(DX31="","",COUNTIFS($D$25:$D$267,Parameters!$K$2,$E$25:$E$267,Parameters!$M$3,Calendrier!$C$25:$C$267,DX31)+ COUNTIFS($D$25:$D$267,Parameters!$K$3,$E$25:$E$267,Parameters!$M$3,Calendrier!$C$25:$C$267,DX31))</f>
        <v>0</v>
      </c>
      <c r="JP31" s="50">
        <f>IF(DY31="","",COUNTIFS($D$25:$D$267,Parameters!$K$2,$E$25:$E$267,Parameters!$M$3,Calendrier!$C$25:$C$267,DY31)+ COUNTIFS($D$25:$D$267,Parameters!$K$4,$E$25:$E$267,Parameters!$M$3,Calendrier!$C$25:$C$267,DY31))</f>
        <v>0</v>
      </c>
      <c r="JQ31" s="50">
        <f>IF(DZ31="","",COUNTIFS($D$25:$D$267,Parameters!$K$2,$E$25:$E$267,Parameters!$M$3,Calendrier!$C$25:$C$267,DZ31)+ COUNTIFS($D$25:$D$267,Parameters!$K$3,$E$25:$E$267,Parameters!$M$3,Calendrier!$C$25:$C$267,DZ31))</f>
        <v>0</v>
      </c>
      <c r="JR31" s="50">
        <f>IF(EA31="","",COUNTIFS($D$25:$D$267,Parameters!$K$2,$E$25:$E$267,Parameters!$M$3,Calendrier!$C$25:$C$267,EA31)+ COUNTIFS($D$25:$D$267,Parameters!$K$4,$E$25:$E$267,Parameters!$M$3,Calendrier!$C$25:$C$267,EA31))</f>
        <v>0</v>
      </c>
      <c r="JS31" s="50">
        <f>IF(EB31="","",COUNTIFS($D$25:$D$267,Parameters!$K$2,$E$25:$E$267,Parameters!$M$3,Calendrier!$C$25:$C$267,EB31)+ COUNTIFS($D$25:$D$267,Parameters!$K$3,$E$25:$E$267,Parameters!$M$3,Calendrier!$C$25:$C$267,EB31))</f>
        <v>0</v>
      </c>
      <c r="JT31" s="50">
        <f>IF(EC31="","",COUNTIFS($D$25:$D$267,Parameters!$K$2,$E$25:$E$267,Parameters!$M$3,Calendrier!$C$25:$C$267,EC31)+ COUNTIFS($D$25:$D$267,Parameters!$K$4,$E$25:$E$267,Parameters!$M$3,Calendrier!$C$25:$C$267,EC31))</f>
        <v>0</v>
      </c>
      <c r="JU31" s="50">
        <f>IF(ED31="","",COUNTIFS($D$25:$D$267,Parameters!$K$2,$E$25:$E$267,Parameters!$M$3,Calendrier!$C$25:$C$267,ED31)+ COUNTIFS($D$25:$D$267,Parameters!$K$3,$E$25:$E$267,Parameters!$M$3,Calendrier!$C$25:$C$267,ED31))</f>
        <v>0</v>
      </c>
      <c r="JV31" s="50">
        <f>IF(EE31="","",COUNTIFS($D$25:$D$267,Parameters!$K$2,$E$25:$E$267,Parameters!$M$3,Calendrier!$C$25:$C$267,EE31)+ COUNTIFS($D$25:$D$267,Parameters!$K$4,$E$25:$E$267,Parameters!$M$3,Calendrier!$C$25:$C$267,EE31))</f>
        <v>0</v>
      </c>
      <c r="JW31" s="50">
        <f>IF(EF31="","",COUNTIFS($D$25:$D$267,Parameters!$K$2,$E$25:$E$267,Parameters!$M$3,Calendrier!$C$25:$C$267,EF31)+ COUNTIFS($D$25:$D$267,Parameters!$K$3,$E$25:$E$267,Parameters!$M$3,Calendrier!$C$25:$C$267,EF31))</f>
        <v>0</v>
      </c>
      <c r="JX31" s="50">
        <f>IF(EG31="","",COUNTIFS($D$25:$D$267,Parameters!$K$2,$E$25:$E$267,Parameters!$M$3,Calendrier!$C$25:$C$267,EG31)+ COUNTIFS($D$25:$D$267,Parameters!$K$4,$E$25:$E$267,Parameters!$M$3,Calendrier!$C$25:$C$267,EG31))</f>
        <v>0</v>
      </c>
      <c r="JY31" s="50">
        <f>IF(EH31="","",COUNTIFS($D$25:$D$267,Parameters!$K$2,$E$25:$E$267,Parameters!$M$3,Calendrier!$C$25:$C$267,EH31)+ COUNTIFS($D$25:$D$267,Parameters!$K$3,$E$25:$E$267,Parameters!$M$3,Calendrier!$C$25:$C$267,EH31))</f>
        <v>0</v>
      </c>
      <c r="JZ31" s="50">
        <f>IF(EI31="","",COUNTIFS($D$25:$D$267,Parameters!$K$2,$E$25:$E$267,Parameters!$M$3,Calendrier!$C$25:$C$267,EI31)+ COUNTIFS($D$25:$D$267,Parameters!$K$4,$E$25:$E$267,Parameters!$M$3,Calendrier!$C$25:$C$267,EI31))</f>
        <v>0</v>
      </c>
      <c r="KA31" s="50">
        <f>IF(EJ31="","",COUNTIFS($D$25:$D$267,Parameters!$K$2,$E$25:$E$267,Parameters!$M$3,Calendrier!$C$25:$C$267,EJ31)+ COUNTIFS($D$25:$D$267,Parameters!$K$3,$E$25:$E$267,Parameters!$M$3,Calendrier!$C$25:$C$267,EJ31))</f>
        <v>0</v>
      </c>
      <c r="KB31" s="57">
        <f>IF(EK31="","",COUNTIFS($D$25:$D$267,Parameters!$K$2,$E$25:$E$267,Parameters!$M$3,Calendrier!$C$25:$C$267,EK31)+ COUNTIFS($D$25:$D$267,Parameters!$K$4,$E$25:$E$267,Parameters!$M$3,Calendrier!$C$25:$C$267,EK31))</f>
        <v>0</v>
      </c>
      <c r="KE31" s="49">
        <f>IF(EN31="","",COUNTIFS($D$25:$D$267,Parameters!$K$2,$E$25:$E$267,Parameters!$M$3,Calendrier!$C$25:$C$267,EN31)+ COUNTIFS($D$25:$D$267,Parameters!$K$3,$E$25:$E$267,Parameters!$M$3,Calendrier!$C$25:$C$267,EN31))</f>
        <v>0</v>
      </c>
      <c r="KF31" s="50">
        <f>IF(EO31="","",COUNTIFS($D$25:$D$267,Parameters!$K$2,$E$25:$E$267,Parameters!$M$3,Calendrier!$C$25:$C$267,EO31)+ COUNTIFS($D$25:$D$267,Parameters!$K$4,$E$25:$E$267,Parameters!$M$3,Calendrier!$C$25:$C$267,EO31))</f>
        <v>0</v>
      </c>
      <c r="KG31" s="50">
        <f>IF(EP31="","",COUNTIFS($D$25:$D$267,Parameters!$K$2,$E$25:$E$267,Parameters!$M$3,Calendrier!$C$25:$C$267,EP31)+ COUNTIFS($D$25:$D$267,Parameters!$K$3,$E$25:$E$267,Parameters!$M$3,Calendrier!$C$25:$C$267,EP31))</f>
        <v>0</v>
      </c>
      <c r="KH31" s="50">
        <f>IF(EQ31="","",COUNTIFS($D$25:$D$267,Parameters!$K$2,$E$25:$E$267,Parameters!$M$3,Calendrier!$C$25:$C$267,EQ31)+ COUNTIFS($D$25:$D$267,Parameters!$K$4,$E$25:$E$267,Parameters!$M$3,Calendrier!$C$25:$C$267,EQ31))</f>
        <v>0</v>
      </c>
      <c r="KI31" s="50">
        <f>IF(ER31="","",COUNTIFS($D$25:$D$267,Parameters!$K$2,$E$25:$E$267,Parameters!$M$3,Calendrier!$C$25:$C$267,ER31)+ COUNTIFS($D$25:$D$267,Parameters!$K$3,$E$25:$E$267,Parameters!$M$3,Calendrier!$C$25:$C$267,ER31))</f>
        <v>0</v>
      </c>
      <c r="KJ31" s="50">
        <f>IF(ES31="","",COUNTIFS($D$25:$D$267,Parameters!$K$2,$E$25:$E$267,Parameters!$M$3,Calendrier!$C$25:$C$267,ES31)+ COUNTIFS($D$25:$D$267,Parameters!$K$4,$E$25:$E$267,Parameters!$M$3,Calendrier!$C$25:$C$267,ES31))</f>
        <v>0</v>
      </c>
      <c r="KK31" s="50">
        <f>IF(ET31="","",COUNTIFS($D$25:$D$267,Parameters!$K$2,$E$25:$E$267,Parameters!$M$3,Calendrier!$C$25:$C$267,ET31)+ COUNTIFS($D$25:$D$267,Parameters!$K$3,$E$25:$E$267,Parameters!$M$3,Calendrier!$C$25:$C$267,ET31))</f>
        <v>0</v>
      </c>
      <c r="KL31" s="50">
        <f>IF(EU31="","",COUNTIFS($D$25:$D$267,Parameters!$K$2,$E$25:$E$267,Parameters!$M$3,Calendrier!$C$25:$C$267,EU31)+ COUNTIFS($D$25:$D$267,Parameters!$K$4,$E$25:$E$267,Parameters!$M$3,Calendrier!$C$25:$C$267,EU31))</f>
        <v>0</v>
      </c>
      <c r="KM31" s="50">
        <f>IF(EV31="","",COUNTIFS($D$25:$D$267,Parameters!$K$2,$E$25:$E$267,Parameters!$M$3,Calendrier!$C$25:$C$267,EV31)+ COUNTIFS($D$25:$D$267,Parameters!$K$3,$E$25:$E$267,Parameters!$M$3,Calendrier!$C$25:$C$267,EV31))</f>
        <v>0</v>
      </c>
      <c r="KN31" s="50">
        <f>IF(EW31="","",COUNTIFS($D$25:$D$267,Parameters!$K$2,$E$25:$E$267,Parameters!$M$3,Calendrier!$C$25:$C$267,EW31)+ COUNTIFS($D$25:$D$267,Parameters!$K$4,$E$25:$E$267,Parameters!$M$3,Calendrier!$C$25:$C$267,EW31))</f>
        <v>0</v>
      </c>
      <c r="KO31" s="50">
        <f>IF(EX31="","",COUNTIFS($D$25:$D$267,Parameters!$K$2,$E$25:$E$267,Parameters!$M$3,Calendrier!$C$25:$C$267,EX31)+ COUNTIFS($D$25:$D$267,Parameters!$K$3,$E$25:$E$267,Parameters!$M$3,Calendrier!$C$25:$C$267,EX31))</f>
        <v>0</v>
      </c>
      <c r="KP31" s="50">
        <f>IF(EY31="","",COUNTIFS($D$25:$D$267,Parameters!$K$2,$E$25:$E$267,Parameters!$M$3,Calendrier!$C$25:$C$267,EY31)+ COUNTIFS($D$25:$D$267,Parameters!$K$4,$E$25:$E$267,Parameters!$M$3,Calendrier!$C$25:$C$267,EY31))</f>
        <v>0</v>
      </c>
      <c r="KQ31" s="50">
        <f>IF(EZ31="","",COUNTIFS($D$25:$D$267,Parameters!$K$2,$E$25:$E$267,Parameters!$M$3,Calendrier!$C$25:$C$267,EZ31)+ COUNTIFS($D$25:$D$267,Parameters!$K$3,$E$25:$E$267,Parameters!$M$3,Calendrier!$C$25:$C$267,EZ31))</f>
        <v>0</v>
      </c>
      <c r="KR31" s="57">
        <f>IF(FA31="","",COUNTIFS($D$25:$D$267,Parameters!$K$2,$E$25:$E$267,Parameters!$M$3,Calendrier!$C$25:$C$267,FA31)+ COUNTIFS($D$25:$D$267,Parameters!$K$4,$E$25:$E$267,Parameters!$M$3,Calendrier!$C$25:$C$267,FA31))</f>
        <v>0</v>
      </c>
      <c r="KV31" s="49">
        <f>IF(DH31="","",COUNTIFS($D$25:$D$267,Parameters!$K$2,$E$25:$E$267,Parameters!$M$4,Calendrier!$C$25:$C$267,DH31)+ COUNTIFS($D$25:$D$267,Parameters!$K$3,$E$25:$E$267,Parameters!$M$4,Calendrier!$C$25:$C$267,DH31))</f>
        <v>0</v>
      </c>
      <c r="KW31" s="50">
        <f>IF(DI31="","",COUNTIFS($D$25:$D$267,Parameters!$K$2,$E$25:$E$267,Parameters!$M$4,Calendrier!$C$25:$C$267,DI31)+ COUNTIFS($D$25:$D$267,Parameters!$K$4,$E$25:$E$267,Parameters!$M$4,Calendrier!$C$25:$C$267,DI31))</f>
        <v>0</v>
      </c>
      <c r="KX31" s="50">
        <f>IF(DJ31="","",COUNTIFS($D$25:$D$267,Parameters!$K$2,$E$25:$E$267,Parameters!$M$4,Calendrier!$C$25:$C$267,DJ31)+ COUNTIFS($D$25:$D$267,Parameters!$K$3,$E$25:$E$267,Parameters!$M$4,Calendrier!$C$25:$C$267,DJ31))</f>
        <v>0</v>
      </c>
      <c r="KY31" s="50">
        <f>IF(DK31="","",COUNTIFS($D$25:$D$267,Parameters!$K$2,$E$25:$E$267,Parameters!$M$4,Calendrier!$C$25:$C$267,DK31)+ COUNTIFS($D$25:$D$267,Parameters!$K$4,$E$25:$E$267,Parameters!$M$4,Calendrier!$C$25:$C$267,DK31))</f>
        <v>0</v>
      </c>
      <c r="KZ31" s="50">
        <f>IF(DL31="","",COUNTIFS($D$25:$D$267,Parameters!$K$2,$E$25:$E$267,Parameters!$M$4,Calendrier!$C$25:$C$267,DL31)+ COUNTIFS($D$25:$D$267,Parameters!$K$3,$E$25:$E$267,Parameters!$M$4,Calendrier!$C$25:$C$267,DL31))</f>
        <v>0</v>
      </c>
      <c r="LA31" s="50">
        <f>IF(DM31="","",COUNTIFS($D$25:$D$267,Parameters!$K$2,$E$25:$E$267,Parameters!$M$4,Calendrier!$C$25:$C$267,DM31)+ COUNTIFS($D$25:$D$267,Parameters!$K$4,$E$25:$E$267,Parameters!$M$4,Calendrier!$C$25:$C$267,DM31))</f>
        <v>0</v>
      </c>
      <c r="LB31" s="50">
        <f>IF(DN31="","",COUNTIFS($D$25:$D$267,Parameters!$K$2,$E$25:$E$267,Parameters!$M$4,Calendrier!$C$25:$C$267,DN31)+ COUNTIFS($D$25:$D$267,Parameters!$K$3,$E$25:$E$267,Parameters!$M$4,Calendrier!$C$25:$C$267,DN31))</f>
        <v>0</v>
      </c>
      <c r="LC31" s="50">
        <f>IF(DO31="","",COUNTIFS($D$25:$D$267,Parameters!$K$2,$E$25:$E$267,Parameters!$M$4,Calendrier!$C$25:$C$267,DO31)+ COUNTIFS($D$25:$D$267,Parameters!$K$4,$E$25:$E$267,Parameters!$M$4,Calendrier!$C$25:$C$267,DO31))</f>
        <v>0</v>
      </c>
      <c r="LD31" s="50">
        <f>IF(DP31="","",COUNTIFS($D$25:$D$267,Parameters!$K$2,$E$25:$E$267,Parameters!$M$4,Calendrier!$C$25:$C$267,DP31)+ COUNTIFS($D$25:$D$267,Parameters!$K$3,$E$25:$E$267,Parameters!$M$4,Calendrier!$C$25:$C$267,DP31))</f>
        <v>0</v>
      </c>
      <c r="LE31" s="50">
        <f>IF(DQ31="","",COUNTIFS($D$25:$D$267,Parameters!$K$2,$E$25:$E$267,Parameters!$M$4,Calendrier!$C$25:$C$267,DQ31)+ COUNTIFS($D$25:$D$267,Parameters!$K$4,$E$25:$E$267,Parameters!$M$4,Calendrier!$C$25:$C$267,DQ31))</f>
        <v>0</v>
      </c>
      <c r="LF31" s="50">
        <f>IF(DR31="","",COUNTIFS($D$25:$D$267,Parameters!$K$2,$E$25:$E$267,Parameters!$M$4,Calendrier!$C$25:$C$267,DR31)+ COUNTIFS($D$25:$D$267,Parameters!$K$3,$E$25:$E$267,Parameters!$M$4,Calendrier!$C$25:$C$267,DR31))</f>
        <v>0</v>
      </c>
      <c r="LG31" s="50">
        <f>IF(DS31="","",COUNTIFS($D$25:$D$267,Parameters!$K$2,$E$25:$E$267,Parameters!$M$4,Calendrier!$C$25:$C$267,DS31)+ COUNTIFS($D$25:$D$267,Parameters!$K$4,$E$25:$E$267,Parameters!$M$4,Calendrier!$C$25:$C$267,DS31))</f>
        <v>0</v>
      </c>
      <c r="LH31" s="50">
        <f>IF(DT31="","",COUNTIFS($D$25:$D$267,Parameters!$K$2,$E$25:$E$267,Parameters!$M$4,Calendrier!$C$25:$C$267,DT31)+ COUNTIFS($D$25:$D$267,Parameters!$K$3,$E$25:$E$267,Parameters!$M$4,Calendrier!$C$25:$C$267,DT31))</f>
        <v>0</v>
      </c>
      <c r="LI31" s="57">
        <f>IF(DU31="","",COUNTIFS($D$25:$D$267,Parameters!$K$2,$E$25:$E$267,Parameters!$M$4,Calendrier!$C$25:$C$267,DU31)+ COUNTIFS($D$25:$D$267,Parameters!$K$4,$E$25:$E$267,Parameters!$M$4,Calendrier!$C$25:$C$267,DU31))</f>
        <v>0</v>
      </c>
      <c r="LL31" s="49">
        <f>IF(DX31="","",COUNTIFS($D$25:$D$267,Parameters!$K$2,$E$25:$E$267,Parameters!$M$4,Calendrier!$C$25:$C$267,DX31)+ COUNTIFS($D$25:$D$267,Parameters!$K$3,$E$25:$E$267,Parameters!$M$4,Calendrier!$C$25:$C$267,DX31))</f>
        <v>0</v>
      </c>
      <c r="LM31" s="50">
        <f>IF(DY31="","",COUNTIFS($D$25:$D$267,Parameters!$K$2,$E$25:$E$267,Parameters!$M$4,Calendrier!$C$25:$C$267,DY31)+ COUNTIFS($D$25:$D$267,Parameters!$K$4,$E$25:$E$267,Parameters!$M$4,Calendrier!$C$25:$C$267,DY31))</f>
        <v>0</v>
      </c>
      <c r="LN31" s="50">
        <f>IF(DZ31="","",COUNTIFS($D$25:$D$267,Parameters!$K$2,$E$25:$E$267,Parameters!$M$4,Calendrier!$C$25:$C$267,DZ31)+ COUNTIFS($D$25:$D$267,Parameters!$K$3,$E$25:$E$267,Parameters!$M$4,Calendrier!$C$25:$C$267,DZ31))</f>
        <v>0</v>
      </c>
      <c r="LO31" s="50">
        <f>IF(EA31="","",COUNTIFS($D$25:$D$267,Parameters!$K$2,$E$25:$E$267,Parameters!$M$4,Calendrier!$C$25:$C$267,EA31)+ COUNTIFS($D$25:$D$267,Parameters!$K$4,$E$25:$E$267,Parameters!$M$4,Calendrier!$C$25:$C$267,EA31))</f>
        <v>0</v>
      </c>
      <c r="LP31" s="50">
        <f>IF(EB31="","",COUNTIFS($D$25:$D$267,Parameters!$K$2,$E$25:$E$267,Parameters!$M$4,Calendrier!$C$25:$C$267,EB31)+ COUNTIFS($D$25:$D$267,Parameters!$K$3,$E$25:$E$267,Parameters!$M$4,Calendrier!$C$25:$C$267,EB31))</f>
        <v>0</v>
      </c>
      <c r="LQ31" s="50">
        <f>IF(EC31="","",COUNTIFS($D$25:$D$267,Parameters!$K$2,$E$25:$E$267,Parameters!$M$4,Calendrier!$C$25:$C$267,EC31)+ COUNTIFS($D$25:$D$267,Parameters!$K$4,$E$25:$E$267,Parameters!$M$4,Calendrier!$C$25:$C$267,EC31))</f>
        <v>0</v>
      </c>
      <c r="LR31" s="50">
        <f>IF(ED31="","",COUNTIFS($D$25:$D$267,Parameters!$K$2,$E$25:$E$267,Parameters!$M$4,Calendrier!$C$25:$C$267,ED31)+ COUNTIFS($D$25:$D$267,Parameters!$K$3,$E$25:$E$267,Parameters!$M$4,Calendrier!$C$25:$C$267,ED31))</f>
        <v>0</v>
      </c>
      <c r="LS31" s="50">
        <f>IF(EE31="","",COUNTIFS($D$25:$D$267,Parameters!$K$2,$E$25:$E$267,Parameters!$M$4,Calendrier!$C$25:$C$267,EE31)+ COUNTIFS($D$25:$D$267,Parameters!$K$4,$E$25:$E$267,Parameters!$M$4,Calendrier!$C$25:$C$267,EE31))</f>
        <v>0</v>
      </c>
      <c r="LT31" s="50">
        <f>IF(EF31="","",COUNTIFS($D$25:$D$267,Parameters!$K$2,$E$25:$E$267,Parameters!$M$4,Calendrier!$C$25:$C$267,EF31)+ COUNTIFS($D$25:$D$267,Parameters!$K$3,$E$25:$E$267,Parameters!$M$4,Calendrier!$C$25:$C$267,EF31))</f>
        <v>0</v>
      </c>
      <c r="LU31" s="50">
        <f>IF(EG31="","",COUNTIFS($D$25:$D$267,Parameters!$K$2,$E$25:$E$267,Parameters!$M$4,Calendrier!$C$25:$C$267,EG31)+ COUNTIFS($D$25:$D$267,Parameters!$K$4,$E$25:$E$267,Parameters!$M$4,Calendrier!$C$25:$C$267,EG31))</f>
        <v>0</v>
      </c>
      <c r="LV31" s="50">
        <f>IF(EH31="","",COUNTIFS($D$25:$D$267,Parameters!$K$2,$E$25:$E$267,Parameters!$M$4,Calendrier!$C$25:$C$267,EH31)+ COUNTIFS($D$25:$D$267,Parameters!$K$3,$E$25:$E$267,Parameters!$M$4,Calendrier!$C$25:$C$267,EH31))</f>
        <v>0</v>
      </c>
      <c r="LW31" s="50">
        <f>IF(EI31="","",COUNTIFS($D$25:$D$267,Parameters!$K$2,$E$25:$E$267,Parameters!$M$4,Calendrier!$C$25:$C$267,EI31)+ COUNTIFS($D$25:$D$267,Parameters!$K$4,$E$25:$E$267,Parameters!$M$4,Calendrier!$C$25:$C$267,EI31))</f>
        <v>0</v>
      </c>
      <c r="LX31" s="50">
        <f>IF(EJ31="","",COUNTIFS($D$25:$D$267,Parameters!$K$2,$E$25:$E$267,Parameters!$M$4,Calendrier!$C$25:$C$267,EJ31)+ COUNTIFS($D$25:$D$267,Parameters!$K$3,$E$25:$E$267,Parameters!$M$4,Calendrier!$C$25:$C$267,EJ31))</f>
        <v>0</v>
      </c>
      <c r="LY31" s="57">
        <f>IF(EK31="","",COUNTIFS($D$25:$D$267,Parameters!$K$2,$E$25:$E$267,Parameters!$M$4,Calendrier!$C$25:$C$267,EK31)+ COUNTIFS($D$25:$D$267,Parameters!$K$4,$E$25:$E$267,Parameters!$M$4,Calendrier!$C$25:$C$267,EK31))</f>
        <v>0</v>
      </c>
      <c r="MB31" s="49">
        <f>IF(EN31="","",COUNTIFS($D$25:$D$267,Parameters!$K$2,$E$25:$E$267,Parameters!$M$4,Calendrier!$C$25:$C$267,EN31)+ COUNTIFS($D$25:$D$267,Parameters!$K$3,$E$25:$E$267,Parameters!$M$4,Calendrier!$C$25:$C$267,EN31))</f>
        <v>0</v>
      </c>
      <c r="MC31" s="50">
        <f>IF(EO31="","",COUNTIFS($D$25:$D$267,Parameters!$K$2,$E$25:$E$267,Parameters!$M$4,Calendrier!$C$25:$C$267,EO31)+ COUNTIFS($D$25:$D$267,Parameters!$K$4,$E$25:$E$267,Parameters!$M$4,Calendrier!$C$25:$C$267,EO31))</f>
        <v>0</v>
      </c>
      <c r="MD31" s="50">
        <f>IF(EP31="","",COUNTIFS($D$25:$D$267,Parameters!$K$2,$E$25:$E$267,Parameters!$M$4,Calendrier!$C$25:$C$267,EP31)+ COUNTIFS($D$25:$D$267,Parameters!$K$3,$E$25:$E$267,Parameters!$M$4,Calendrier!$C$25:$C$267,EP31))</f>
        <v>0</v>
      </c>
      <c r="ME31" s="50">
        <f>IF(EQ31="","",COUNTIFS($D$25:$D$267,Parameters!$K$2,$E$25:$E$267,Parameters!$M$4,Calendrier!$C$25:$C$267,EQ31)+ COUNTIFS($D$25:$D$267,Parameters!$K$4,$E$25:$E$267,Parameters!$M$4,Calendrier!$C$25:$C$267,EQ31))</f>
        <v>0</v>
      </c>
      <c r="MF31" s="50">
        <f>IF(ER31="","",COUNTIFS($D$25:$D$267,Parameters!$K$2,$E$25:$E$267,Parameters!$M$4,Calendrier!$C$25:$C$267,ER31)+ COUNTIFS($D$25:$D$267,Parameters!$K$3,$E$25:$E$267,Parameters!$M$4,Calendrier!$C$25:$C$267,ER31))</f>
        <v>0</v>
      </c>
      <c r="MG31" s="50">
        <f>IF(ES31="","",COUNTIFS($D$25:$D$267,Parameters!$K$2,$E$25:$E$267,Parameters!$M$4,Calendrier!$C$25:$C$267,ES31)+ COUNTIFS($D$25:$D$267,Parameters!$K$4,$E$25:$E$267,Parameters!$M$4,Calendrier!$C$25:$C$267,ES31))</f>
        <v>0</v>
      </c>
      <c r="MH31" s="50">
        <f>IF(ET31="","",COUNTIFS($D$25:$D$267,Parameters!$K$2,$E$25:$E$267,Parameters!$M$4,Calendrier!$C$25:$C$267,ET31)+ COUNTIFS($D$25:$D$267,Parameters!$K$3,$E$25:$E$267,Parameters!$M$4,Calendrier!$C$25:$C$267,ET31))</f>
        <v>0</v>
      </c>
      <c r="MI31" s="50">
        <f>IF(EU31="","",COUNTIFS($D$25:$D$267,Parameters!$K$2,$E$25:$E$267,Parameters!$M$4,Calendrier!$C$25:$C$267,EU31)+ COUNTIFS($D$25:$D$267,Parameters!$K$4,$E$25:$E$267,Parameters!$M$4,Calendrier!$C$25:$C$267,EU31))</f>
        <v>0</v>
      </c>
      <c r="MJ31" s="50">
        <f>IF(EV31="","",COUNTIFS($D$25:$D$267,Parameters!$K$2,$E$25:$E$267,Parameters!$M$4,Calendrier!$C$25:$C$267,EV31)+ COUNTIFS($D$25:$D$267,Parameters!$K$3,$E$25:$E$267,Parameters!$M$4,Calendrier!$C$25:$C$267,EV31))</f>
        <v>0</v>
      </c>
      <c r="MK31" s="50">
        <f>IF(EW31="","",COUNTIFS($D$25:$D$267,Parameters!$K$2,$E$25:$E$267,Parameters!$M$4,Calendrier!$C$25:$C$267,EW31)+ COUNTIFS($D$25:$D$267,Parameters!$K$4,$E$25:$E$267,Parameters!$M$4,Calendrier!$C$25:$C$267,EW31))</f>
        <v>0</v>
      </c>
      <c r="ML31" s="50">
        <f>IF(EX31="","",COUNTIFS($D$25:$D$267,Parameters!$K$2,$E$25:$E$267,Parameters!$M$4,Calendrier!$C$25:$C$267,EX31)+ COUNTIFS($D$25:$D$267,Parameters!$K$3,$E$25:$E$267,Parameters!$M$4,Calendrier!$C$25:$C$267,EX31))</f>
        <v>0</v>
      </c>
      <c r="MM31" s="50">
        <f>IF(EY31="","",COUNTIFS($D$25:$D$267,Parameters!$K$2,$E$25:$E$267,Parameters!$M$4,Calendrier!$C$25:$C$267,EY31)+ COUNTIFS($D$25:$D$267,Parameters!$K$4,$E$25:$E$267,Parameters!$M$4,Calendrier!$C$25:$C$267,EY31))</f>
        <v>0</v>
      </c>
      <c r="MN31" s="50">
        <f>IF(EZ31="","",COUNTIFS($D$25:$D$267,Parameters!$K$2,$E$25:$E$267,Parameters!$M$4,Calendrier!$C$25:$C$267,EZ31)+ COUNTIFS($D$25:$D$267,Parameters!$K$3,$E$25:$E$267,Parameters!$M$4,Calendrier!$C$25:$C$267,EZ31))</f>
        <v>0</v>
      </c>
      <c r="MO31" s="57">
        <f>IF(FA31="","",COUNTIFS($D$25:$D$267,Parameters!$K$2,$E$25:$E$267,Parameters!$M$4,Calendrier!$C$25:$C$267,FA31)+ COUNTIFS($D$25:$D$267,Parameters!$K$4,$E$25:$E$267,Parameters!$M$4,Calendrier!$C$25:$C$267,FA31))</f>
        <v>0</v>
      </c>
      <c r="MS31" s="49">
        <f>IF(DH31="","",COUNTIFS($D$25:$D$267,Parameters!$K$2,$E$25:$E$267,Parameters!$M$5,Calendrier!$C$25:$C$267,DH31)+ COUNTIFS($D$25:$D$267,Parameters!$K$3,$E$25:$E$267,Parameters!$M$5,Calendrier!$C$25:$C$267,DH31))</f>
        <v>0</v>
      </c>
      <c r="MT31" s="50">
        <f>IF(DI31="","",COUNTIFS($D$25:$D$267,Parameters!$K$2,$E$25:$E$267,Parameters!$M$5,Calendrier!$C$25:$C$267,DI31)+ COUNTIFS($D$25:$D$267,Parameters!$K$4,$E$25:$E$267,Parameters!$M$5,Calendrier!$C$25:$C$267,DI31))</f>
        <v>0</v>
      </c>
      <c r="MU31" s="50">
        <f>IF(DJ31="","",COUNTIFS($D$25:$D$267,Parameters!$K$2,$E$25:$E$267,Parameters!$M$5,Calendrier!$C$25:$C$267,DJ31)+ COUNTIFS($D$25:$D$267,Parameters!$K$3,$E$25:$E$267,Parameters!$M$5,Calendrier!$C$25:$C$267,DJ31))</f>
        <v>0</v>
      </c>
      <c r="MV31" s="50">
        <f>IF(DK31="","",COUNTIFS($D$25:$D$267,Parameters!$K$2,$E$25:$E$267,Parameters!$M$5,Calendrier!$C$25:$C$267,DK31)+ COUNTIFS($D$25:$D$267,Parameters!$K$4,$E$25:$E$267,Parameters!$M$5,Calendrier!$C$25:$C$267,DK31))</f>
        <v>0</v>
      </c>
      <c r="MW31" s="50">
        <f>IF(DL31="","",COUNTIFS($D$25:$D$267,Parameters!$K$2,$E$25:$E$267,Parameters!$M$5,Calendrier!$C$25:$C$267,DL31)+ COUNTIFS($D$25:$D$267,Parameters!$K$3,$E$25:$E$267,Parameters!$M$5,Calendrier!$C$25:$C$267,DL31))</f>
        <v>0</v>
      </c>
      <c r="MX31" s="50">
        <f>IF(DM31="","",COUNTIFS($D$25:$D$267,Parameters!$K$2,$E$25:$E$267,Parameters!$M$5,Calendrier!$C$25:$C$267,DM31)+ COUNTIFS($D$25:$D$267,Parameters!$K$4,$E$25:$E$267,Parameters!$M$5,Calendrier!$C$25:$C$267,DM31))</f>
        <v>0</v>
      </c>
      <c r="MY31" s="50">
        <f>IF(DN31="","",COUNTIFS($D$25:$D$267,Parameters!$K$2,$E$25:$E$267,Parameters!$M$5,Calendrier!$C$25:$C$267,DN31)+ COUNTIFS($D$25:$D$267,Parameters!$K$3,$E$25:$E$267,Parameters!$M$5,Calendrier!$C$25:$C$267,DN31))</f>
        <v>0</v>
      </c>
      <c r="MZ31" s="50">
        <f>IF(DO31="","",COUNTIFS($D$25:$D$267,Parameters!$K$2,$E$25:$E$267,Parameters!$M$5,Calendrier!$C$25:$C$267,DO31)+ COUNTIFS($D$25:$D$267,Parameters!$K$4,$E$25:$E$267,Parameters!$M$5,Calendrier!$C$25:$C$267,DO31))</f>
        <v>0</v>
      </c>
      <c r="NA31" s="50">
        <f>IF(DP31="","",COUNTIFS($D$25:$D$267,Parameters!$K$2,$E$25:$E$267,Parameters!$M$5,Calendrier!$C$25:$C$267,DP31)+ COUNTIFS($D$25:$D$267,Parameters!$K$3,$E$25:$E$267,Parameters!$M$5,Calendrier!$C$25:$C$267,DP31))</f>
        <v>0</v>
      </c>
      <c r="NB31" s="50">
        <f>IF(DQ31="","",COUNTIFS($D$25:$D$267,Parameters!$K$2,$E$25:$E$267,Parameters!$M$5,Calendrier!$C$25:$C$267,DQ31)+ COUNTIFS($D$25:$D$267,Parameters!$K$4,$E$25:$E$267,Parameters!$M$5,Calendrier!$C$25:$C$267,DQ31))</f>
        <v>0</v>
      </c>
      <c r="NC31" s="50">
        <f>IF(DR31="","",COUNTIFS($D$25:$D$267,Parameters!$K$2,$E$25:$E$267,Parameters!$M$5,Calendrier!$C$25:$C$267,DR31)+ COUNTIFS($D$25:$D$267,Parameters!$K$3,$E$25:$E$267,Parameters!$M$5,Calendrier!$C$25:$C$267,DR31))</f>
        <v>0</v>
      </c>
      <c r="ND31" s="50">
        <f>IF(DS31="","",COUNTIFS($D$25:$D$267,Parameters!$K$2,$E$25:$E$267,Parameters!$M$5,Calendrier!$C$25:$C$267,DS31)+ COUNTIFS($D$25:$D$267,Parameters!$K$4,$E$25:$E$267,Parameters!$M$5,Calendrier!$C$25:$C$267,DS31))</f>
        <v>0</v>
      </c>
      <c r="NE31" s="50">
        <f>IF(DT31="","",COUNTIFS($D$25:$D$267,Parameters!$K$2,$E$25:$E$267,Parameters!$M$5,Calendrier!$C$25:$C$267,DT31)+ COUNTIFS($D$25:$D$267,Parameters!$K$3,$E$25:$E$267,Parameters!$M$5,Calendrier!$C$25:$C$267,DT31))</f>
        <v>0</v>
      </c>
      <c r="NF31" s="57">
        <f>IF(DU31="","",COUNTIFS($D$25:$D$267,Parameters!$K$2,$E$25:$E$267,Parameters!$M$5,Calendrier!$C$25:$C$267,DU31)+ COUNTIFS($D$25:$D$267,Parameters!$K$4,$E$25:$E$267,Parameters!$M$5,Calendrier!$C$25:$C$267,DU31))</f>
        <v>0</v>
      </c>
      <c r="NI31" s="49">
        <f>IF(DX31="","",COUNTIFS($D$25:$D$267,Parameters!$K$2,$E$25:$E$267,Parameters!$M$5,Calendrier!$C$25:$C$267,DX31)+ COUNTIFS($D$25:$D$267,Parameters!$K$3,$E$25:$E$267,Parameters!$M$5,Calendrier!$C$25:$C$267,DX31))</f>
        <v>0</v>
      </c>
      <c r="NJ31" s="50">
        <f>IF(DY31="","",COUNTIFS($D$25:$D$267,Parameters!$K$2,$E$25:$E$267,Parameters!$M$5,Calendrier!$C$25:$C$267,DY31)+ COUNTIFS($D$25:$D$267,Parameters!$K$4,$E$25:$E$267,Parameters!$M$5,Calendrier!$C$25:$C$267,DY31))</f>
        <v>0</v>
      </c>
      <c r="NK31" s="50">
        <f>IF(DZ31="","",COUNTIFS($D$25:$D$267,Parameters!$K$2,$E$25:$E$267,Parameters!$M$5,Calendrier!$C$25:$C$267,DZ31)+ COUNTIFS($D$25:$D$267,Parameters!$K$3,$E$25:$E$267,Parameters!$M$5,Calendrier!$C$25:$C$267,DZ31))</f>
        <v>0</v>
      </c>
      <c r="NL31" s="50">
        <f>IF(EA31="","",COUNTIFS($D$25:$D$267,Parameters!$K$2,$E$25:$E$267,Parameters!$M$5,Calendrier!$C$25:$C$267,EA31)+ COUNTIFS($D$25:$D$267,Parameters!$K$4,$E$25:$E$267,Parameters!$M$5,Calendrier!$C$25:$C$267,EA31))</f>
        <v>0</v>
      </c>
      <c r="NM31" s="50">
        <f>IF(EB31="","",COUNTIFS($D$25:$D$267,Parameters!$K$2,$E$25:$E$267,Parameters!$M$5,Calendrier!$C$25:$C$267,EB31)+ COUNTIFS($D$25:$D$267,Parameters!$K$3,$E$25:$E$267,Parameters!$M$5,Calendrier!$C$25:$C$267,EB31))</f>
        <v>0</v>
      </c>
      <c r="NN31" s="50">
        <f>IF(EC31="","",COUNTIFS($D$25:$D$267,Parameters!$K$2,$E$25:$E$267,Parameters!$M$5,Calendrier!$C$25:$C$267,EC31)+ COUNTIFS($D$25:$D$267,Parameters!$K$4,$E$25:$E$267,Parameters!$M$5,Calendrier!$C$25:$C$267,EC31))</f>
        <v>0</v>
      </c>
      <c r="NO31" s="50">
        <f>IF(ED31="","",COUNTIFS($D$25:$D$267,Parameters!$K$2,$E$25:$E$267,Parameters!$M$5,Calendrier!$C$25:$C$267,ED31)+ COUNTIFS($D$25:$D$267,Parameters!$K$3,$E$25:$E$267,Parameters!$M$5,Calendrier!$C$25:$C$267,ED31))</f>
        <v>0</v>
      </c>
      <c r="NP31" s="50">
        <f>IF(EE31="","",COUNTIFS($D$25:$D$267,Parameters!$K$2,$E$25:$E$267,Parameters!$M$5,Calendrier!$C$25:$C$267,EE31)+ COUNTIFS($D$25:$D$267,Parameters!$K$4,$E$25:$E$267,Parameters!$M$5,Calendrier!$C$25:$C$267,EE31))</f>
        <v>0</v>
      </c>
      <c r="NQ31" s="50">
        <f>IF(EF31="","",COUNTIFS($D$25:$D$267,Parameters!$K$2,$E$25:$E$267,Parameters!$M$5,Calendrier!$C$25:$C$267,EF31)+ COUNTIFS($D$25:$D$267,Parameters!$K$3,$E$25:$E$267,Parameters!$M$5,Calendrier!$C$25:$C$267,EF31))</f>
        <v>0</v>
      </c>
      <c r="NR31" s="50">
        <f>IF(EG31="","",COUNTIFS($D$25:$D$267,Parameters!$K$2,$E$25:$E$267,Parameters!$M$5,Calendrier!$C$25:$C$267,EG31)+ COUNTIFS($D$25:$D$267,Parameters!$K$4,$E$25:$E$267,Parameters!$M$5,Calendrier!$C$25:$C$267,EG31))</f>
        <v>0</v>
      </c>
      <c r="NS31" s="50">
        <f>IF(EH31="","",COUNTIFS($D$25:$D$267,Parameters!$K$2,$E$25:$E$267,Parameters!$M$5,Calendrier!$C$25:$C$267,EH31)+ COUNTIFS($D$25:$D$267,Parameters!$K$3,$E$25:$E$267,Parameters!$M$5,Calendrier!$C$25:$C$267,EH31))</f>
        <v>0</v>
      </c>
      <c r="NT31" s="50">
        <f>IF(EI31="","",COUNTIFS($D$25:$D$267,Parameters!$K$2,$E$25:$E$267,Parameters!$M$5,Calendrier!$C$25:$C$267,EI31)+ COUNTIFS($D$25:$D$267,Parameters!$K$4,$E$25:$E$267,Parameters!$M$5,Calendrier!$C$25:$C$267,EI31))</f>
        <v>0</v>
      </c>
      <c r="NU31" s="50">
        <f>IF(EJ31="","",COUNTIFS($D$25:$D$267,Parameters!$K$2,$E$25:$E$267,Parameters!$M$5,Calendrier!$C$25:$C$267,EJ31)+ COUNTIFS($D$25:$D$267,Parameters!$K$3,$E$25:$E$267,Parameters!$M$5,Calendrier!$C$25:$C$267,EJ31))</f>
        <v>0</v>
      </c>
      <c r="NV31" s="57">
        <f>IF(EK31="","",COUNTIFS($D$25:$D$267,Parameters!$K$2,$E$25:$E$267,Parameters!$M$5,Calendrier!$C$25:$C$267,EK31)+ COUNTIFS($D$25:$D$267,Parameters!$K$4,$E$25:$E$267,Parameters!$M$5,Calendrier!$C$25:$C$267,EK31))</f>
        <v>0</v>
      </c>
      <c r="NY31" s="49">
        <f>IF(EN31="","",COUNTIFS($D$25:$D$267,Parameters!$K$2,$E$25:$E$267,Parameters!$M$5,Calendrier!$C$25:$C$267,EN31)+ COUNTIFS($D$25:$D$267,Parameters!$K$3,$E$25:$E$267,Parameters!$M$5,Calendrier!$C$25:$C$267,EN31))</f>
        <v>0</v>
      </c>
      <c r="NZ31" s="50">
        <f>IF(EO31="","",COUNTIFS($D$25:$D$267,Parameters!$K$2,$E$25:$E$267,Parameters!$M$5,Calendrier!$C$25:$C$267,EO31)+ COUNTIFS($D$25:$D$267,Parameters!$K$4,$E$25:$E$267,Parameters!$M$5,Calendrier!$C$25:$C$267,EO31))</f>
        <v>0</v>
      </c>
      <c r="OA31" s="50">
        <f>IF(EP31="","",COUNTIFS($D$25:$D$267,Parameters!$K$2,$E$25:$E$267,Parameters!$M$5,Calendrier!$C$25:$C$267,EP31)+ COUNTIFS($D$25:$D$267,Parameters!$K$3,$E$25:$E$267,Parameters!$M$5,Calendrier!$C$25:$C$267,EP31))</f>
        <v>0</v>
      </c>
      <c r="OB31" s="50">
        <f>IF(EQ31="","",COUNTIFS($D$25:$D$267,Parameters!$K$2,$E$25:$E$267,Parameters!$M$5,Calendrier!$C$25:$C$267,EQ31)+ COUNTIFS($D$25:$D$267,Parameters!$K$4,$E$25:$E$267,Parameters!$M$5,Calendrier!$C$25:$C$267,EQ31))</f>
        <v>0</v>
      </c>
      <c r="OC31" s="50">
        <f>IF(ER31="","",COUNTIFS($D$25:$D$267,Parameters!$K$2,$E$25:$E$267,Parameters!$M$5,Calendrier!$C$25:$C$267,ER31)+ COUNTIFS($D$25:$D$267,Parameters!$K$3,$E$25:$E$267,Parameters!$M$5,Calendrier!$C$25:$C$267,ER31))</f>
        <v>0</v>
      </c>
      <c r="OD31" s="50">
        <f>IF(ES31="","",COUNTIFS($D$25:$D$267,Parameters!$K$2,$E$25:$E$267,Parameters!$M$5,Calendrier!$C$25:$C$267,ES31)+ COUNTIFS($D$25:$D$267,Parameters!$K$4,$E$25:$E$267,Parameters!$M$5,Calendrier!$C$25:$C$267,ES31))</f>
        <v>0</v>
      </c>
      <c r="OE31" s="50">
        <f>IF(ET31="","",COUNTIFS($D$25:$D$267,Parameters!$K$2,$E$25:$E$267,Parameters!$M$5,Calendrier!$C$25:$C$267,ET31)+ COUNTIFS($D$25:$D$267,Parameters!$K$3,$E$25:$E$267,Parameters!$M$5,Calendrier!$C$25:$C$267,ET31))</f>
        <v>0</v>
      </c>
      <c r="OF31" s="50">
        <f>IF(EU31="","",COUNTIFS($D$25:$D$267,Parameters!$K$2,$E$25:$E$267,Parameters!$M$5,Calendrier!$C$25:$C$267,EU31)+ COUNTIFS($D$25:$D$267,Parameters!$K$4,$E$25:$E$267,Parameters!$M$5,Calendrier!$C$25:$C$267,EU31))</f>
        <v>0</v>
      </c>
      <c r="OG31" s="50">
        <f>IF(EV31="","",COUNTIFS($D$25:$D$267,Parameters!$K$2,$E$25:$E$267,Parameters!$M$5,Calendrier!$C$25:$C$267,EV31)+ COUNTIFS($D$25:$D$267,Parameters!$K$3,$E$25:$E$267,Parameters!$M$5,Calendrier!$C$25:$C$267,EV31))</f>
        <v>0</v>
      </c>
      <c r="OH31" s="50">
        <f>IF(EW31="","",COUNTIFS($D$25:$D$267,Parameters!$K$2,$E$25:$E$267,Parameters!$M$5,Calendrier!$C$25:$C$267,EW31)+ COUNTIFS($D$25:$D$267,Parameters!$K$4,$E$25:$E$267,Parameters!$M$5,Calendrier!$C$25:$C$267,EW31))</f>
        <v>0</v>
      </c>
      <c r="OI31" s="50">
        <f>IF(EX31="","",COUNTIFS($D$25:$D$267,Parameters!$K$2,$E$25:$E$267,Parameters!$M$5,Calendrier!$C$25:$C$267,EX31)+ COUNTIFS($D$25:$D$267,Parameters!$K$3,$E$25:$E$267,Parameters!$M$5,Calendrier!$C$25:$C$267,EX31))</f>
        <v>0</v>
      </c>
      <c r="OJ31" s="50">
        <f>IF(EY31="","",COUNTIFS($D$25:$D$267,Parameters!$K$2,$E$25:$E$267,Parameters!$M$5,Calendrier!$C$25:$C$267,EY31)+ COUNTIFS($D$25:$D$267,Parameters!$K$4,$E$25:$E$267,Parameters!$M$5,Calendrier!$C$25:$C$267,EY31))</f>
        <v>0</v>
      </c>
      <c r="OK31" s="50">
        <f>IF(EZ31="","",COUNTIFS($D$25:$D$267,Parameters!$K$2,$E$25:$E$267,Parameters!$M$5,Calendrier!$C$25:$C$267,EZ31)+ COUNTIFS($D$25:$D$267,Parameters!$K$3,$E$25:$E$267,Parameters!$M$5,Calendrier!$C$25:$C$267,EZ31))</f>
        <v>0</v>
      </c>
      <c r="OL31" s="57">
        <f>IF(FA31="","",COUNTIFS($D$25:$D$267,Parameters!$K$2,$E$25:$E$267,Parameters!$M$5,Calendrier!$C$25:$C$267,FA31)+ COUNTIFS($D$25:$D$267,Parameters!$K$4,$E$25:$E$267,Parameters!$M$5,Calendrier!$C$25:$C$267,FA31))</f>
        <v>0</v>
      </c>
      <c r="OP31" s="49">
        <f>IF(DH31="","",COUNTIFS(Parameters!$Y:$Y,$BF$4,Parameters!$X:$X,DH31))</f>
        <v>1</v>
      </c>
      <c r="OQ31" s="50">
        <f>IF(DI31="","",COUNTIFS(Parameters!$Y:$Y,$BF$4,Parameters!$X:$X,DI31))</f>
        <v>1</v>
      </c>
      <c r="OR31" s="50">
        <f>IF(DJ31="","",COUNTIFS(Parameters!$Y:$Y,$BF$4,Parameters!$X:$X,DJ31))</f>
        <v>1</v>
      </c>
      <c r="OS31" s="50">
        <f>IF(DK31="","",COUNTIFS(Parameters!$Y:$Y,$BF$4,Parameters!$X:$X,DK31))</f>
        <v>1</v>
      </c>
      <c r="OT31" s="50">
        <f>IF(DL31="","",COUNTIFS(Parameters!$Y:$Y,$BF$4,Parameters!$X:$X,DL31))</f>
        <v>1</v>
      </c>
      <c r="OU31" s="50">
        <f>IF(DM31="","",COUNTIFS(Parameters!$Y:$Y,$BF$4,Parameters!$X:$X,DM31))</f>
        <v>1</v>
      </c>
      <c r="OV31" s="50">
        <f>IF(DN31="","",COUNTIFS(Parameters!$Y:$Y,$BF$4,Parameters!$X:$X,DN31))</f>
        <v>1</v>
      </c>
      <c r="OW31" s="50">
        <f>IF(DO31="","",COUNTIFS(Parameters!$Y:$Y,$BF$4,Parameters!$X:$X,DO31))</f>
        <v>1</v>
      </c>
      <c r="OX31" s="50">
        <f>IF(DP31="","",COUNTIFS(Parameters!$Y:$Y,$BF$4,Parameters!$X:$X,DP31))</f>
        <v>1</v>
      </c>
      <c r="OY31" s="50">
        <f>IF(DQ31="","",COUNTIFS(Parameters!$Y:$Y,$BF$4,Parameters!$X:$X,DQ31))</f>
        <v>1</v>
      </c>
      <c r="OZ31" s="50">
        <f>IF(DR31="","",COUNTIFS(Parameters!$Y:$Y,$BF$4,Parameters!$X:$X,DR31))</f>
        <v>1</v>
      </c>
      <c r="PA31" s="50">
        <f>IF(DS31="","",COUNTIFS(Parameters!$Y:$Y,$BF$4,Parameters!$X:$X,DS31))</f>
        <v>1</v>
      </c>
      <c r="PB31" s="50">
        <f>IF(DT31="","",COUNTIFS(Parameters!$Y:$Y,$BF$4,Parameters!$X:$X,DT31))</f>
        <v>1</v>
      </c>
      <c r="PC31" s="57">
        <f>IF(DU31="","",COUNTIFS(Parameters!$Y:$Y,$BF$4,Parameters!$X:$X,DU31))</f>
        <v>1</v>
      </c>
      <c r="PF31" s="49">
        <f>IF(DX31="","",COUNTIFS(Parameters!$Y:$Y,$BF$4,Parameters!$X:$X,DX31))</f>
        <v>0</v>
      </c>
      <c r="PG31" s="50">
        <f>IF(DY31="","",COUNTIFS(Parameters!$Y:$Y,$BF$4,Parameters!$X:$X,DY31))</f>
        <v>0</v>
      </c>
      <c r="PH31" s="50">
        <f>IF(DZ31="","",COUNTIFS(Parameters!$Y:$Y,$BF$4,Parameters!$X:$X,DZ31))</f>
        <v>0</v>
      </c>
      <c r="PI31" s="50">
        <f>IF(EA31="","",COUNTIFS(Parameters!$Y:$Y,$BF$4,Parameters!$X:$X,EA31))</f>
        <v>0</v>
      </c>
      <c r="PJ31" s="50">
        <f>IF(EB31="","",COUNTIFS(Parameters!$Y:$Y,$BF$4,Parameters!$X:$X,EB31))</f>
        <v>0</v>
      </c>
      <c r="PK31" s="50">
        <f>IF(EC31="","",COUNTIFS(Parameters!$Y:$Y,$BF$4,Parameters!$X:$X,EC31))</f>
        <v>0</v>
      </c>
      <c r="PL31" s="50">
        <f>IF(ED31="","",COUNTIFS(Parameters!$Y:$Y,$BF$4,Parameters!$X:$X,ED31))</f>
        <v>0</v>
      </c>
      <c r="PM31" s="50">
        <f>IF(EE31="","",COUNTIFS(Parameters!$Y:$Y,$BF$4,Parameters!$X:$X,EE31))</f>
        <v>0</v>
      </c>
      <c r="PN31" s="50">
        <f>IF(EF31="","",COUNTIFS(Parameters!$Y:$Y,$BF$4,Parameters!$X:$X,EF31))</f>
        <v>0</v>
      </c>
      <c r="PO31" s="50">
        <f>IF(EG31="","",COUNTIFS(Parameters!$Y:$Y,$BF$4,Parameters!$X:$X,EG31))</f>
        <v>0</v>
      </c>
      <c r="PP31" s="50">
        <f>IF(EH31="","",COUNTIFS(Parameters!$Y:$Y,$BF$4,Parameters!$X:$X,EH31))</f>
        <v>0</v>
      </c>
      <c r="PQ31" s="50">
        <f>IF(EI31="","",COUNTIFS(Parameters!$Y:$Y,$BF$4,Parameters!$X:$X,EI31))</f>
        <v>0</v>
      </c>
      <c r="PR31" s="50">
        <f>IF(EJ31="","",COUNTIFS(Parameters!$Y:$Y,$BF$4,Parameters!$X:$X,EJ31))</f>
        <v>0</v>
      </c>
      <c r="PS31" s="57">
        <f>IF(EK31="","",COUNTIFS(Parameters!$Y:$Y,$BF$4,Parameters!$X:$X,EK31))</f>
        <v>0</v>
      </c>
      <c r="PV31" s="49">
        <f>IF(EN31="","",COUNTIFS(Parameters!$Y:$Y,$BF$4,Parameters!$X:$X,EN31))</f>
        <v>0</v>
      </c>
      <c r="PW31" s="50">
        <f>IF(EO31="","",COUNTIFS(Parameters!$Y:$Y,$BF$4,Parameters!$X:$X,EO31))</f>
        <v>0</v>
      </c>
      <c r="PX31" s="50">
        <f>IF(EP31="","",COUNTIFS(Parameters!$Y:$Y,$BF$4,Parameters!$X:$X,EP31))</f>
        <v>0</v>
      </c>
      <c r="PY31" s="50">
        <f>IF(EQ31="","",COUNTIFS(Parameters!$Y:$Y,$BF$4,Parameters!$X:$X,EQ31))</f>
        <v>0</v>
      </c>
      <c r="PZ31" s="50">
        <f>IF(ER31="","",COUNTIFS(Parameters!$Y:$Y,$BF$4,Parameters!$X:$X,ER31))</f>
        <v>0</v>
      </c>
      <c r="QA31" s="50">
        <f>IF(ES31="","",COUNTIFS(Parameters!$Y:$Y,$BF$4,Parameters!$X:$X,ES31))</f>
        <v>0</v>
      </c>
      <c r="QB31" s="50">
        <f>IF(ET31="","",COUNTIFS(Parameters!$Y:$Y,$BF$4,Parameters!$X:$X,ET31))</f>
        <v>0</v>
      </c>
      <c r="QC31" s="50">
        <f>IF(EU31="","",COUNTIFS(Parameters!$Y:$Y,$BF$4,Parameters!$X:$X,EU31))</f>
        <v>0</v>
      </c>
      <c r="QD31" s="50">
        <f>IF(EV31="","",COUNTIFS(Parameters!$Y:$Y,$BF$4,Parameters!$X:$X,EV31))</f>
        <v>0</v>
      </c>
      <c r="QE31" s="50">
        <f>IF(EW31="","",COUNTIFS(Parameters!$Y:$Y,$BF$4,Parameters!$X:$X,EW31))</f>
        <v>0</v>
      </c>
      <c r="QF31" s="50">
        <f>IF(EX31="","",COUNTIFS(Parameters!$Y:$Y,$BF$4,Parameters!$X:$X,EX31))</f>
        <v>0</v>
      </c>
      <c r="QG31" s="50">
        <f>IF(EY31="","",COUNTIFS(Parameters!$Y:$Y,$BF$4,Parameters!$X:$X,EY31))</f>
        <v>0</v>
      </c>
      <c r="QH31" s="50">
        <f>IF(EZ31="","",COUNTIFS(Parameters!$Y:$Y,$BF$4,Parameters!$X:$X,EZ31))</f>
        <v>0</v>
      </c>
      <c r="QI31" s="57">
        <f>IF(FA31="","",COUNTIFS(Parameters!$Y:$Y,$BF$4,Parameters!$X:$X,FA31))</f>
        <v>0</v>
      </c>
      <c r="QN31" s="49">
        <f>IF(DH31="","",COUNTIFS($D$25:$D$267,Parameters!$K$2,$E$25:$E$267,Parameters!$M$6,Calendrier!$C$25:$C$267,DH31)+ COUNTIFS($D$25:$D$267,Parameters!$K$3,$E$25:$E$267,Parameters!$M$6,Calendrier!$C$25:$C$267,DH31))</f>
        <v>0</v>
      </c>
      <c r="QO31" s="50">
        <f>IF(DI31="","",COUNTIFS($D$25:$D$267,Parameters!$K$2,$E$25:$E$267,Parameters!$M$6,Calendrier!$C$25:$C$267,DI31)+ COUNTIFS($D$25:$D$267,Parameters!$K$4,$E$25:$E$267,Parameters!$M$6,Calendrier!$C$25:$C$267,DI31))</f>
        <v>0</v>
      </c>
      <c r="QP31" s="50">
        <f>IF(DJ31="","",COUNTIFS($D$25:$D$267,Parameters!$K$2,$E$25:$E$267,Parameters!$M$6,Calendrier!$C$25:$C$267,DJ31)+ COUNTIFS($D$25:$D$267,Parameters!$K$3,$E$25:$E$267,Parameters!$M$6,Calendrier!$C$25:$C$267,DJ31))</f>
        <v>0</v>
      </c>
      <c r="QQ31" s="50">
        <f>IF(DK31="","",COUNTIFS($D$25:$D$267,Parameters!$K$2,$E$25:$E$267,Parameters!$M$6,Calendrier!$C$25:$C$267,DK31)+ COUNTIFS($D$25:$D$267,Parameters!$K$4,$E$25:$E$267,Parameters!$M$6,Calendrier!$C$25:$C$267,DK31))</f>
        <v>0</v>
      </c>
      <c r="QR31" s="50">
        <f>IF(DL31="","",COUNTIFS($D$25:$D$267,Parameters!$K$2,$E$25:$E$267,Parameters!$M$6,Calendrier!$C$25:$C$267,DL31)+ COUNTIFS($D$25:$D$267,Parameters!$K$3,$E$25:$E$267,Parameters!$M$6,Calendrier!$C$25:$C$267,DL31))</f>
        <v>0</v>
      </c>
      <c r="QS31" s="50">
        <f>IF(DM31="","",COUNTIFS($D$25:$D$267,Parameters!$K$2,$E$25:$E$267,Parameters!$M$6,Calendrier!$C$25:$C$267,DM31)+ COUNTIFS($D$25:$D$267,Parameters!$K$4,$E$25:$E$267,Parameters!$M$6,Calendrier!$C$25:$C$267,DM31))</f>
        <v>0</v>
      </c>
      <c r="QT31" s="50">
        <f>IF(DN31="","",COUNTIFS($D$25:$D$267,Parameters!$K$2,$E$25:$E$267,Parameters!$M$6,Calendrier!$C$25:$C$267,DN31)+ COUNTIFS($D$25:$D$267,Parameters!$K$3,$E$25:$E$267,Parameters!$M$6,Calendrier!$C$25:$C$267,DN31))</f>
        <v>0</v>
      </c>
      <c r="QU31" s="50">
        <f>IF(DO31="","",COUNTIFS($D$25:$D$267,Parameters!$K$2,$E$25:$E$267,Parameters!$M$6,Calendrier!$C$25:$C$267,DO31)+ COUNTIFS($D$25:$D$267,Parameters!$K$4,$E$25:$E$267,Parameters!$M$6,Calendrier!$C$25:$C$267,DO31))</f>
        <v>0</v>
      </c>
      <c r="QV31" s="50">
        <f>IF(DP31="","",COUNTIFS($D$25:$D$267,Parameters!$K$2,$E$25:$E$267,Parameters!$M$6,Calendrier!$C$25:$C$267,DP31)+ COUNTIFS($D$25:$D$267,Parameters!$K$3,$E$25:$E$267,Parameters!$M$6,Calendrier!$C$25:$C$267,DP31))</f>
        <v>0</v>
      </c>
      <c r="QW31" s="50">
        <f>IF(DQ31="","",COUNTIFS($D$25:$D$267,Parameters!$K$2,$E$25:$E$267,Parameters!$M$6,Calendrier!$C$25:$C$267,DQ31)+ COUNTIFS($D$25:$D$267,Parameters!$K$4,$E$25:$E$267,Parameters!$M$6,Calendrier!$C$25:$C$267,DQ31))</f>
        <v>0</v>
      </c>
      <c r="QX31" s="50">
        <f>IF(DR31="","",COUNTIFS($D$25:$D$267,Parameters!$K$2,$E$25:$E$267,Parameters!$M$6,Calendrier!$C$25:$C$267,DR31)+ COUNTIFS($D$25:$D$267,Parameters!$K$3,$E$25:$E$267,Parameters!$M$6,Calendrier!$C$25:$C$267,DR31))</f>
        <v>0</v>
      </c>
      <c r="QY31" s="50">
        <f>IF(DS31="","",COUNTIFS($D$25:$D$267,Parameters!$K$2,$E$25:$E$267,Parameters!$M$6,Calendrier!$C$25:$C$267,DS31)+ COUNTIFS($D$25:$D$267,Parameters!$K$4,$E$25:$E$267,Parameters!$M$6,Calendrier!$C$25:$C$267,DS31))</f>
        <v>0</v>
      </c>
      <c r="QZ31" s="50">
        <f>IF(DT31="","",COUNTIFS($D$25:$D$267,Parameters!$K$2,$E$25:$E$267,Parameters!$M$6,Calendrier!$C$25:$C$267,DT31)+ COUNTIFS($D$25:$D$267,Parameters!$K$3,$E$25:$E$267,Parameters!$M$6,Calendrier!$C$25:$C$267,DT31))</f>
        <v>0</v>
      </c>
      <c r="RA31" s="57">
        <f>IF(DU31="","",COUNTIFS($D$25:$D$267,Parameters!$K$2,$E$25:$E$267,Parameters!$M$6,Calendrier!$C$25:$C$267,DU31)+ COUNTIFS($D$25:$D$267,Parameters!$K$4,$E$25:$E$267,Parameters!$M$6,Calendrier!$C$25:$C$267,DU31))</f>
        <v>0</v>
      </c>
      <c r="RD31" s="49">
        <f>IF(DX31="","",COUNTIFS($D$25:$D$267,Parameters!$K$2,$E$25:$E$267,Parameters!$M$6,Calendrier!$C$25:$C$267,DX31)+ COUNTIFS($D$25:$D$267,Parameters!$K$3,$E$25:$E$267,Parameters!$M$6,Calendrier!$C$25:$C$267,DX31))</f>
        <v>0</v>
      </c>
      <c r="RE31" s="50">
        <f>IF(DY31="","",COUNTIFS($D$25:$D$267,Parameters!$K$2,$E$25:$E$267,Parameters!$M$6,Calendrier!$C$25:$C$267,DY31)+ COUNTIFS($D$25:$D$267,Parameters!$K$4,$E$25:$E$267,Parameters!$M$6,Calendrier!$C$25:$C$267,DY31))</f>
        <v>0</v>
      </c>
      <c r="RF31" s="50">
        <f>IF(DZ31="","",COUNTIFS($D$25:$D$267,Parameters!$K$2,$E$25:$E$267,Parameters!$M$6,Calendrier!$C$25:$C$267,DZ31)+ COUNTIFS($D$25:$D$267,Parameters!$K$3,$E$25:$E$267,Parameters!$M$6,Calendrier!$C$25:$C$267,DZ31))</f>
        <v>0</v>
      </c>
      <c r="RG31" s="50">
        <f>IF(EA31="","",COUNTIFS($D$25:$D$267,Parameters!$K$2,$E$25:$E$267,Parameters!$M$6,Calendrier!$C$25:$C$267,EA31)+ COUNTIFS($D$25:$D$267,Parameters!$K$4,$E$25:$E$267,Parameters!$M$6,Calendrier!$C$25:$C$267,EA31))</f>
        <v>0</v>
      </c>
      <c r="RH31" s="50">
        <f>IF(EB31="","",COUNTIFS($D$25:$D$267,Parameters!$K$2,$E$25:$E$267,Parameters!$M$6,Calendrier!$C$25:$C$267,EB31)+ COUNTIFS($D$25:$D$267,Parameters!$K$3,$E$25:$E$267,Parameters!$M$6,Calendrier!$C$25:$C$267,EB31))</f>
        <v>0</v>
      </c>
      <c r="RI31" s="50">
        <f>IF(EC31="","",COUNTIFS($D$25:$D$267,Parameters!$K$2,$E$25:$E$267,Parameters!$M$6,Calendrier!$C$25:$C$267,EC31)+ COUNTIFS($D$25:$D$267,Parameters!$K$4,$E$25:$E$267,Parameters!$M$6,Calendrier!$C$25:$C$267,EC31))</f>
        <v>0</v>
      </c>
      <c r="RJ31" s="50">
        <f>IF(ED31="","",COUNTIFS($D$25:$D$267,Parameters!$K$2,$E$25:$E$267,Parameters!$M$6,Calendrier!$C$25:$C$267,ED31)+ COUNTIFS($D$25:$D$267,Parameters!$K$3,$E$25:$E$267,Parameters!$M$6,Calendrier!$C$25:$C$267,ED31))</f>
        <v>0</v>
      </c>
      <c r="RK31" s="50">
        <f>IF(EE31="","",COUNTIFS($D$25:$D$267,Parameters!$K$2,$E$25:$E$267,Parameters!$M$6,Calendrier!$C$25:$C$267,EE31)+ COUNTIFS($D$25:$D$267,Parameters!$K$4,$E$25:$E$267,Parameters!$M$6,Calendrier!$C$25:$C$267,EE31))</f>
        <v>0</v>
      </c>
      <c r="RL31" s="50">
        <f>IF(EF31="","",COUNTIFS($D$25:$D$267,Parameters!$K$2,$E$25:$E$267,Parameters!$M$6,Calendrier!$C$25:$C$267,EF31)+ COUNTIFS($D$25:$D$267,Parameters!$K$3,$E$25:$E$267,Parameters!$M$6,Calendrier!$C$25:$C$267,EF31))</f>
        <v>0</v>
      </c>
      <c r="RM31" s="50">
        <f>IF(EG31="","",COUNTIFS($D$25:$D$267,Parameters!$K$2,$E$25:$E$267,Parameters!$M$6,Calendrier!$C$25:$C$267,EG31)+ COUNTIFS($D$25:$D$267,Parameters!$K$4,$E$25:$E$267,Parameters!$M$6,Calendrier!$C$25:$C$267,EG31))</f>
        <v>0</v>
      </c>
      <c r="RN31" s="50">
        <f>IF(EH31="","",COUNTIFS($D$25:$D$267,Parameters!$K$2,$E$25:$E$267,Parameters!$M$6,Calendrier!$C$25:$C$267,EH31)+ COUNTIFS($D$25:$D$267,Parameters!$K$3,$E$25:$E$267,Parameters!$M$6,Calendrier!$C$25:$C$267,EH31))</f>
        <v>0</v>
      </c>
      <c r="RO31" s="50">
        <f>IF(EI31="","",COUNTIFS($D$25:$D$267,Parameters!$K$2,$E$25:$E$267,Parameters!$M$6,Calendrier!$C$25:$C$267,EI31)+ COUNTIFS($D$25:$D$267,Parameters!$K$4,$E$25:$E$267,Parameters!$M$6,Calendrier!$C$25:$C$267,EI31))</f>
        <v>0</v>
      </c>
      <c r="RP31" s="50">
        <f>IF(EJ31="","",COUNTIFS($D$25:$D$267,Parameters!$K$2,$E$25:$E$267,Parameters!$M$6,Calendrier!$C$25:$C$267,EJ31)+ COUNTIFS($D$25:$D$267,Parameters!$K$3,$E$25:$E$267,Parameters!$M$6,Calendrier!$C$25:$C$267,EJ31))</f>
        <v>0</v>
      </c>
      <c r="RQ31" s="57">
        <f>IF(EK31="","",COUNTIFS($D$25:$D$267,Parameters!$K$2,$E$25:$E$267,Parameters!$M$6,Calendrier!$C$25:$C$267,EK31)+ COUNTIFS($D$25:$D$267,Parameters!$K$4,$E$25:$E$267,Parameters!$M$6,Calendrier!$C$25:$C$267,EK31))</f>
        <v>0</v>
      </c>
      <c r="RT31" s="49">
        <f>IF(EN31="","",COUNTIFS($D$25:$D$267,Parameters!$K$2,$E$25:$E$267,Parameters!$M$6,Calendrier!$C$25:$C$267,EN31)+ COUNTIFS($D$25:$D$267,Parameters!$K$3,$E$25:$E$267,Parameters!$M$6,Calendrier!$C$25:$C$267,EN31))</f>
        <v>0</v>
      </c>
      <c r="RU31" s="50">
        <f>IF(EO31="","",COUNTIFS($D$25:$D$267,Parameters!$K$2,$E$25:$E$267,Parameters!$M$6,Calendrier!$C$25:$C$267,EO31)+ COUNTIFS($D$25:$D$267,Parameters!$K$4,$E$25:$E$267,Parameters!$M$6,Calendrier!$C$25:$C$267,EO31))</f>
        <v>0</v>
      </c>
      <c r="RV31" s="50">
        <f>IF(EP31="","",COUNTIFS($D$25:$D$267,Parameters!$K$2,$E$25:$E$267,Parameters!$M$6,Calendrier!$C$25:$C$267,EP31)+ COUNTIFS($D$25:$D$267,Parameters!$K$3,$E$25:$E$267,Parameters!$M$6,Calendrier!$C$25:$C$267,EP31))</f>
        <v>0</v>
      </c>
      <c r="RW31" s="50">
        <f>IF(EQ31="","",COUNTIFS($D$25:$D$267,Parameters!$K$2,$E$25:$E$267,Parameters!$M$6,Calendrier!$C$25:$C$267,EQ31)+ COUNTIFS($D$25:$D$267,Parameters!$K$4,$E$25:$E$267,Parameters!$M$6,Calendrier!$C$25:$C$267,EQ31))</f>
        <v>0</v>
      </c>
      <c r="RX31" s="50">
        <f>IF(ER31="","",COUNTIFS($D$25:$D$267,Parameters!$K$2,$E$25:$E$267,Parameters!$M$6,Calendrier!$C$25:$C$267,ER31)+ COUNTIFS($D$25:$D$267,Parameters!$K$3,$E$25:$E$267,Parameters!$M$6,Calendrier!$C$25:$C$267,ER31))</f>
        <v>0</v>
      </c>
      <c r="RY31" s="50">
        <f>IF(ES31="","",COUNTIFS($D$25:$D$267,Parameters!$K$2,$E$25:$E$267,Parameters!$M$6,Calendrier!$C$25:$C$267,ES31)+ COUNTIFS($D$25:$D$267,Parameters!$K$4,$E$25:$E$267,Parameters!$M$6,Calendrier!$C$25:$C$267,ES31))</f>
        <v>0</v>
      </c>
      <c r="RZ31" s="50">
        <f>IF(ET31="","",COUNTIFS($D$25:$D$267,Parameters!$K$2,$E$25:$E$267,Parameters!$M$6,Calendrier!$C$25:$C$267,ET31)+ COUNTIFS($D$25:$D$267,Parameters!$K$3,$E$25:$E$267,Parameters!$M$6,Calendrier!$C$25:$C$267,ET31))</f>
        <v>0</v>
      </c>
      <c r="SA31" s="50">
        <f>IF(EU31="","",COUNTIFS($D$25:$D$267,Parameters!$K$2,$E$25:$E$267,Parameters!$M$6,Calendrier!$C$25:$C$267,EU31)+ COUNTIFS($D$25:$D$267,Parameters!$K$4,$E$25:$E$267,Parameters!$M$6,Calendrier!$C$25:$C$267,EU31))</f>
        <v>0</v>
      </c>
      <c r="SB31" s="50">
        <f>IF(EV31="","",COUNTIFS($D$25:$D$267,Parameters!$K$2,$E$25:$E$267,Parameters!$M$6,Calendrier!$C$25:$C$267,EV31)+ COUNTIFS($D$25:$D$267,Parameters!$K$3,$E$25:$E$267,Parameters!$M$6,Calendrier!$C$25:$C$267,EV31))</f>
        <v>0</v>
      </c>
      <c r="SC31" s="50">
        <f>IF(EW31="","",COUNTIFS($D$25:$D$267,Parameters!$K$2,$E$25:$E$267,Parameters!$M$6,Calendrier!$C$25:$C$267,EW31)+ COUNTIFS($D$25:$D$267,Parameters!$K$4,$E$25:$E$267,Parameters!$M$6,Calendrier!$C$25:$C$267,EW31))</f>
        <v>0</v>
      </c>
      <c r="SD31" s="50">
        <f>IF(EX31="","",COUNTIFS($D$25:$D$267,Parameters!$K$2,$E$25:$E$267,Parameters!$M$6,Calendrier!$C$25:$C$267,EX31)+ COUNTIFS($D$25:$D$267,Parameters!$K$3,$E$25:$E$267,Parameters!$M$6,Calendrier!$C$25:$C$267,EX31))</f>
        <v>0</v>
      </c>
      <c r="SE31" s="50">
        <f>IF(EY31="","",COUNTIFS($D$25:$D$267,Parameters!$K$2,$E$25:$E$267,Parameters!$M$6,Calendrier!$C$25:$C$267,EY31)+ COUNTIFS($D$25:$D$267,Parameters!$K$4,$E$25:$E$267,Parameters!$M$6,Calendrier!$C$25:$C$267,EY31))</f>
        <v>0</v>
      </c>
      <c r="SF31" s="50">
        <f>IF(EZ31="","",COUNTIFS($D$25:$D$267,Parameters!$K$2,$E$25:$E$267,Parameters!$M$6,Calendrier!$C$25:$C$267,EZ31)+ COUNTIFS($D$25:$D$267,Parameters!$K$3,$E$25:$E$267,Parameters!$M$6,Calendrier!$C$25:$C$267,EZ31))</f>
        <v>0</v>
      </c>
      <c r="SG31" s="57">
        <f>IF(FA31="","",COUNTIFS($D$25:$D$267,Parameters!$K$2,$E$25:$E$267,Parameters!$M$6,Calendrier!$C$25:$C$267,FA31)+ COUNTIFS($D$25:$D$267,Parameters!$K$4,$E$25:$E$267,Parameters!$M$6,Calendrier!$C$25:$C$267,FA31))</f>
        <v>0</v>
      </c>
      <c r="SL31" s="49">
        <f>IF(DH31="","",COUNTIFS($D$25:$D$267,Parameters!$K$2,$E$25:$E$267,Parameters!$M$7,Calendrier!$C$25:$C$267,DH31)+ COUNTIFS($D$25:$D$267,Parameters!$K$3,$E$25:$E$267,Parameters!$M$7,Calendrier!$C$25:$C$267,DH31))</f>
        <v>0</v>
      </c>
      <c r="SM31" s="50">
        <f>IF(DI31="","",COUNTIFS($D$25:$D$267,Parameters!$K$2,$E$25:$E$267,Parameters!$M$7,Calendrier!$C$25:$C$267,DI31)+ COUNTIFS($D$25:$D$267,Parameters!$K$4,$E$25:$E$267,Parameters!$M$7,Calendrier!$C$25:$C$267,DI31))</f>
        <v>0</v>
      </c>
      <c r="SN31" s="50">
        <f>IF(DJ31="","",COUNTIFS($D$25:$D$267,Parameters!$K$2,$E$25:$E$267,Parameters!$M$7,Calendrier!$C$25:$C$267,DJ31)+ COUNTIFS($D$25:$D$267,Parameters!$K$3,$E$25:$E$267,Parameters!$M$7,Calendrier!$C$25:$C$267,DJ31))</f>
        <v>0</v>
      </c>
      <c r="SO31" s="50">
        <f>IF(DK31="","",COUNTIFS($D$25:$D$267,Parameters!$K$2,$E$25:$E$267,Parameters!$M$7,Calendrier!$C$25:$C$267,DK31)+ COUNTIFS($D$25:$D$267,Parameters!$K$4,$E$25:$E$267,Parameters!$M$7,Calendrier!$C$25:$C$267,DK31))</f>
        <v>0</v>
      </c>
      <c r="SP31" s="50">
        <f>IF(DL31="","",COUNTIFS($D$25:$D$267,Parameters!$K$2,$E$25:$E$267,Parameters!$M$7,Calendrier!$C$25:$C$267,DL31)+ COUNTIFS($D$25:$D$267,Parameters!$K$3,$E$25:$E$267,Parameters!$M$7,Calendrier!$C$25:$C$267,DL31))</f>
        <v>0</v>
      </c>
      <c r="SQ31" s="50">
        <f>IF(DM31="","",COUNTIFS($D$25:$D$267,Parameters!$K$2,$E$25:$E$267,Parameters!$M$7,Calendrier!$C$25:$C$267,DM31)+ COUNTIFS($D$25:$D$267,Parameters!$K$4,$E$25:$E$267,Parameters!$M$7,Calendrier!$C$25:$C$267,DM31))</f>
        <v>0</v>
      </c>
      <c r="SR31" s="50">
        <f>IF(DN31="","",COUNTIFS($D$25:$D$267,Parameters!$K$2,$E$25:$E$267,Parameters!$M$7,Calendrier!$C$25:$C$267,DN31)+ COUNTIFS($D$25:$D$267,Parameters!$K$3,$E$25:$E$267,Parameters!$M$7,Calendrier!$C$25:$C$267,DN31))</f>
        <v>0</v>
      </c>
      <c r="SS31" s="50">
        <f>IF(DO31="","",COUNTIFS($D$25:$D$267,Parameters!$K$2,$E$25:$E$267,Parameters!$M$7,Calendrier!$C$25:$C$267,DO31)+ COUNTIFS($D$25:$D$267,Parameters!$K$4,$E$25:$E$267,Parameters!$M$7,Calendrier!$C$25:$C$267,DO31))</f>
        <v>0</v>
      </c>
      <c r="ST31" s="50">
        <f>IF(DP31="","",COUNTIFS($D$25:$D$267,Parameters!$K$2,$E$25:$E$267,Parameters!$M$7,Calendrier!$C$25:$C$267,DP31)+ COUNTIFS($D$25:$D$267,Parameters!$K$3,$E$25:$E$267,Parameters!$M$7,Calendrier!$C$25:$C$267,DP31))</f>
        <v>0</v>
      </c>
      <c r="SU31" s="50">
        <f>IF(DQ31="","",COUNTIFS($D$25:$D$267,Parameters!$K$2,$E$25:$E$267,Parameters!$M$7,Calendrier!$C$25:$C$267,DQ31)+ COUNTIFS($D$25:$D$267,Parameters!$K$4,$E$25:$E$267,Parameters!$M$7,Calendrier!$C$25:$C$267,DQ31))</f>
        <v>0</v>
      </c>
      <c r="SV31" s="50">
        <f>IF(DR31="","",COUNTIFS($D$25:$D$267,Parameters!$K$2,$E$25:$E$267,Parameters!$M$7,Calendrier!$C$25:$C$267,DR31)+ COUNTIFS($D$25:$D$267,Parameters!$K$3,$E$25:$E$267,Parameters!$M$7,Calendrier!$C$25:$C$267,DR31))</f>
        <v>0</v>
      </c>
      <c r="SW31" s="50">
        <f>IF(DS31="","",COUNTIFS($D$25:$D$267,Parameters!$K$2,$E$25:$E$267,Parameters!$M$7,Calendrier!$C$25:$C$267,DS31)+ COUNTIFS($D$25:$D$267,Parameters!$K$4,$E$25:$E$267,Parameters!$M$7,Calendrier!$C$25:$C$267,DS31))</f>
        <v>0</v>
      </c>
      <c r="SX31" s="50">
        <f>IF(DT31="","",COUNTIFS($D$25:$D$267,Parameters!$K$2,$E$25:$E$267,Parameters!$M$7,Calendrier!$C$25:$C$267,DT31)+ COUNTIFS($D$25:$D$267,Parameters!$K$3,$E$25:$E$267,Parameters!$M$7,Calendrier!$C$25:$C$267,DT31))</f>
        <v>0</v>
      </c>
      <c r="SY31" s="57">
        <f>IF(DU31="","",COUNTIFS($D$25:$D$267,Parameters!$K$2,$E$25:$E$267,Parameters!$M$7,Calendrier!$C$25:$C$267,DU31)+ COUNTIFS($D$25:$D$267,Parameters!$K$4,$E$25:$E$267,Parameters!$M$7,Calendrier!$C$25:$C$267,DU31))</f>
        <v>0</v>
      </c>
      <c r="TB31" s="49">
        <f>IF(DX31="","",COUNTIFS($D$25:$D$267,Parameters!$K$2,$E$25:$E$267,Parameters!$M$7,Calendrier!$C$25:$C$267,DX31)+ COUNTIFS($D$25:$D$267,Parameters!$K$3,$E$25:$E$267,Parameters!$M$7,Calendrier!$C$25:$C$267,DX31))</f>
        <v>0</v>
      </c>
      <c r="TC31" s="50">
        <f>IF(DY31="","",COUNTIFS($D$25:$D$267,Parameters!$K$2,$E$25:$E$267,Parameters!$M$7,Calendrier!$C$25:$C$267,DY31)+ COUNTIFS($D$25:$D$267,Parameters!$K$4,$E$25:$E$267,Parameters!$M$7,Calendrier!$C$25:$C$267,DY31))</f>
        <v>0</v>
      </c>
      <c r="TD31" s="50">
        <f>IF(DZ31="","",COUNTIFS($D$25:$D$267,Parameters!$K$2,$E$25:$E$267,Parameters!$M$7,Calendrier!$C$25:$C$267,DZ31)+ COUNTIFS($D$25:$D$267,Parameters!$K$3,$E$25:$E$267,Parameters!$M$7,Calendrier!$C$25:$C$267,DZ31))</f>
        <v>0</v>
      </c>
      <c r="TE31" s="50">
        <f>IF(EA31="","",COUNTIFS($D$25:$D$267,Parameters!$K$2,$E$25:$E$267,Parameters!$M$7,Calendrier!$C$25:$C$267,EA31)+ COUNTIFS($D$25:$D$267,Parameters!$K$4,$E$25:$E$267,Parameters!$M$7,Calendrier!$C$25:$C$267,EA31))</f>
        <v>0</v>
      </c>
      <c r="TF31" s="50">
        <f>IF(EB31="","",COUNTIFS($D$25:$D$267,Parameters!$K$2,$E$25:$E$267,Parameters!$M$7,Calendrier!$C$25:$C$267,EB31)+ COUNTIFS($D$25:$D$267,Parameters!$K$3,$E$25:$E$267,Parameters!$M$7,Calendrier!$C$25:$C$267,EB31))</f>
        <v>0</v>
      </c>
      <c r="TG31" s="50">
        <f>IF(EC31="","",COUNTIFS($D$25:$D$267,Parameters!$K$2,$E$25:$E$267,Parameters!$M$7,Calendrier!$C$25:$C$267,EC31)+ COUNTIFS($D$25:$D$267,Parameters!$K$4,$E$25:$E$267,Parameters!$M$7,Calendrier!$C$25:$C$267,EC31))</f>
        <v>0</v>
      </c>
      <c r="TH31" s="50">
        <f>IF(ED31="","",COUNTIFS($D$25:$D$267,Parameters!$K$2,$E$25:$E$267,Parameters!$M$7,Calendrier!$C$25:$C$267,ED31)+ COUNTIFS($D$25:$D$267,Parameters!$K$3,$E$25:$E$267,Parameters!$M$7,Calendrier!$C$25:$C$267,ED31))</f>
        <v>0</v>
      </c>
      <c r="TI31" s="50">
        <f>IF(EE31="","",COUNTIFS($D$25:$D$267,Parameters!$K$2,$E$25:$E$267,Parameters!$M$7,Calendrier!$C$25:$C$267,EE31)+ COUNTIFS($D$25:$D$267,Parameters!$K$4,$E$25:$E$267,Parameters!$M$7,Calendrier!$C$25:$C$267,EE31))</f>
        <v>0</v>
      </c>
      <c r="TJ31" s="50">
        <f>IF(EF31="","",COUNTIFS($D$25:$D$267,Parameters!$K$2,$E$25:$E$267,Parameters!$M$7,Calendrier!$C$25:$C$267,EF31)+ COUNTIFS($D$25:$D$267,Parameters!$K$3,$E$25:$E$267,Parameters!$M$7,Calendrier!$C$25:$C$267,EF31))</f>
        <v>0</v>
      </c>
      <c r="TK31" s="50">
        <f>IF(EG31="","",COUNTIFS($D$25:$D$267,Parameters!$K$2,$E$25:$E$267,Parameters!$M$7,Calendrier!$C$25:$C$267,EG31)+ COUNTIFS($D$25:$D$267,Parameters!$K$4,$E$25:$E$267,Parameters!$M$7,Calendrier!$C$25:$C$267,EG31))</f>
        <v>0</v>
      </c>
      <c r="TL31" s="50">
        <f>IF(EH31="","",COUNTIFS($D$25:$D$267,Parameters!$K$2,$E$25:$E$267,Parameters!$M$7,Calendrier!$C$25:$C$267,EH31)+ COUNTIFS($D$25:$D$267,Parameters!$K$3,$E$25:$E$267,Parameters!$M$7,Calendrier!$C$25:$C$267,EH31))</f>
        <v>0</v>
      </c>
      <c r="TM31" s="50">
        <f>IF(EI31="","",COUNTIFS($D$25:$D$267,Parameters!$K$2,$E$25:$E$267,Parameters!$M$7,Calendrier!$C$25:$C$267,EI31)+ COUNTIFS($D$25:$D$267,Parameters!$K$4,$E$25:$E$267,Parameters!$M$7,Calendrier!$C$25:$C$267,EI31))</f>
        <v>0</v>
      </c>
      <c r="TN31" s="50">
        <f>IF(EJ31="","",COUNTIFS($D$25:$D$267,Parameters!$K$2,$E$25:$E$267,Parameters!$M$7,Calendrier!$C$25:$C$267,EJ31)+ COUNTIFS($D$25:$D$267,Parameters!$K$3,$E$25:$E$267,Parameters!$M$7,Calendrier!$C$25:$C$267,EJ31))</f>
        <v>0</v>
      </c>
      <c r="TO31" s="57">
        <f>IF(EK31="","",COUNTIFS($D$25:$D$267,Parameters!$K$2,$E$25:$E$267,Parameters!$M$7,Calendrier!$C$25:$C$267,EK31)+ COUNTIFS($D$25:$D$267,Parameters!$K$4,$E$25:$E$267,Parameters!$M$7,Calendrier!$C$25:$C$267,EK31))</f>
        <v>0</v>
      </c>
      <c r="TR31" s="49">
        <f>IF(EN31="","",COUNTIFS($D$25:$D$267,Parameters!$K$2,$E$25:$E$267,Parameters!$M$7,Calendrier!$C$25:$C$267,EN31)+ COUNTIFS($D$25:$D$267,Parameters!$K$3,$E$25:$E$267,Parameters!$M$7,Calendrier!$C$25:$C$267,EN31))</f>
        <v>0</v>
      </c>
      <c r="TS31" s="50">
        <f>IF(EO31="","",COUNTIFS($D$25:$D$267,Parameters!$K$2,$E$25:$E$267,Parameters!$M$7,Calendrier!$C$25:$C$267,EO31)+ COUNTIFS($D$25:$D$267,Parameters!$K$4,$E$25:$E$267,Parameters!$M$7,Calendrier!$C$25:$C$267,EO31))</f>
        <v>0</v>
      </c>
      <c r="TT31" s="50">
        <f>IF(EP31="","",COUNTIFS($D$25:$D$267,Parameters!$K$2,$E$25:$E$267,Parameters!$M$7,Calendrier!$C$25:$C$267,EP31)+ COUNTIFS($D$25:$D$267,Parameters!$K$3,$E$25:$E$267,Parameters!$M$7,Calendrier!$C$25:$C$267,EP31))</f>
        <v>0</v>
      </c>
      <c r="TU31" s="50">
        <f>IF(EQ31="","",COUNTIFS($D$25:$D$267,Parameters!$K$2,$E$25:$E$267,Parameters!$M$7,Calendrier!$C$25:$C$267,EQ31)+ COUNTIFS($D$25:$D$267,Parameters!$K$4,$E$25:$E$267,Parameters!$M$7,Calendrier!$C$25:$C$267,EQ31))</f>
        <v>0</v>
      </c>
      <c r="TV31" s="50">
        <f>IF(ER31="","",COUNTIFS($D$25:$D$267,Parameters!$K$2,$E$25:$E$267,Parameters!$M$7,Calendrier!$C$25:$C$267,ER31)+ COUNTIFS($D$25:$D$267,Parameters!$K$3,$E$25:$E$267,Parameters!$M$7,Calendrier!$C$25:$C$267,ER31))</f>
        <v>0</v>
      </c>
      <c r="TW31" s="50">
        <f>IF(ES31="","",COUNTIFS($D$25:$D$267,Parameters!$K$2,$E$25:$E$267,Parameters!$M$7,Calendrier!$C$25:$C$267,ES31)+ COUNTIFS($D$25:$D$267,Parameters!$K$4,$E$25:$E$267,Parameters!$M$7,Calendrier!$C$25:$C$267,ES31))</f>
        <v>0</v>
      </c>
      <c r="TX31" s="50">
        <f>IF(ET31="","",COUNTIFS($D$25:$D$267,Parameters!$K$2,$E$25:$E$267,Parameters!$M$7,Calendrier!$C$25:$C$267,ET31)+ COUNTIFS($D$25:$D$267,Parameters!$K$3,$E$25:$E$267,Parameters!$M$7,Calendrier!$C$25:$C$267,ET31))</f>
        <v>0</v>
      </c>
      <c r="TY31" s="50">
        <f>IF(EU31="","",COUNTIFS($D$25:$D$267,Parameters!$K$2,$E$25:$E$267,Parameters!$M$7,Calendrier!$C$25:$C$267,EU31)+ COUNTIFS($D$25:$D$267,Parameters!$K$4,$E$25:$E$267,Parameters!$M$7,Calendrier!$C$25:$C$267,EU31))</f>
        <v>0</v>
      </c>
      <c r="TZ31" s="50">
        <f>IF(EV31="","",COUNTIFS($D$25:$D$267,Parameters!$K$2,$E$25:$E$267,Parameters!$M$7,Calendrier!$C$25:$C$267,EV31)+ COUNTIFS($D$25:$D$267,Parameters!$K$3,$E$25:$E$267,Parameters!$M$7,Calendrier!$C$25:$C$267,EV31))</f>
        <v>0</v>
      </c>
      <c r="UA31" s="50">
        <f>IF(EW31="","",COUNTIFS($D$25:$D$267,Parameters!$K$2,$E$25:$E$267,Parameters!$M$7,Calendrier!$C$25:$C$267,EW31)+ COUNTIFS($D$25:$D$267,Parameters!$K$4,$E$25:$E$267,Parameters!$M$7,Calendrier!$C$25:$C$267,EW31))</f>
        <v>0</v>
      </c>
      <c r="UB31" s="50">
        <f>IF(EX31="","",COUNTIFS($D$25:$D$267,Parameters!$K$2,$E$25:$E$267,Parameters!$M$7,Calendrier!$C$25:$C$267,EX31)+ COUNTIFS($D$25:$D$267,Parameters!$K$3,$E$25:$E$267,Parameters!$M$7,Calendrier!$C$25:$C$267,EX31))</f>
        <v>0</v>
      </c>
      <c r="UC31" s="50">
        <f>IF(EY31="","",COUNTIFS($D$25:$D$267,Parameters!$K$2,$E$25:$E$267,Parameters!$M$7,Calendrier!$C$25:$C$267,EY31)+ COUNTIFS($D$25:$D$267,Parameters!$K$4,$E$25:$E$267,Parameters!$M$7,Calendrier!$C$25:$C$267,EY31))</f>
        <v>0</v>
      </c>
      <c r="UD31" s="50">
        <f>IF(EZ31="","",COUNTIFS($D$25:$D$267,Parameters!$K$2,$E$25:$E$267,Parameters!$M$7,Calendrier!$C$25:$C$267,EZ31)+ COUNTIFS($D$25:$D$267,Parameters!$K$3,$E$25:$E$267,Parameters!$M$7,Calendrier!$C$25:$C$267,EZ31))</f>
        <v>0</v>
      </c>
      <c r="UE31" s="57">
        <f>IF(FA31="","",COUNTIFS($D$25:$D$267,Parameters!$K$2,$E$25:$E$267,Parameters!$M$7,Calendrier!$C$25:$C$267,FA31)+ COUNTIFS($D$25:$D$267,Parameters!$K$4,$E$25:$E$267,Parameters!$M$7,Calendrier!$C$25:$C$267,FA31))</f>
        <v>0</v>
      </c>
    </row>
    <row r="32" spans="2:551" x14ac:dyDescent="0.3">
      <c r="B32" s="73">
        <f t="shared" si="317"/>
        <v>2025</v>
      </c>
      <c r="C32" s="27">
        <v>45827</v>
      </c>
      <c r="D32" s="30" t="s">
        <v>30</v>
      </c>
      <c r="E32" s="30" t="s">
        <v>36</v>
      </c>
      <c r="F32" s="61"/>
      <c r="G32" s="77"/>
      <c r="K32" s="31"/>
      <c r="L32" s="22">
        <f>IF(X31&lt;&gt;"",IF(X31&lt;$Z$27,X31+1,""),"")</f>
        <v>27</v>
      </c>
      <c r="M32" s="23"/>
      <c r="N32" s="22">
        <f>IF(L32&lt;&gt;"",IF(L32&lt;$Z$27,L32+1,""),"")</f>
        <v>28</v>
      </c>
      <c r="O32" s="23"/>
      <c r="P32" s="22">
        <f>IF(N32&lt;&gt;"",IF(N32&lt;$Z$27,N32+1,""),"")</f>
        <v>29</v>
      </c>
      <c r="Q32" s="23"/>
      <c r="R32" s="22">
        <f>IF(P32&lt;&gt;"",IF(P32&lt;$Z$27,P32+1,""),"")</f>
        <v>30</v>
      </c>
      <c r="S32" s="23"/>
      <c r="T32" s="22">
        <f>IF(R32&lt;&gt;"",IF(R32&lt;$Z$27,R32+1,""),"")</f>
        <v>31</v>
      </c>
      <c r="U32" s="23"/>
      <c r="V32" s="22" t="str">
        <f>IF(T32&lt;&gt;"",IF(T32&lt;$Z$27,T32+1,""),"")</f>
        <v/>
      </c>
      <c r="W32" s="23"/>
      <c r="X32" s="22" t="str">
        <f>IF(V32&lt;&gt;"",IF(V32&lt;$Z$27,V32+1,""),"")</f>
        <v/>
      </c>
      <c r="Y32" s="23"/>
      <c r="Z32" s="31"/>
      <c r="AA32" s="31"/>
      <c r="AB32" s="22">
        <f>IF(AN31&lt;&gt;"",IF(AN31&lt;$AP$27,AN31+1,""),"")</f>
        <v>24</v>
      </c>
      <c r="AC32" s="23"/>
      <c r="AD32" s="22">
        <f>IF(AB32&lt;&gt;"",IF(AB32&lt;$AP$27,AB32+1,""),"")</f>
        <v>25</v>
      </c>
      <c r="AE32" s="23"/>
      <c r="AF32" s="22">
        <f>IF(AD32&lt;&gt;"",IF(AD32&lt;$AP$27,AD32+1,""),"")</f>
        <v>26</v>
      </c>
      <c r="AG32" s="23"/>
      <c r="AH32" s="22">
        <f>IF(AF32&lt;&gt;"",IF(AF32&lt;$AP$27,AF32+1,""),"")</f>
        <v>27</v>
      </c>
      <c r="AI32" s="23"/>
      <c r="AJ32" s="22">
        <f>IF(AH32&lt;&gt;"",IF(AH32&lt;$AP$27,AH32+1,""),"")</f>
        <v>28</v>
      </c>
      <c r="AK32" s="23"/>
      <c r="AL32" s="22">
        <f>IF(AJ32&lt;&gt;"",IF(AJ32&lt;$AP$27,AJ32+1,""),"")</f>
        <v>29</v>
      </c>
      <c r="AM32" s="23"/>
      <c r="AN32" s="22">
        <f>IF(AL32&lt;&gt;"",IF(AL32&lt;$AP$27,AL32+1,""),"")</f>
        <v>30</v>
      </c>
      <c r="AO32" s="23"/>
      <c r="AP32" s="31"/>
      <c r="AQ32" s="31"/>
      <c r="AR32" s="22">
        <f>IF(BD31&lt;&gt;"",IF(BD31&lt;$BF$27,BD31+1,""),"")</f>
        <v>28</v>
      </c>
      <c r="AS32" s="23"/>
      <c r="AT32" s="22">
        <f>IF(AR32&lt;&gt;"",IF(AR32&lt;$BF$27,AR32+1,""),"")</f>
        <v>29</v>
      </c>
      <c r="AU32" s="23"/>
      <c r="AV32" s="22">
        <f>IF(AT32&lt;&gt;"",IF(AT32&lt;$BF$27,AT32+1,""),"")</f>
        <v>30</v>
      </c>
      <c r="AW32" s="23"/>
      <c r="AX32" s="22" t="str">
        <f>IF(AV32&lt;&gt;"",IF(AV32&lt;$BF$27,AV32+1,""),"")</f>
        <v/>
      </c>
      <c r="AY32" s="23"/>
      <c r="AZ32" s="22" t="str">
        <f>IF(AX32&lt;&gt;"",IF(AX32&lt;$BF$27,AX32+1,""),"")</f>
        <v/>
      </c>
      <c r="BA32" s="23"/>
      <c r="BB32" s="22" t="str">
        <f>IF(AZ32&lt;&gt;"",IF(AZ32&lt;$BF$27,AZ32+1,""),"")</f>
        <v/>
      </c>
      <c r="BC32" s="23"/>
      <c r="BD32" s="22" t="str">
        <f>IF(BB32&lt;&gt;"",IF(BB32&lt;$BF$27,BB32+1,""),"")</f>
        <v/>
      </c>
      <c r="BE32" s="23"/>
      <c r="BF32" s="31"/>
      <c r="BG32" s="31"/>
      <c r="BJ32" s="42"/>
      <c r="BK32" s="6">
        <v>7</v>
      </c>
      <c r="BL32" s="6">
        <v>7</v>
      </c>
      <c r="BM32" s="6">
        <v>7</v>
      </c>
      <c r="BN32" s="6">
        <v>7</v>
      </c>
      <c r="BO32" s="6">
        <v>7</v>
      </c>
      <c r="BP32" s="6">
        <v>7</v>
      </c>
      <c r="BQ32" s="6">
        <v>7</v>
      </c>
      <c r="BR32" s="6">
        <v>7</v>
      </c>
      <c r="BS32" s="6">
        <v>7</v>
      </c>
      <c r="BT32" s="6">
        <v>7</v>
      </c>
      <c r="BU32" s="6">
        <v>7</v>
      </c>
      <c r="BV32" s="6">
        <v>7</v>
      </c>
      <c r="BW32" s="6">
        <v>7</v>
      </c>
      <c r="CA32" s="6">
        <v>8</v>
      </c>
      <c r="CB32" s="6">
        <v>8</v>
      </c>
      <c r="CC32" s="6">
        <v>8</v>
      </c>
      <c r="CD32" s="6">
        <v>8</v>
      </c>
      <c r="CE32" s="6">
        <v>8</v>
      </c>
      <c r="CF32" s="6">
        <v>8</v>
      </c>
      <c r="CG32" s="6">
        <v>8</v>
      </c>
      <c r="CH32" s="6">
        <v>8</v>
      </c>
      <c r="CI32" s="6">
        <v>8</v>
      </c>
      <c r="CJ32" s="6">
        <v>8</v>
      </c>
      <c r="CK32" s="6">
        <v>8</v>
      </c>
      <c r="CL32" s="6">
        <v>8</v>
      </c>
      <c r="CM32" s="6">
        <v>8</v>
      </c>
      <c r="CQ32" s="6">
        <v>9</v>
      </c>
      <c r="CR32" s="6">
        <v>9</v>
      </c>
      <c r="CS32" s="6">
        <v>9</v>
      </c>
      <c r="CT32" s="6">
        <v>9</v>
      </c>
      <c r="CU32" s="6">
        <v>9</v>
      </c>
      <c r="CV32" s="6">
        <v>9</v>
      </c>
      <c r="CW32" s="6">
        <v>9</v>
      </c>
      <c r="CX32" s="6">
        <v>9</v>
      </c>
      <c r="CY32" s="6">
        <v>9</v>
      </c>
      <c r="CZ32" s="6">
        <v>9</v>
      </c>
      <c r="DA32" s="6">
        <v>9</v>
      </c>
      <c r="DB32" s="6">
        <v>9</v>
      </c>
      <c r="DC32" s="6">
        <v>9</v>
      </c>
      <c r="DG32" s="42"/>
      <c r="DH32" s="43">
        <f t="shared" si="355"/>
        <v>46230</v>
      </c>
      <c r="DI32" s="44">
        <f t="shared" ref="DI32" si="432">DH32</f>
        <v>46230</v>
      </c>
      <c r="DJ32" s="44">
        <f t="shared" si="318"/>
        <v>46231</v>
      </c>
      <c r="DK32" s="44">
        <f t="shared" ref="DK32" si="433">DJ32</f>
        <v>46231</v>
      </c>
      <c r="DL32" s="44">
        <f t="shared" si="320"/>
        <v>46232</v>
      </c>
      <c r="DM32" s="44">
        <f t="shared" ref="DM32" si="434">DL32</f>
        <v>46232</v>
      </c>
      <c r="DN32" s="44">
        <f t="shared" si="322"/>
        <v>46233</v>
      </c>
      <c r="DO32" s="44">
        <f t="shared" ref="DO32" si="435">DN32</f>
        <v>46233</v>
      </c>
      <c r="DP32" s="44">
        <f t="shared" si="324"/>
        <v>46234</v>
      </c>
      <c r="DQ32" s="44">
        <f t="shared" ref="DQ32" si="436">DP32</f>
        <v>46234</v>
      </c>
      <c r="DR32" s="44" t="str">
        <f t="shared" si="326"/>
        <v/>
      </c>
      <c r="DS32" s="44" t="str">
        <f t="shared" ref="DS32" si="437">DR32</f>
        <v/>
      </c>
      <c r="DT32" s="44" t="str">
        <f t="shared" si="328"/>
        <v/>
      </c>
      <c r="DU32" s="45" t="str">
        <f t="shared" si="329"/>
        <v/>
      </c>
      <c r="DX32" s="43">
        <f t="shared" si="362"/>
        <v>46258</v>
      </c>
      <c r="DY32" s="44">
        <f t="shared" ref="DY32" si="438">DX32</f>
        <v>46258</v>
      </c>
      <c r="DZ32" s="44">
        <f t="shared" si="330"/>
        <v>46259</v>
      </c>
      <c r="EA32" s="44">
        <f t="shared" ref="EA32" si="439">DZ32</f>
        <v>46259</v>
      </c>
      <c r="EB32" s="44">
        <f t="shared" si="332"/>
        <v>46260</v>
      </c>
      <c r="EC32" s="44">
        <f t="shared" ref="EC32" si="440">EB32</f>
        <v>46260</v>
      </c>
      <c r="ED32" s="44">
        <f t="shared" si="334"/>
        <v>46261</v>
      </c>
      <c r="EE32" s="44">
        <f t="shared" ref="EE32" si="441">ED32</f>
        <v>46261</v>
      </c>
      <c r="EF32" s="44">
        <f t="shared" si="336"/>
        <v>46262</v>
      </c>
      <c r="EG32" s="44">
        <f t="shared" ref="EG32" si="442">EF32</f>
        <v>46262</v>
      </c>
      <c r="EH32" s="44">
        <f t="shared" si="338"/>
        <v>46263</v>
      </c>
      <c r="EI32" s="44">
        <f t="shared" ref="EI32" si="443">EH32</f>
        <v>46263</v>
      </c>
      <c r="EJ32" s="44">
        <f t="shared" si="340"/>
        <v>46264</v>
      </c>
      <c r="EK32" s="45">
        <f t="shared" si="341"/>
        <v>46264</v>
      </c>
      <c r="EN32" s="43">
        <f t="shared" si="369"/>
        <v>46293</v>
      </c>
      <c r="EO32" s="44">
        <f t="shared" ref="EO32" si="444">EN32</f>
        <v>46293</v>
      </c>
      <c r="EP32" s="44">
        <f t="shared" si="342"/>
        <v>46294</v>
      </c>
      <c r="EQ32" s="44">
        <f t="shared" ref="EQ32" si="445">EP32</f>
        <v>46294</v>
      </c>
      <c r="ER32" s="44">
        <f t="shared" si="344"/>
        <v>46295</v>
      </c>
      <c r="ES32" s="44">
        <f t="shared" ref="ES32" si="446">ER32</f>
        <v>46295</v>
      </c>
      <c r="ET32" s="44" t="str">
        <f t="shared" si="346"/>
        <v/>
      </c>
      <c r="EU32" s="44" t="str">
        <f t="shared" ref="EU32" si="447">ET32</f>
        <v/>
      </c>
      <c r="EV32" s="44" t="str">
        <f t="shared" si="348"/>
        <v/>
      </c>
      <c r="EW32" s="44" t="str">
        <f t="shared" ref="EW32" si="448">EV32</f>
        <v/>
      </c>
      <c r="EX32" s="44" t="str">
        <f t="shared" si="350"/>
        <v/>
      </c>
      <c r="EY32" s="44" t="str">
        <f t="shared" ref="EY32" si="449">EX32</f>
        <v/>
      </c>
      <c r="EZ32" s="44" t="str">
        <f t="shared" si="352"/>
        <v/>
      </c>
      <c r="FA32" s="45" t="str">
        <f t="shared" si="353"/>
        <v/>
      </c>
      <c r="FE32" s="49">
        <f>COUNTIFS(Parameters!$S:$S,$D$4,Parameters!$Q:$Q,DH32)</f>
        <v>0</v>
      </c>
      <c r="FF32" s="50">
        <f>COUNTIFS(Parameters!$S:$S,$D$4,Parameters!$Q:$Q,DI32)</f>
        <v>0</v>
      </c>
      <c r="FG32" s="50">
        <f>COUNTIFS(Parameters!$S:$S,$D$4,Parameters!$Q:$Q,DJ32)</f>
        <v>0</v>
      </c>
      <c r="FH32" s="50">
        <f>COUNTIFS(Parameters!$S:$S,$D$4,Parameters!$Q:$Q,DK32)</f>
        <v>0</v>
      </c>
      <c r="FI32" s="50">
        <f>COUNTIFS(Parameters!$S:$S,$D$4,Parameters!$Q:$Q,DL32)</f>
        <v>0</v>
      </c>
      <c r="FJ32" s="50">
        <f>COUNTIFS(Parameters!$S:$S,$D$4,Parameters!$Q:$Q,DM32)</f>
        <v>0</v>
      </c>
      <c r="FK32" s="50">
        <f>COUNTIFS(Parameters!$S:$S,$D$4,Parameters!$Q:$Q,DN32)</f>
        <v>0</v>
      </c>
      <c r="FL32" s="50">
        <f>COUNTIFS(Parameters!$S:$S,$D$4,Parameters!$Q:$Q,DO32)</f>
        <v>0</v>
      </c>
      <c r="FM32" s="50">
        <f>COUNTIFS(Parameters!$S:$S,$D$4,Parameters!$Q:$Q,DP32)</f>
        <v>0</v>
      </c>
      <c r="FN32" s="50">
        <f>COUNTIFS(Parameters!$S:$S,$D$4,Parameters!$Q:$Q,DQ32)</f>
        <v>0</v>
      </c>
      <c r="FO32" s="50">
        <f>COUNTIFS(Parameters!$S:$S,$D$4,Parameters!$Q:$Q,DR32)</f>
        <v>0</v>
      </c>
      <c r="FP32" s="50">
        <f>COUNTIFS(Parameters!$S:$S,$D$4,Parameters!$Q:$Q,DS32)</f>
        <v>0</v>
      </c>
      <c r="FQ32" s="50">
        <f>COUNTIFS(Parameters!$S:$S,$D$4,Parameters!$Q:$Q,DT32)</f>
        <v>0</v>
      </c>
      <c r="FR32" s="57">
        <f>COUNTIFS(Parameters!$S:$S,$D$4,Parameters!$Q:$Q,DU32)</f>
        <v>0</v>
      </c>
      <c r="FU32" s="49">
        <f>COUNTIFS(Parameters!$S:$S,$D$4,Parameters!$Q:$Q,DX32)</f>
        <v>0</v>
      </c>
      <c r="FV32" s="50">
        <f>COUNTIFS(Parameters!$S:$S,$D$4,Parameters!$Q:$Q,DY32)</f>
        <v>0</v>
      </c>
      <c r="FW32" s="50">
        <f>COUNTIFS(Parameters!$S:$S,$D$4,Parameters!$Q:$Q,DZ32)</f>
        <v>0</v>
      </c>
      <c r="FX32" s="50">
        <f>COUNTIFS(Parameters!$S:$S,$D$4,Parameters!$Q:$Q,EA32)</f>
        <v>0</v>
      </c>
      <c r="FY32" s="50">
        <f>COUNTIFS(Parameters!$S:$S,$D$4,Parameters!$Q:$Q,EB32)</f>
        <v>0</v>
      </c>
      <c r="FZ32" s="50">
        <f>COUNTIFS(Parameters!$S:$S,$D$4,Parameters!$Q:$Q,EC32)</f>
        <v>0</v>
      </c>
      <c r="GA32" s="50">
        <f>COUNTIFS(Parameters!$S:$S,$D$4,Parameters!$Q:$Q,ED32)</f>
        <v>0</v>
      </c>
      <c r="GB32" s="50">
        <f>COUNTIFS(Parameters!$S:$S,$D$4,Parameters!$Q:$Q,EE32)</f>
        <v>0</v>
      </c>
      <c r="GC32" s="50">
        <f>COUNTIFS(Parameters!$S:$S,$D$4,Parameters!$Q:$Q,EF32)</f>
        <v>0</v>
      </c>
      <c r="GD32" s="50">
        <f>COUNTIFS(Parameters!$S:$S,$D$4,Parameters!$Q:$Q,EG32)</f>
        <v>0</v>
      </c>
      <c r="GE32" s="50">
        <f>COUNTIFS(Parameters!$S:$S,$D$4,Parameters!$Q:$Q,EH32)</f>
        <v>0</v>
      </c>
      <c r="GF32" s="50">
        <f>COUNTIFS(Parameters!$S:$S,$D$4,Parameters!$Q:$Q,EI32)</f>
        <v>0</v>
      </c>
      <c r="GG32" s="50">
        <f>COUNTIFS(Parameters!$S:$S,$D$4,Parameters!$Q:$Q,EJ32)</f>
        <v>0</v>
      </c>
      <c r="GH32" s="57">
        <f>COUNTIFS(Parameters!$S:$S,$D$4,Parameters!$Q:$Q,EK32)</f>
        <v>0</v>
      </c>
      <c r="GK32" s="49">
        <f>COUNTIFS(Parameters!$S:$S,$D$4,Parameters!$Q:$Q,EN32)</f>
        <v>0</v>
      </c>
      <c r="GL32" s="50">
        <f>COUNTIFS(Parameters!$S:$S,$D$4,Parameters!$Q:$Q,EO32)</f>
        <v>0</v>
      </c>
      <c r="GM32" s="50">
        <f>COUNTIFS(Parameters!$S:$S,$D$4,Parameters!$Q:$Q,EP32)</f>
        <v>0</v>
      </c>
      <c r="GN32" s="50">
        <f>COUNTIFS(Parameters!$S:$S,$D$4,Parameters!$Q:$Q,EQ32)</f>
        <v>0</v>
      </c>
      <c r="GO32" s="50">
        <f>COUNTIFS(Parameters!$S:$S,$D$4,Parameters!$Q:$Q,ER32)</f>
        <v>0</v>
      </c>
      <c r="GP32" s="50">
        <f>COUNTIFS(Parameters!$S:$S,$D$4,Parameters!$Q:$Q,ES32)</f>
        <v>0</v>
      </c>
      <c r="GQ32" s="50">
        <f>COUNTIFS(Parameters!$S:$S,$D$4,Parameters!$Q:$Q,ET32)</f>
        <v>0</v>
      </c>
      <c r="GR32" s="50">
        <f>COUNTIFS(Parameters!$S:$S,$D$4,Parameters!$Q:$Q,EU32)</f>
        <v>0</v>
      </c>
      <c r="GS32" s="50">
        <f>COUNTIFS(Parameters!$S:$S,$D$4,Parameters!$Q:$Q,EV32)</f>
        <v>0</v>
      </c>
      <c r="GT32" s="50">
        <f>COUNTIFS(Parameters!$S:$S,$D$4,Parameters!$Q:$Q,EW32)</f>
        <v>0</v>
      </c>
      <c r="GU32" s="50">
        <f>COUNTIFS(Parameters!$S:$S,$D$4,Parameters!$Q:$Q,EX32)</f>
        <v>0</v>
      </c>
      <c r="GV32" s="50">
        <f>COUNTIFS(Parameters!$S:$S,$D$4,Parameters!$Q:$Q,EY32)</f>
        <v>0</v>
      </c>
      <c r="GW32" s="50">
        <f>COUNTIFS(Parameters!$S:$S,$D$4,Parameters!$Q:$Q,EZ32)</f>
        <v>0</v>
      </c>
      <c r="GX32" s="57">
        <f>COUNTIFS(Parameters!$S:$S,$D$4,Parameters!$Q:$Q,FA32)</f>
        <v>0</v>
      </c>
      <c r="HB32" s="49">
        <f>IF(DH32="","",COUNTIFS($D$25:$D$267,Parameters!$K$2,$E$25:$E$267,Parameters!$M$2,Calendrier!$C$25:$C$267,DH32)+ COUNTIFS($D$25:$D$267,Parameters!$K$3,$E$25:$E$267,Parameters!$M$2,Calendrier!$C$25:$C$267,DH32))</f>
        <v>0</v>
      </c>
      <c r="HC32" s="50">
        <f>IF(DI32="","",COUNTIFS($D$25:$D$267,Parameters!$K$2,$E$25:$E$267,Parameters!$M$2,Calendrier!$C$25:$C$267,DI32)+ COUNTIFS($D$25:$D$267,Parameters!$K$4,$E$25:$E$267,Parameters!$M$2,Calendrier!$C$25:$C$267,DI32))</f>
        <v>0</v>
      </c>
      <c r="HD32" s="50">
        <f>IF(DJ32="","",COUNTIFS($D$25:$D$267,Parameters!$K$2,$E$25:$E$267,Parameters!$M$2,Calendrier!$C$25:$C$267,DJ32)+ COUNTIFS($D$25:$D$267,Parameters!$K$3,$E$25:$E$267,Parameters!$M$2,Calendrier!$C$25:$C$267,DJ32))</f>
        <v>0</v>
      </c>
      <c r="HE32" s="50">
        <f>IF(DK32="","",COUNTIFS($D$25:$D$267,Parameters!$K$2,$E$25:$E$267,Parameters!$M$2,Calendrier!$C$25:$C$267,DK32)+ COUNTIFS($D$25:$D$267,Parameters!$K$4,$E$25:$E$267,Parameters!$M$2,Calendrier!$C$25:$C$267,DK32))</f>
        <v>0</v>
      </c>
      <c r="HF32" s="50">
        <f>IF(DL32="","",COUNTIFS($D$25:$D$267,Parameters!$K$2,$E$25:$E$267,Parameters!$M$2,Calendrier!$C$25:$C$267,DL32)+ COUNTIFS($D$25:$D$267,Parameters!$K$3,$E$25:$E$267,Parameters!$M$2,Calendrier!$C$25:$C$267,DL32))</f>
        <v>0</v>
      </c>
      <c r="HG32" s="50">
        <f>IF(DM32="","",COUNTIFS($D$25:$D$267,Parameters!$K$2,$E$25:$E$267,Parameters!$M$2,Calendrier!$C$25:$C$267,DM32)+ COUNTIFS($D$25:$D$267,Parameters!$K$4,$E$25:$E$267,Parameters!$M$2,Calendrier!$C$25:$C$267,DM32))</f>
        <v>0</v>
      </c>
      <c r="HH32" s="50">
        <f>IF(DN32="","",COUNTIFS($D$25:$D$267,Parameters!$K$2,$E$25:$E$267,Parameters!$M$2,Calendrier!$C$25:$C$267,DN32)+ COUNTIFS($D$25:$D$267,Parameters!$K$3,$E$25:$E$267,Parameters!$M$2,Calendrier!$C$25:$C$267,DN32))</f>
        <v>0</v>
      </c>
      <c r="HI32" s="50">
        <f>IF(DO32="","",COUNTIFS($D$25:$D$267,Parameters!$K$2,$E$25:$E$267,Parameters!$M$2,Calendrier!$C$25:$C$267,DO32)+ COUNTIFS($D$25:$D$267,Parameters!$K$4,$E$25:$E$267,Parameters!$M$2,Calendrier!$C$25:$C$267,DO32))</f>
        <v>0</v>
      </c>
      <c r="HJ32" s="50">
        <f>IF(DP32="","",COUNTIFS($D$25:$D$267,Parameters!$K$2,$E$25:$E$267,Parameters!$M$2,Calendrier!$C$25:$C$267,DP32)+ COUNTIFS($D$25:$D$267,Parameters!$K$3,$E$25:$E$267,Parameters!$M$2,Calendrier!$C$25:$C$267,DP32))</f>
        <v>0</v>
      </c>
      <c r="HK32" s="50">
        <f>IF(DQ32="","",COUNTIFS($D$25:$D$267,Parameters!$K$2,$E$25:$E$267,Parameters!$M$2,Calendrier!$C$25:$C$267,DQ32)+ COUNTIFS($D$25:$D$267,Parameters!$K$4,$E$25:$E$267,Parameters!$M$2,Calendrier!$C$25:$C$267,DQ32))</f>
        <v>0</v>
      </c>
      <c r="HL32" s="50" t="str">
        <f>IF(DR32="","",COUNTIFS($D$25:$D$267,Parameters!$K$2,$E$25:$E$267,Parameters!$M$2,Calendrier!$C$25:$C$267,DR32)+ COUNTIFS($D$25:$D$267,Parameters!$K$3,$E$25:$E$267,Parameters!$M$2,Calendrier!$C$25:$C$267,DR32))</f>
        <v/>
      </c>
      <c r="HM32" s="50" t="str">
        <f>IF(DS32="","",COUNTIFS($D$25:$D$267,Parameters!$K$2,$E$25:$E$267,Parameters!$M$2,Calendrier!$C$25:$C$267,DS32)+ COUNTIFS($D$25:$D$267,Parameters!$K$4,$E$25:$E$267,Parameters!$M$2,Calendrier!$C$25:$C$267,DS32))</f>
        <v/>
      </c>
      <c r="HN32" s="50" t="str">
        <f>IF(DT32="","",COUNTIFS($D$25:$D$267,Parameters!$K$2,$E$25:$E$267,Parameters!$M$2,Calendrier!$C$25:$C$267,DT32)+ COUNTIFS($D$25:$D$267,Parameters!$K$3,$E$25:$E$267,Parameters!$M$2,Calendrier!$C$25:$C$267,DT32))</f>
        <v/>
      </c>
      <c r="HO32" s="57" t="str">
        <f>IF(DU32="","",COUNTIFS($D$25:$D$267,Parameters!$K$2,$E$25:$E$267,Parameters!$M$2,Calendrier!$C$25:$C$267,DU32)+ COUNTIFS($D$25:$D$267,Parameters!$K$4,$E$25:$E$267,Parameters!$M$2,Calendrier!$C$25:$C$267,DU32))</f>
        <v/>
      </c>
      <c r="HR32" s="49">
        <f>IF(DX32="","",COUNTIFS($D$25:$D$267,Parameters!$K$2,$E$25:$E$267,Parameters!$M$2,Calendrier!$C$25:$C$267,DX32)+ COUNTIFS($D$25:$D$267,Parameters!$K$3,$E$25:$E$267,Parameters!$M$2,Calendrier!$C$25:$C$267,DX32))</f>
        <v>0</v>
      </c>
      <c r="HS32" s="50">
        <f>IF(DY32="","",COUNTIFS($D$25:$D$267,Parameters!$K$2,$E$25:$E$267,Parameters!$M$2,Calendrier!$C$25:$C$267,DY32)+ COUNTIFS($D$25:$D$267,Parameters!$K$4,$E$25:$E$267,Parameters!$M$2,Calendrier!$C$25:$C$267,DY32))</f>
        <v>0</v>
      </c>
      <c r="HT32" s="50">
        <f>IF(DZ32="","",COUNTIFS($D$25:$D$267,Parameters!$K$2,$E$25:$E$267,Parameters!$M$2,Calendrier!$C$25:$C$267,DZ32)+ COUNTIFS($D$25:$D$267,Parameters!$K$3,$E$25:$E$267,Parameters!$M$2,Calendrier!$C$25:$C$267,DZ32))</f>
        <v>0</v>
      </c>
      <c r="HU32" s="50">
        <f>IF(EA32="","",COUNTIFS($D$25:$D$267,Parameters!$K$2,$E$25:$E$267,Parameters!$M$2,Calendrier!$C$25:$C$267,EA32)+ COUNTIFS($D$25:$D$267,Parameters!$K$4,$E$25:$E$267,Parameters!$M$2,Calendrier!$C$25:$C$267,EA32))</f>
        <v>0</v>
      </c>
      <c r="HV32" s="50">
        <f>IF(EB32="","",COUNTIFS($D$25:$D$267,Parameters!$K$2,$E$25:$E$267,Parameters!$M$2,Calendrier!$C$25:$C$267,EB32)+ COUNTIFS($D$25:$D$267,Parameters!$K$3,$E$25:$E$267,Parameters!$M$2,Calendrier!$C$25:$C$267,EB32))</f>
        <v>0</v>
      </c>
      <c r="HW32" s="50">
        <f>IF(EC32="","",COUNTIFS($D$25:$D$267,Parameters!$K$2,$E$25:$E$267,Parameters!$M$2,Calendrier!$C$25:$C$267,EC32)+ COUNTIFS($D$25:$D$267,Parameters!$K$4,$E$25:$E$267,Parameters!$M$2,Calendrier!$C$25:$C$267,EC32))</f>
        <v>0</v>
      </c>
      <c r="HX32" s="50">
        <f>IF(ED32="","",COUNTIFS($D$25:$D$267,Parameters!$K$2,$E$25:$E$267,Parameters!$M$2,Calendrier!$C$25:$C$267,ED32)+ COUNTIFS($D$25:$D$267,Parameters!$K$3,$E$25:$E$267,Parameters!$M$2,Calendrier!$C$25:$C$267,ED32))</f>
        <v>0</v>
      </c>
      <c r="HY32" s="50">
        <f>IF(EE32="","",COUNTIFS($D$25:$D$267,Parameters!$K$2,$E$25:$E$267,Parameters!$M$2,Calendrier!$C$25:$C$267,EE32)+ COUNTIFS($D$25:$D$267,Parameters!$K$4,$E$25:$E$267,Parameters!$M$2,Calendrier!$C$25:$C$267,EE32))</f>
        <v>0</v>
      </c>
      <c r="HZ32" s="50">
        <f>IF(EF32="","",COUNTIFS($D$25:$D$267,Parameters!$K$2,$E$25:$E$267,Parameters!$M$2,Calendrier!$C$25:$C$267,EF32)+ COUNTIFS($D$25:$D$267,Parameters!$K$3,$E$25:$E$267,Parameters!$M$2,Calendrier!$C$25:$C$267,EF32))</f>
        <v>0</v>
      </c>
      <c r="IA32" s="50">
        <f>IF(EG32="","",COUNTIFS($D$25:$D$267,Parameters!$K$2,$E$25:$E$267,Parameters!$M$2,Calendrier!$C$25:$C$267,EG32)+ COUNTIFS($D$25:$D$267,Parameters!$K$4,$E$25:$E$267,Parameters!$M$2,Calendrier!$C$25:$C$267,EG32))</f>
        <v>0</v>
      </c>
      <c r="IB32" s="50">
        <f>IF(EH32="","",COUNTIFS($D$25:$D$267,Parameters!$K$2,$E$25:$E$267,Parameters!$M$2,Calendrier!$C$25:$C$267,EH32)+ COUNTIFS($D$25:$D$267,Parameters!$K$3,$E$25:$E$267,Parameters!$M$2,Calendrier!$C$25:$C$267,EH32))</f>
        <v>0</v>
      </c>
      <c r="IC32" s="50">
        <f>IF(EI32="","",COUNTIFS($D$25:$D$267,Parameters!$K$2,$E$25:$E$267,Parameters!$M$2,Calendrier!$C$25:$C$267,EI32)+ COUNTIFS($D$25:$D$267,Parameters!$K$4,$E$25:$E$267,Parameters!$M$2,Calendrier!$C$25:$C$267,EI32))</f>
        <v>0</v>
      </c>
      <c r="ID32" s="50">
        <f>IF(EJ32="","",COUNTIFS($D$25:$D$267,Parameters!$K$2,$E$25:$E$267,Parameters!$M$2,Calendrier!$C$25:$C$267,EJ32)+ COUNTIFS($D$25:$D$267,Parameters!$K$3,$E$25:$E$267,Parameters!$M$2,Calendrier!$C$25:$C$267,EJ32))</f>
        <v>0</v>
      </c>
      <c r="IE32" s="57">
        <f>IF(EK32="","",COUNTIFS($D$25:$D$267,Parameters!$K$2,$E$25:$E$267,Parameters!$M$2,Calendrier!$C$25:$C$267,EK32)+ COUNTIFS($D$25:$D$267,Parameters!$K$4,$E$25:$E$267,Parameters!$M$2,Calendrier!$C$25:$C$267,EK32))</f>
        <v>0</v>
      </c>
      <c r="IH32" s="49">
        <f>IF(EN32="","",COUNTIFS($D$25:$D$267,Parameters!$K$2,$E$25:$E$267,Parameters!$M$2,Calendrier!$C$25:$C$267,EN32)+ COUNTIFS($D$25:$D$267,Parameters!$K$3,$E$25:$E$267,Parameters!$M$2,Calendrier!$C$25:$C$267,EN32))</f>
        <v>0</v>
      </c>
      <c r="II32" s="50">
        <f>IF(EO32="","",COUNTIFS($D$25:$D$267,Parameters!$K$2,$E$25:$E$267,Parameters!$M$2,Calendrier!$C$25:$C$267,EO32)+ COUNTIFS($D$25:$D$267,Parameters!$K$4,$E$25:$E$267,Parameters!$M$2,Calendrier!$C$25:$C$267,EO32))</f>
        <v>0</v>
      </c>
      <c r="IJ32" s="50">
        <f>IF(EP32="","",COUNTIFS($D$25:$D$267,Parameters!$K$2,$E$25:$E$267,Parameters!$M$2,Calendrier!$C$25:$C$267,EP32)+ COUNTIFS($D$25:$D$267,Parameters!$K$3,$E$25:$E$267,Parameters!$M$2,Calendrier!$C$25:$C$267,EP32))</f>
        <v>0</v>
      </c>
      <c r="IK32" s="50">
        <f>IF(EQ32="","",COUNTIFS($D$25:$D$267,Parameters!$K$2,$E$25:$E$267,Parameters!$M$2,Calendrier!$C$25:$C$267,EQ32)+ COUNTIFS($D$25:$D$267,Parameters!$K$4,$E$25:$E$267,Parameters!$M$2,Calendrier!$C$25:$C$267,EQ32))</f>
        <v>0</v>
      </c>
      <c r="IL32" s="50">
        <f>IF(ER32="","",COUNTIFS($D$25:$D$267,Parameters!$K$2,$E$25:$E$267,Parameters!$M$2,Calendrier!$C$25:$C$267,ER32)+ COUNTIFS($D$25:$D$267,Parameters!$K$3,$E$25:$E$267,Parameters!$M$2,Calendrier!$C$25:$C$267,ER32))</f>
        <v>0</v>
      </c>
      <c r="IM32" s="50">
        <f>IF(ES32="","",COUNTIFS($D$25:$D$267,Parameters!$K$2,$E$25:$E$267,Parameters!$M$2,Calendrier!$C$25:$C$267,ES32)+ COUNTIFS($D$25:$D$267,Parameters!$K$4,$E$25:$E$267,Parameters!$M$2,Calendrier!$C$25:$C$267,ES32))</f>
        <v>0</v>
      </c>
      <c r="IN32" s="50" t="str">
        <f>IF(ET32="","",COUNTIFS($D$25:$D$267,Parameters!$K$2,$E$25:$E$267,Parameters!$M$2,Calendrier!$C$25:$C$267,ET32)+ COUNTIFS($D$25:$D$267,Parameters!$K$3,$E$25:$E$267,Parameters!$M$2,Calendrier!$C$25:$C$267,ET32))</f>
        <v/>
      </c>
      <c r="IO32" s="50" t="str">
        <f>IF(EU32="","",COUNTIFS($D$25:$D$267,Parameters!$K$2,$E$25:$E$267,Parameters!$M$2,Calendrier!$C$25:$C$267,EU32)+ COUNTIFS($D$25:$D$267,Parameters!$K$4,$E$25:$E$267,Parameters!$M$2,Calendrier!$C$25:$C$267,EU32))</f>
        <v/>
      </c>
      <c r="IP32" s="50" t="str">
        <f>IF(EV32="","",COUNTIFS($D$25:$D$267,Parameters!$K$2,$E$25:$E$267,Parameters!$M$2,Calendrier!$C$25:$C$267,EV32)+ COUNTIFS($D$25:$D$267,Parameters!$K$3,$E$25:$E$267,Parameters!$M$2,Calendrier!$C$25:$C$267,EV32))</f>
        <v/>
      </c>
      <c r="IQ32" s="50" t="str">
        <f>IF(EW32="","",COUNTIFS($D$25:$D$267,Parameters!$K$2,$E$25:$E$267,Parameters!$M$2,Calendrier!$C$25:$C$267,EW32)+ COUNTIFS($D$25:$D$267,Parameters!$K$4,$E$25:$E$267,Parameters!$M$2,Calendrier!$C$25:$C$267,EW32))</f>
        <v/>
      </c>
      <c r="IR32" s="50" t="str">
        <f>IF(EX32="","",COUNTIFS($D$25:$D$267,Parameters!$K$2,$E$25:$E$267,Parameters!$M$2,Calendrier!$C$25:$C$267,EX32)+ COUNTIFS($D$25:$D$267,Parameters!$K$3,$E$25:$E$267,Parameters!$M$2,Calendrier!$C$25:$C$267,EX32))</f>
        <v/>
      </c>
      <c r="IS32" s="50" t="str">
        <f>IF(EY32="","",COUNTIFS($D$25:$D$267,Parameters!$K$2,$E$25:$E$267,Parameters!$M$2,Calendrier!$C$25:$C$267,EY32)+ COUNTIFS($D$25:$D$267,Parameters!$K$4,$E$25:$E$267,Parameters!$M$2,Calendrier!$C$25:$C$267,EY32))</f>
        <v/>
      </c>
      <c r="IT32" s="50" t="str">
        <f>IF(EZ32="","",COUNTIFS($D$25:$D$267,Parameters!$K$2,$E$25:$E$267,Parameters!$M$2,Calendrier!$C$25:$C$267,EZ32)+ COUNTIFS($D$25:$D$267,Parameters!$K$3,$E$25:$E$267,Parameters!$M$2,Calendrier!$C$25:$C$267,EZ32))</f>
        <v/>
      </c>
      <c r="IU32" s="57" t="str">
        <f>IF(FA32="","",COUNTIFS($D$25:$D$267,Parameters!$K$2,$E$25:$E$267,Parameters!$M$2,Calendrier!$C$25:$C$267,FA32)+ COUNTIFS($D$25:$D$267,Parameters!$K$4,$E$25:$E$267,Parameters!$M$2,Calendrier!$C$25:$C$267,FA32))</f>
        <v/>
      </c>
      <c r="IY32" s="49">
        <f>IF(DH32="","",COUNTIFS($D$25:$D$267,Parameters!$K$2,$E$25:$E$267,Parameters!$M$3,Calendrier!$C$25:$C$267,DH32)+ COUNTIFS($D$25:$D$267,Parameters!$K$3,$E$25:$E$267,Parameters!$M$3,Calendrier!$C$25:$C$267,DH32))</f>
        <v>0</v>
      </c>
      <c r="IZ32" s="50">
        <f>IF(DI32="","",COUNTIFS($D$25:$D$267,Parameters!$K$2,$E$25:$E$267,Parameters!$M$3,Calendrier!$C$25:$C$267,DI32)+ COUNTIFS($D$25:$D$267,Parameters!$K$4,$E$25:$E$267,Parameters!$M$3,Calendrier!$C$25:$C$267,DI32))</f>
        <v>0</v>
      </c>
      <c r="JA32" s="50">
        <f>IF(DJ32="","",COUNTIFS($D$25:$D$267,Parameters!$K$2,$E$25:$E$267,Parameters!$M$3,Calendrier!$C$25:$C$267,DJ32)+ COUNTIFS($D$25:$D$267,Parameters!$K$3,$E$25:$E$267,Parameters!$M$3,Calendrier!$C$25:$C$267,DJ32))</f>
        <v>0</v>
      </c>
      <c r="JB32" s="50">
        <f>IF(DK32="","",COUNTIFS($D$25:$D$267,Parameters!$K$2,$E$25:$E$267,Parameters!$M$3,Calendrier!$C$25:$C$267,DK32)+ COUNTIFS($D$25:$D$267,Parameters!$K$4,$E$25:$E$267,Parameters!$M$3,Calendrier!$C$25:$C$267,DK32))</f>
        <v>0</v>
      </c>
      <c r="JC32" s="50">
        <f>IF(DL32="","",COUNTIFS($D$25:$D$267,Parameters!$K$2,$E$25:$E$267,Parameters!$M$3,Calendrier!$C$25:$C$267,DL32)+ COUNTIFS($D$25:$D$267,Parameters!$K$3,$E$25:$E$267,Parameters!$M$3,Calendrier!$C$25:$C$267,DL32))</f>
        <v>0</v>
      </c>
      <c r="JD32" s="50">
        <f>IF(DM32="","",COUNTIFS($D$25:$D$267,Parameters!$K$2,$E$25:$E$267,Parameters!$M$3,Calendrier!$C$25:$C$267,DM32)+ COUNTIFS($D$25:$D$267,Parameters!$K$4,$E$25:$E$267,Parameters!$M$3,Calendrier!$C$25:$C$267,DM32))</f>
        <v>0</v>
      </c>
      <c r="JE32" s="50">
        <f>IF(DN32="","",COUNTIFS($D$25:$D$267,Parameters!$K$2,$E$25:$E$267,Parameters!$M$3,Calendrier!$C$25:$C$267,DN32)+ COUNTIFS($D$25:$D$267,Parameters!$K$3,$E$25:$E$267,Parameters!$M$3,Calendrier!$C$25:$C$267,DN32))</f>
        <v>0</v>
      </c>
      <c r="JF32" s="50">
        <f>IF(DO32="","",COUNTIFS($D$25:$D$267,Parameters!$K$2,$E$25:$E$267,Parameters!$M$3,Calendrier!$C$25:$C$267,DO32)+ COUNTIFS($D$25:$D$267,Parameters!$K$4,$E$25:$E$267,Parameters!$M$3,Calendrier!$C$25:$C$267,DO32))</f>
        <v>0</v>
      </c>
      <c r="JG32" s="50">
        <f>IF(DP32="","",COUNTIFS($D$25:$D$267,Parameters!$K$2,$E$25:$E$267,Parameters!$M$3,Calendrier!$C$25:$C$267,DP32)+ COUNTIFS($D$25:$D$267,Parameters!$K$3,$E$25:$E$267,Parameters!$M$3,Calendrier!$C$25:$C$267,DP32))</f>
        <v>0</v>
      </c>
      <c r="JH32" s="50">
        <f>IF(DQ32="","",COUNTIFS($D$25:$D$267,Parameters!$K$2,$E$25:$E$267,Parameters!$M$3,Calendrier!$C$25:$C$267,DQ32)+ COUNTIFS($D$25:$D$267,Parameters!$K$4,$E$25:$E$267,Parameters!$M$3,Calendrier!$C$25:$C$267,DQ32))</f>
        <v>0</v>
      </c>
      <c r="JI32" s="50" t="str">
        <f>IF(DR32="","",COUNTIFS($D$25:$D$267,Parameters!$K$2,$E$25:$E$267,Parameters!$M$3,Calendrier!$C$25:$C$267,DR32)+ COUNTIFS($D$25:$D$267,Parameters!$K$3,$E$25:$E$267,Parameters!$M$3,Calendrier!$C$25:$C$267,DR32))</f>
        <v/>
      </c>
      <c r="JJ32" s="50" t="str">
        <f>IF(DS32="","",COUNTIFS($D$25:$D$267,Parameters!$K$2,$E$25:$E$267,Parameters!$M$3,Calendrier!$C$25:$C$267,DS32)+ COUNTIFS($D$25:$D$267,Parameters!$K$4,$E$25:$E$267,Parameters!$M$3,Calendrier!$C$25:$C$267,DS32))</f>
        <v/>
      </c>
      <c r="JK32" s="50" t="str">
        <f>IF(DT32="","",COUNTIFS($D$25:$D$267,Parameters!$K$2,$E$25:$E$267,Parameters!$M$3,Calendrier!$C$25:$C$267,DT32)+ COUNTIFS($D$25:$D$267,Parameters!$K$3,$E$25:$E$267,Parameters!$M$3,Calendrier!$C$25:$C$267,DT32))</f>
        <v/>
      </c>
      <c r="JL32" s="57" t="str">
        <f>IF(DU32="","",COUNTIFS($D$25:$D$267,Parameters!$K$2,$E$25:$E$267,Parameters!$M$3,Calendrier!$C$25:$C$267,DU32)+ COUNTIFS($D$25:$D$267,Parameters!$K$4,$E$25:$E$267,Parameters!$M$3,Calendrier!$C$25:$C$267,DU32))</f>
        <v/>
      </c>
      <c r="JO32" s="49">
        <f>IF(DX32="","",COUNTIFS($D$25:$D$267,Parameters!$K$2,$E$25:$E$267,Parameters!$M$3,Calendrier!$C$25:$C$267,DX32)+ COUNTIFS($D$25:$D$267,Parameters!$K$3,$E$25:$E$267,Parameters!$M$3,Calendrier!$C$25:$C$267,DX32))</f>
        <v>0</v>
      </c>
      <c r="JP32" s="50">
        <f>IF(DY32="","",COUNTIFS($D$25:$D$267,Parameters!$K$2,$E$25:$E$267,Parameters!$M$3,Calendrier!$C$25:$C$267,DY32)+ COUNTIFS($D$25:$D$267,Parameters!$K$4,$E$25:$E$267,Parameters!$M$3,Calendrier!$C$25:$C$267,DY32))</f>
        <v>0</v>
      </c>
      <c r="JQ32" s="50">
        <f>IF(DZ32="","",COUNTIFS($D$25:$D$267,Parameters!$K$2,$E$25:$E$267,Parameters!$M$3,Calendrier!$C$25:$C$267,DZ32)+ COUNTIFS($D$25:$D$267,Parameters!$K$3,$E$25:$E$267,Parameters!$M$3,Calendrier!$C$25:$C$267,DZ32))</f>
        <v>0</v>
      </c>
      <c r="JR32" s="50">
        <f>IF(EA32="","",COUNTIFS($D$25:$D$267,Parameters!$K$2,$E$25:$E$267,Parameters!$M$3,Calendrier!$C$25:$C$267,EA32)+ COUNTIFS($D$25:$D$267,Parameters!$K$4,$E$25:$E$267,Parameters!$M$3,Calendrier!$C$25:$C$267,EA32))</f>
        <v>0</v>
      </c>
      <c r="JS32" s="50">
        <f>IF(EB32="","",COUNTIFS($D$25:$D$267,Parameters!$K$2,$E$25:$E$267,Parameters!$M$3,Calendrier!$C$25:$C$267,EB32)+ COUNTIFS($D$25:$D$267,Parameters!$K$3,$E$25:$E$267,Parameters!$M$3,Calendrier!$C$25:$C$267,EB32))</f>
        <v>0</v>
      </c>
      <c r="JT32" s="50">
        <f>IF(EC32="","",COUNTIFS($D$25:$D$267,Parameters!$K$2,$E$25:$E$267,Parameters!$M$3,Calendrier!$C$25:$C$267,EC32)+ COUNTIFS($D$25:$D$267,Parameters!$K$4,$E$25:$E$267,Parameters!$M$3,Calendrier!$C$25:$C$267,EC32))</f>
        <v>0</v>
      </c>
      <c r="JU32" s="50">
        <f>IF(ED32="","",COUNTIFS($D$25:$D$267,Parameters!$K$2,$E$25:$E$267,Parameters!$M$3,Calendrier!$C$25:$C$267,ED32)+ COUNTIFS($D$25:$D$267,Parameters!$K$3,$E$25:$E$267,Parameters!$M$3,Calendrier!$C$25:$C$267,ED32))</f>
        <v>0</v>
      </c>
      <c r="JV32" s="50">
        <f>IF(EE32="","",COUNTIFS($D$25:$D$267,Parameters!$K$2,$E$25:$E$267,Parameters!$M$3,Calendrier!$C$25:$C$267,EE32)+ COUNTIFS($D$25:$D$267,Parameters!$K$4,$E$25:$E$267,Parameters!$M$3,Calendrier!$C$25:$C$267,EE32))</f>
        <v>0</v>
      </c>
      <c r="JW32" s="50">
        <f>IF(EF32="","",COUNTIFS($D$25:$D$267,Parameters!$K$2,$E$25:$E$267,Parameters!$M$3,Calendrier!$C$25:$C$267,EF32)+ COUNTIFS($D$25:$D$267,Parameters!$K$3,$E$25:$E$267,Parameters!$M$3,Calendrier!$C$25:$C$267,EF32))</f>
        <v>0</v>
      </c>
      <c r="JX32" s="50">
        <f>IF(EG32="","",COUNTIFS($D$25:$D$267,Parameters!$K$2,$E$25:$E$267,Parameters!$M$3,Calendrier!$C$25:$C$267,EG32)+ COUNTIFS($D$25:$D$267,Parameters!$K$4,$E$25:$E$267,Parameters!$M$3,Calendrier!$C$25:$C$267,EG32))</f>
        <v>0</v>
      </c>
      <c r="JY32" s="50">
        <f>IF(EH32="","",COUNTIFS($D$25:$D$267,Parameters!$K$2,$E$25:$E$267,Parameters!$M$3,Calendrier!$C$25:$C$267,EH32)+ COUNTIFS($D$25:$D$267,Parameters!$K$3,$E$25:$E$267,Parameters!$M$3,Calendrier!$C$25:$C$267,EH32))</f>
        <v>0</v>
      </c>
      <c r="JZ32" s="50">
        <f>IF(EI32="","",COUNTIFS($D$25:$D$267,Parameters!$K$2,$E$25:$E$267,Parameters!$M$3,Calendrier!$C$25:$C$267,EI32)+ COUNTIFS($D$25:$D$267,Parameters!$K$4,$E$25:$E$267,Parameters!$M$3,Calendrier!$C$25:$C$267,EI32))</f>
        <v>0</v>
      </c>
      <c r="KA32" s="50">
        <f>IF(EJ32="","",COUNTIFS($D$25:$D$267,Parameters!$K$2,$E$25:$E$267,Parameters!$M$3,Calendrier!$C$25:$C$267,EJ32)+ COUNTIFS($D$25:$D$267,Parameters!$K$3,$E$25:$E$267,Parameters!$M$3,Calendrier!$C$25:$C$267,EJ32))</f>
        <v>0</v>
      </c>
      <c r="KB32" s="57">
        <f>IF(EK32="","",COUNTIFS($D$25:$D$267,Parameters!$K$2,$E$25:$E$267,Parameters!$M$3,Calendrier!$C$25:$C$267,EK32)+ COUNTIFS($D$25:$D$267,Parameters!$K$4,$E$25:$E$267,Parameters!$M$3,Calendrier!$C$25:$C$267,EK32))</f>
        <v>0</v>
      </c>
      <c r="KE32" s="49">
        <f>IF(EN32="","",COUNTIFS($D$25:$D$267,Parameters!$K$2,$E$25:$E$267,Parameters!$M$3,Calendrier!$C$25:$C$267,EN32)+ COUNTIFS($D$25:$D$267,Parameters!$K$3,$E$25:$E$267,Parameters!$M$3,Calendrier!$C$25:$C$267,EN32))</f>
        <v>0</v>
      </c>
      <c r="KF32" s="50">
        <f>IF(EO32="","",COUNTIFS($D$25:$D$267,Parameters!$K$2,$E$25:$E$267,Parameters!$M$3,Calendrier!$C$25:$C$267,EO32)+ COUNTIFS($D$25:$D$267,Parameters!$K$4,$E$25:$E$267,Parameters!$M$3,Calendrier!$C$25:$C$267,EO32))</f>
        <v>0</v>
      </c>
      <c r="KG32" s="50">
        <f>IF(EP32="","",COUNTIFS($D$25:$D$267,Parameters!$K$2,$E$25:$E$267,Parameters!$M$3,Calendrier!$C$25:$C$267,EP32)+ COUNTIFS($D$25:$D$267,Parameters!$K$3,$E$25:$E$267,Parameters!$M$3,Calendrier!$C$25:$C$267,EP32))</f>
        <v>0</v>
      </c>
      <c r="KH32" s="50">
        <f>IF(EQ32="","",COUNTIFS($D$25:$D$267,Parameters!$K$2,$E$25:$E$267,Parameters!$M$3,Calendrier!$C$25:$C$267,EQ32)+ COUNTIFS($D$25:$D$267,Parameters!$K$4,$E$25:$E$267,Parameters!$M$3,Calendrier!$C$25:$C$267,EQ32))</f>
        <v>0</v>
      </c>
      <c r="KI32" s="50">
        <f>IF(ER32="","",COUNTIFS($D$25:$D$267,Parameters!$K$2,$E$25:$E$267,Parameters!$M$3,Calendrier!$C$25:$C$267,ER32)+ COUNTIFS($D$25:$D$267,Parameters!$K$3,$E$25:$E$267,Parameters!$M$3,Calendrier!$C$25:$C$267,ER32))</f>
        <v>0</v>
      </c>
      <c r="KJ32" s="50">
        <f>IF(ES32="","",COUNTIFS($D$25:$D$267,Parameters!$K$2,$E$25:$E$267,Parameters!$M$3,Calendrier!$C$25:$C$267,ES32)+ COUNTIFS($D$25:$D$267,Parameters!$K$4,$E$25:$E$267,Parameters!$M$3,Calendrier!$C$25:$C$267,ES32))</f>
        <v>0</v>
      </c>
      <c r="KK32" s="50" t="str">
        <f>IF(ET32="","",COUNTIFS($D$25:$D$267,Parameters!$K$2,$E$25:$E$267,Parameters!$M$3,Calendrier!$C$25:$C$267,ET32)+ COUNTIFS($D$25:$D$267,Parameters!$K$3,$E$25:$E$267,Parameters!$M$3,Calendrier!$C$25:$C$267,ET32))</f>
        <v/>
      </c>
      <c r="KL32" s="50" t="str">
        <f>IF(EU32="","",COUNTIFS($D$25:$D$267,Parameters!$K$2,$E$25:$E$267,Parameters!$M$3,Calendrier!$C$25:$C$267,EU32)+ COUNTIFS($D$25:$D$267,Parameters!$K$4,$E$25:$E$267,Parameters!$M$3,Calendrier!$C$25:$C$267,EU32))</f>
        <v/>
      </c>
      <c r="KM32" s="50" t="str">
        <f>IF(EV32="","",COUNTIFS($D$25:$D$267,Parameters!$K$2,$E$25:$E$267,Parameters!$M$3,Calendrier!$C$25:$C$267,EV32)+ COUNTIFS($D$25:$D$267,Parameters!$K$3,$E$25:$E$267,Parameters!$M$3,Calendrier!$C$25:$C$267,EV32))</f>
        <v/>
      </c>
      <c r="KN32" s="50" t="str">
        <f>IF(EW32="","",COUNTIFS($D$25:$D$267,Parameters!$K$2,$E$25:$E$267,Parameters!$M$3,Calendrier!$C$25:$C$267,EW32)+ COUNTIFS($D$25:$D$267,Parameters!$K$4,$E$25:$E$267,Parameters!$M$3,Calendrier!$C$25:$C$267,EW32))</f>
        <v/>
      </c>
      <c r="KO32" s="50" t="str">
        <f>IF(EX32="","",COUNTIFS($D$25:$D$267,Parameters!$K$2,$E$25:$E$267,Parameters!$M$3,Calendrier!$C$25:$C$267,EX32)+ COUNTIFS($D$25:$D$267,Parameters!$K$3,$E$25:$E$267,Parameters!$M$3,Calendrier!$C$25:$C$267,EX32))</f>
        <v/>
      </c>
      <c r="KP32" s="50" t="str">
        <f>IF(EY32="","",COUNTIFS($D$25:$D$267,Parameters!$K$2,$E$25:$E$267,Parameters!$M$3,Calendrier!$C$25:$C$267,EY32)+ COUNTIFS($D$25:$D$267,Parameters!$K$4,$E$25:$E$267,Parameters!$M$3,Calendrier!$C$25:$C$267,EY32))</f>
        <v/>
      </c>
      <c r="KQ32" s="50" t="str">
        <f>IF(EZ32="","",COUNTIFS($D$25:$D$267,Parameters!$K$2,$E$25:$E$267,Parameters!$M$3,Calendrier!$C$25:$C$267,EZ32)+ COUNTIFS($D$25:$D$267,Parameters!$K$3,$E$25:$E$267,Parameters!$M$3,Calendrier!$C$25:$C$267,EZ32))</f>
        <v/>
      </c>
      <c r="KR32" s="57" t="str">
        <f>IF(FA32="","",COUNTIFS($D$25:$D$267,Parameters!$K$2,$E$25:$E$267,Parameters!$M$3,Calendrier!$C$25:$C$267,FA32)+ COUNTIFS($D$25:$D$267,Parameters!$K$4,$E$25:$E$267,Parameters!$M$3,Calendrier!$C$25:$C$267,FA32))</f>
        <v/>
      </c>
      <c r="KV32" s="49">
        <f>IF(DH32="","",COUNTIFS($D$25:$D$267,Parameters!$K$2,$E$25:$E$267,Parameters!$M$4,Calendrier!$C$25:$C$267,DH32)+ COUNTIFS($D$25:$D$267,Parameters!$K$3,$E$25:$E$267,Parameters!$M$4,Calendrier!$C$25:$C$267,DH32))</f>
        <v>0</v>
      </c>
      <c r="KW32" s="50">
        <f>IF(DI32="","",COUNTIFS($D$25:$D$267,Parameters!$K$2,$E$25:$E$267,Parameters!$M$4,Calendrier!$C$25:$C$267,DI32)+ COUNTIFS($D$25:$D$267,Parameters!$K$4,$E$25:$E$267,Parameters!$M$4,Calendrier!$C$25:$C$267,DI32))</f>
        <v>0</v>
      </c>
      <c r="KX32" s="50">
        <f>IF(DJ32="","",COUNTIFS($D$25:$D$267,Parameters!$K$2,$E$25:$E$267,Parameters!$M$4,Calendrier!$C$25:$C$267,DJ32)+ COUNTIFS($D$25:$D$267,Parameters!$K$3,$E$25:$E$267,Parameters!$M$4,Calendrier!$C$25:$C$267,DJ32))</f>
        <v>0</v>
      </c>
      <c r="KY32" s="50">
        <f>IF(DK32="","",COUNTIFS($D$25:$D$267,Parameters!$K$2,$E$25:$E$267,Parameters!$M$4,Calendrier!$C$25:$C$267,DK32)+ COUNTIFS($D$25:$D$267,Parameters!$K$4,$E$25:$E$267,Parameters!$M$4,Calendrier!$C$25:$C$267,DK32))</f>
        <v>0</v>
      </c>
      <c r="KZ32" s="50">
        <f>IF(DL32="","",COUNTIFS($D$25:$D$267,Parameters!$K$2,$E$25:$E$267,Parameters!$M$4,Calendrier!$C$25:$C$267,DL32)+ COUNTIFS($D$25:$D$267,Parameters!$K$3,$E$25:$E$267,Parameters!$M$4,Calendrier!$C$25:$C$267,DL32))</f>
        <v>0</v>
      </c>
      <c r="LA32" s="50">
        <f>IF(DM32="","",COUNTIFS($D$25:$D$267,Parameters!$K$2,$E$25:$E$267,Parameters!$M$4,Calendrier!$C$25:$C$267,DM32)+ COUNTIFS($D$25:$D$267,Parameters!$K$4,$E$25:$E$267,Parameters!$M$4,Calendrier!$C$25:$C$267,DM32))</f>
        <v>0</v>
      </c>
      <c r="LB32" s="50">
        <f>IF(DN32="","",COUNTIFS($D$25:$D$267,Parameters!$K$2,$E$25:$E$267,Parameters!$M$4,Calendrier!$C$25:$C$267,DN32)+ COUNTIFS($D$25:$D$267,Parameters!$K$3,$E$25:$E$267,Parameters!$M$4,Calendrier!$C$25:$C$267,DN32))</f>
        <v>0</v>
      </c>
      <c r="LC32" s="50">
        <f>IF(DO32="","",COUNTIFS($D$25:$D$267,Parameters!$K$2,$E$25:$E$267,Parameters!$M$4,Calendrier!$C$25:$C$267,DO32)+ COUNTIFS($D$25:$D$267,Parameters!$K$4,$E$25:$E$267,Parameters!$M$4,Calendrier!$C$25:$C$267,DO32))</f>
        <v>0</v>
      </c>
      <c r="LD32" s="50">
        <f>IF(DP32="","",COUNTIFS($D$25:$D$267,Parameters!$K$2,$E$25:$E$267,Parameters!$M$4,Calendrier!$C$25:$C$267,DP32)+ COUNTIFS($D$25:$D$267,Parameters!$K$3,$E$25:$E$267,Parameters!$M$4,Calendrier!$C$25:$C$267,DP32))</f>
        <v>0</v>
      </c>
      <c r="LE32" s="50">
        <f>IF(DQ32="","",COUNTIFS($D$25:$D$267,Parameters!$K$2,$E$25:$E$267,Parameters!$M$4,Calendrier!$C$25:$C$267,DQ32)+ COUNTIFS($D$25:$D$267,Parameters!$K$4,$E$25:$E$267,Parameters!$M$4,Calendrier!$C$25:$C$267,DQ32))</f>
        <v>0</v>
      </c>
      <c r="LF32" s="50" t="str">
        <f>IF(DR32="","",COUNTIFS($D$25:$D$267,Parameters!$K$2,$E$25:$E$267,Parameters!$M$4,Calendrier!$C$25:$C$267,DR32)+ COUNTIFS($D$25:$D$267,Parameters!$K$3,$E$25:$E$267,Parameters!$M$4,Calendrier!$C$25:$C$267,DR32))</f>
        <v/>
      </c>
      <c r="LG32" s="50" t="str">
        <f>IF(DS32="","",COUNTIFS($D$25:$D$267,Parameters!$K$2,$E$25:$E$267,Parameters!$M$4,Calendrier!$C$25:$C$267,DS32)+ COUNTIFS($D$25:$D$267,Parameters!$K$4,$E$25:$E$267,Parameters!$M$4,Calendrier!$C$25:$C$267,DS32))</f>
        <v/>
      </c>
      <c r="LH32" s="50" t="str">
        <f>IF(DT32="","",COUNTIFS($D$25:$D$267,Parameters!$K$2,$E$25:$E$267,Parameters!$M$4,Calendrier!$C$25:$C$267,DT32)+ COUNTIFS($D$25:$D$267,Parameters!$K$3,$E$25:$E$267,Parameters!$M$4,Calendrier!$C$25:$C$267,DT32))</f>
        <v/>
      </c>
      <c r="LI32" s="57" t="str">
        <f>IF(DU32="","",COUNTIFS($D$25:$D$267,Parameters!$K$2,$E$25:$E$267,Parameters!$M$4,Calendrier!$C$25:$C$267,DU32)+ COUNTIFS($D$25:$D$267,Parameters!$K$4,$E$25:$E$267,Parameters!$M$4,Calendrier!$C$25:$C$267,DU32))</f>
        <v/>
      </c>
      <c r="LL32" s="49">
        <f>IF(DX32="","",COUNTIFS($D$25:$D$267,Parameters!$K$2,$E$25:$E$267,Parameters!$M$4,Calendrier!$C$25:$C$267,DX32)+ COUNTIFS($D$25:$D$267,Parameters!$K$3,$E$25:$E$267,Parameters!$M$4,Calendrier!$C$25:$C$267,DX32))</f>
        <v>0</v>
      </c>
      <c r="LM32" s="50">
        <f>IF(DY32="","",COUNTIFS($D$25:$D$267,Parameters!$K$2,$E$25:$E$267,Parameters!$M$4,Calendrier!$C$25:$C$267,DY32)+ COUNTIFS($D$25:$D$267,Parameters!$K$4,$E$25:$E$267,Parameters!$M$4,Calendrier!$C$25:$C$267,DY32))</f>
        <v>0</v>
      </c>
      <c r="LN32" s="50">
        <f>IF(DZ32="","",COUNTIFS($D$25:$D$267,Parameters!$K$2,$E$25:$E$267,Parameters!$M$4,Calendrier!$C$25:$C$267,DZ32)+ COUNTIFS($D$25:$D$267,Parameters!$K$3,$E$25:$E$267,Parameters!$M$4,Calendrier!$C$25:$C$267,DZ32))</f>
        <v>0</v>
      </c>
      <c r="LO32" s="50">
        <f>IF(EA32="","",COUNTIFS($D$25:$D$267,Parameters!$K$2,$E$25:$E$267,Parameters!$M$4,Calendrier!$C$25:$C$267,EA32)+ COUNTIFS($D$25:$D$267,Parameters!$K$4,$E$25:$E$267,Parameters!$M$4,Calendrier!$C$25:$C$267,EA32))</f>
        <v>0</v>
      </c>
      <c r="LP32" s="50">
        <f>IF(EB32="","",COUNTIFS($D$25:$D$267,Parameters!$K$2,$E$25:$E$267,Parameters!$M$4,Calendrier!$C$25:$C$267,EB32)+ COUNTIFS($D$25:$D$267,Parameters!$K$3,$E$25:$E$267,Parameters!$M$4,Calendrier!$C$25:$C$267,EB32))</f>
        <v>0</v>
      </c>
      <c r="LQ32" s="50">
        <f>IF(EC32="","",COUNTIFS($D$25:$D$267,Parameters!$K$2,$E$25:$E$267,Parameters!$M$4,Calendrier!$C$25:$C$267,EC32)+ COUNTIFS($D$25:$D$267,Parameters!$K$4,$E$25:$E$267,Parameters!$M$4,Calendrier!$C$25:$C$267,EC32))</f>
        <v>0</v>
      </c>
      <c r="LR32" s="50">
        <f>IF(ED32="","",COUNTIFS($D$25:$D$267,Parameters!$K$2,$E$25:$E$267,Parameters!$M$4,Calendrier!$C$25:$C$267,ED32)+ COUNTIFS($D$25:$D$267,Parameters!$K$3,$E$25:$E$267,Parameters!$M$4,Calendrier!$C$25:$C$267,ED32))</f>
        <v>0</v>
      </c>
      <c r="LS32" s="50">
        <f>IF(EE32="","",COUNTIFS($D$25:$D$267,Parameters!$K$2,$E$25:$E$267,Parameters!$M$4,Calendrier!$C$25:$C$267,EE32)+ COUNTIFS($D$25:$D$267,Parameters!$K$4,$E$25:$E$267,Parameters!$M$4,Calendrier!$C$25:$C$267,EE32))</f>
        <v>0</v>
      </c>
      <c r="LT32" s="50">
        <f>IF(EF32="","",COUNTIFS($D$25:$D$267,Parameters!$K$2,$E$25:$E$267,Parameters!$M$4,Calendrier!$C$25:$C$267,EF32)+ COUNTIFS($D$25:$D$267,Parameters!$K$3,$E$25:$E$267,Parameters!$M$4,Calendrier!$C$25:$C$267,EF32))</f>
        <v>0</v>
      </c>
      <c r="LU32" s="50">
        <f>IF(EG32="","",COUNTIFS($D$25:$D$267,Parameters!$K$2,$E$25:$E$267,Parameters!$M$4,Calendrier!$C$25:$C$267,EG32)+ COUNTIFS($D$25:$D$267,Parameters!$K$4,$E$25:$E$267,Parameters!$M$4,Calendrier!$C$25:$C$267,EG32))</f>
        <v>0</v>
      </c>
      <c r="LV32" s="50">
        <f>IF(EH32="","",COUNTIFS($D$25:$D$267,Parameters!$K$2,$E$25:$E$267,Parameters!$M$4,Calendrier!$C$25:$C$267,EH32)+ COUNTIFS($D$25:$D$267,Parameters!$K$3,$E$25:$E$267,Parameters!$M$4,Calendrier!$C$25:$C$267,EH32))</f>
        <v>0</v>
      </c>
      <c r="LW32" s="50">
        <f>IF(EI32="","",COUNTIFS($D$25:$D$267,Parameters!$K$2,$E$25:$E$267,Parameters!$M$4,Calendrier!$C$25:$C$267,EI32)+ COUNTIFS($D$25:$D$267,Parameters!$K$4,$E$25:$E$267,Parameters!$M$4,Calendrier!$C$25:$C$267,EI32))</f>
        <v>0</v>
      </c>
      <c r="LX32" s="50">
        <f>IF(EJ32="","",COUNTIFS($D$25:$D$267,Parameters!$K$2,$E$25:$E$267,Parameters!$M$4,Calendrier!$C$25:$C$267,EJ32)+ COUNTIFS($D$25:$D$267,Parameters!$K$3,$E$25:$E$267,Parameters!$M$4,Calendrier!$C$25:$C$267,EJ32))</f>
        <v>0</v>
      </c>
      <c r="LY32" s="57">
        <f>IF(EK32="","",COUNTIFS($D$25:$D$267,Parameters!$K$2,$E$25:$E$267,Parameters!$M$4,Calendrier!$C$25:$C$267,EK32)+ COUNTIFS($D$25:$D$267,Parameters!$K$4,$E$25:$E$267,Parameters!$M$4,Calendrier!$C$25:$C$267,EK32))</f>
        <v>0</v>
      </c>
      <c r="MB32" s="49">
        <f>IF(EN32="","",COUNTIFS($D$25:$D$267,Parameters!$K$2,$E$25:$E$267,Parameters!$M$4,Calendrier!$C$25:$C$267,EN32)+ COUNTIFS($D$25:$D$267,Parameters!$K$3,$E$25:$E$267,Parameters!$M$4,Calendrier!$C$25:$C$267,EN32))</f>
        <v>0</v>
      </c>
      <c r="MC32" s="50">
        <f>IF(EO32="","",COUNTIFS($D$25:$D$267,Parameters!$K$2,$E$25:$E$267,Parameters!$M$4,Calendrier!$C$25:$C$267,EO32)+ COUNTIFS($D$25:$D$267,Parameters!$K$4,$E$25:$E$267,Parameters!$M$4,Calendrier!$C$25:$C$267,EO32))</f>
        <v>0</v>
      </c>
      <c r="MD32" s="50">
        <f>IF(EP32="","",COUNTIFS($D$25:$D$267,Parameters!$K$2,$E$25:$E$267,Parameters!$M$4,Calendrier!$C$25:$C$267,EP32)+ COUNTIFS($D$25:$D$267,Parameters!$K$3,$E$25:$E$267,Parameters!$M$4,Calendrier!$C$25:$C$267,EP32))</f>
        <v>0</v>
      </c>
      <c r="ME32" s="50">
        <f>IF(EQ32="","",COUNTIFS($D$25:$D$267,Parameters!$K$2,$E$25:$E$267,Parameters!$M$4,Calendrier!$C$25:$C$267,EQ32)+ COUNTIFS($D$25:$D$267,Parameters!$K$4,$E$25:$E$267,Parameters!$M$4,Calendrier!$C$25:$C$267,EQ32))</f>
        <v>0</v>
      </c>
      <c r="MF32" s="50">
        <f>IF(ER32="","",COUNTIFS($D$25:$D$267,Parameters!$K$2,$E$25:$E$267,Parameters!$M$4,Calendrier!$C$25:$C$267,ER32)+ COUNTIFS($D$25:$D$267,Parameters!$K$3,$E$25:$E$267,Parameters!$M$4,Calendrier!$C$25:$C$267,ER32))</f>
        <v>0</v>
      </c>
      <c r="MG32" s="50">
        <f>IF(ES32="","",COUNTIFS($D$25:$D$267,Parameters!$K$2,$E$25:$E$267,Parameters!$M$4,Calendrier!$C$25:$C$267,ES32)+ COUNTIFS($D$25:$D$267,Parameters!$K$4,$E$25:$E$267,Parameters!$M$4,Calendrier!$C$25:$C$267,ES32))</f>
        <v>0</v>
      </c>
      <c r="MH32" s="50" t="str">
        <f>IF(ET32="","",COUNTIFS($D$25:$D$267,Parameters!$K$2,$E$25:$E$267,Parameters!$M$4,Calendrier!$C$25:$C$267,ET32)+ COUNTIFS($D$25:$D$267,Parameters!$K$3,$E$25:$E$267,Parameters!$M$4,Calendrier!$C$25:$C$267,ET32))</f>
        <v/>
      </c>
      <c r="MI32" s="50" t="str">
        <f>IF(EU32="","",COUNTIFS($D$25:$D$267,Parameters!$K$2,$E$25:$E$267,Parameters!$M$4,Calendrier!$C$25:$C$267,EU32)+ COUNTIFS($D$25:$D$267,Parameters!$K$4,$E$25:$E$267,Parameters!$M$4,Calendrier!$C$25:$C$267,EU32))</f>
        <v/>
      </c>
      <c r="MJ32" s="50" t="str">
        <f>IF(EV32="","",COUNTIFS($D$25:$D$267,Parameters!$K$2,$E$25:$E$267,Parameters!$M$4,Calendrier!$C$25:$C$267,EV32)+ COUNTIFS($D$25:$D$267,Parameters!$K$3,$E$25:$E$267,Parameters!$M$4,Calendrier!$C$25:$C$267,EV32))</f>
        <v/>
      </c>
      <c r="MK32" s="50" t="str">
        <f>IF(EW32="","",COUNTIFS($D$25:$D$267,Parameters!$K$2,$E$25:$E$267,Parameters!$M$4,Calendrier!$C$25:$C$267,EW32)+ COUNTIFS($D$25:$D$267,Parameters!$K$4,$E$25:$E$267,Parameters!$M$4,Calendrier!$C$25:$C$267,EW32))</f>
        <v/>
      </c>
      <c r="ML32" s="50" t="str">
        <f>IF(EX32="","",COUNTIFS($D$25:$D$267,Parameters!$K$2,$E$25:$E$267,Parameters!$M$4,Calendrier!$C$25:$C$267,EX32)+ COUNTIFS($D$25:$D$267,Parameters!$K$3,$E$25:$E$267,Parameters!$M$4,Calendrier!$C$25:$C$267,EX32))</f>
        <v/>
      </c>
      <c r="MM32" s="50" t="str">
        <f>IF(EY32="","",COUNTIFS($D$25:$D$267,Parameters!$K$2,$E$25:$E$267,Parameters!$M$4,Calendrier!$C$25:$C$267,EY32)+ COUNTIFS($D$25:$D$267,Parameters!$K$4,$E$25:$E$267,Parameters!$M$4,Calendrier!$C$25:$C$267,EY32))</f>
        <v/>
      </c>
      <c r="MN32" s="50" t="str">
        <f>IF(EZ32="","",COUNTIFS($D$25:$D$267,Parameters!$K$2,$E$25:$E$267,Parameters!$M$4,Calendrier!$C$25:$C$267,EZ32)+ COUNTIFS($D$25:$D$267,Parameters!$K$3,$E$25:$E$267,Parameters!$M$4,Calendrier!$C$25:$C$267,EZ32))</f>
        <v/>
      </c>
      <c r="MO32" s="57" t="str">
        <f>IF(FA32="","",COUNTIFS($D$25:$D$267,Parameters!$K$2,$E$25:$E$267,Parameters!$M$4,Calendrier!$C$25:$C$267,FA32)+ COUNTIFS($D$25:$D$267,Parameters!$K$4,$E$25:$E$267,Parameters!$M$4,Calendrier!$C$25:$C$267,FA32))</f>
        <v/>
      </c>
      <c r="MS32" s="49">
        <f>IF(DH32="","",COUNTIFS($D$25:$D$267,Parameters!$K$2,$E$25:$E$267,Parameters!$M$5,Calendrier!$C$25:$C$267,DH32)+ COUNTIFS($D$25:$D$267,Parameters!$K$3,$E$25:$E$267,Parameters!$M$5,Calendrier!$C$25:$C$267,DH32))</f>
        <v>0</v>
      </c>
      <c r="MT32" s="50">
        <f>IF(DI32="","",COUNTIFS($D$25:$D$267,Parameters!$K$2,$E$25:$E$267,Parameters!$M$5,Calendrier!$C$25:$C$267,DI32)+ COUNTIFS($D$25:$D$267,Parameters!$K$4,$E$25:$E$267,Parameters!$M$5,Calendrier!$C$25:$C$267,DI32))</f>
        <v>0</v>
      </c>
      <c r="MU32" s="50">
        <f>IF(DJ32="","",COUNTIFS($D$25:$D$267,Parameters!$K$2,$E$25:$E$267,Parameters!$M$5,Calendrier!$C$25:$C$267,DJ32)+ COUNTIFS($D$25:$D$267,Parameters!$K$3,$E$25:$E$267,Parameters!$M$5,Calendrier!$C$25:$C$267,DJ32))</f>
        <v>0</v>
      </c>
      <c r="MV32" s="50">
        <f>IF(DK32="","",COUNTIFS($D$25:$D$267,Parameters!$K$2,$E$25:$E$267,Parameters!$M$5,Calendrier!$C$25:$C$267,DK32)+ COUNTIFS($D$25:$D$267,Parameters!$K$4,$E$25:$E$267,Parameters!$M$5,Calendrier!$C$25:$C$267,DK32))</f>
        <v>0</v>
      </c>
      <c r="MW32" s="50">
        <f>IF(DL32="","",COUNTIFS($D$25:$D$267,Parameters!$K$2,$E$25:$E$267,Parameters!$M$5,Calendrier!$C$25:$C$267,DL32)+ COUNTIFS($D$25:$D$267,Parameters!$K$3,$E$25:$E$267,Parameters!$M$5,Calendrier!$C$25:$C$267,DL32))</f>
        <v>0</v>
      </c>
      <c r="MX32" s="50">
        <f>IF(DM32="","",COUNTIFS($D$25:$D$267,Parameters!$K$2,$E$25:$E$267,Parameters!$M$5,Calendrier!$C$25:$C$267,DM32)+ COUNTIFS($D$25:$D$267,Parameters!$K$4,$E$25:$E$267,Parameters!$M$5,Calendrier!$C$25:$C$267,DM32))</f>
        <v>0</v>
      </c>
      <c r="MY32" s="50">
        <f>IF(DN32="","",COUNTIFS($D$25:$D$267,Parameters!$K$2,$E$25:$E$267,Parameters!$M$5,Calendrier!$C$25:$C$267,DN32)+ COUNTIFS($D$25:$D$267,Parameters!$K$3,$E$25:$E$267,Parameters!$M$5,Calendrier!$C$25:$C$267,DN32))</f>
        <v>0</v>
      </c>
      <c r="MZ32" s="50">
        <f>IF(DO32="","",COUNTIFS($D$25:$D$267,Parameters!$K$2,$E$25:$E$267,Parameters!$M$5,Calendrier!$C$25:$C$267,DO32)+ COUNTIFS($D$25:$D$267,Parameters!$K$4,$E$25:$E$267,Parameters!$M$5,Calendrier!$C$25:$C$267,DO32))</f>
        <v>0</v>
      </c>
      <c r="NA32" s="50">
        <f>IF(DP32="","",COUNTIFS($D$25:$D$267,Parameters!$K$2,$E$25:$E$267,Parameters!$M$5,Calendrier!$C$25:$C$267,DP32)+ COUNTIFS($D$25:$D$267,Parameters!$K$3,$E$25:$E$267,Parameters!$M$5,Calendrier!$C$25:$C$267,DP32))</f>
        <v>0</v>
      </c>
      <c r="NB32" s="50">
        <f>IF(DQ32="","",COUNTIFS($D$25:$D$267,Parameters!$K$2,$E$25:$E$267,Parameters!$M$5,Calendrier!$C$25:$C$267,DQ32)+ COUNTIFS($D$25:$D$267,Parameters!$K$4,$E$25:$E$267,Parameters!$M$5,Calendrier!$C$25:$C$267,DQ32))</f>
        <v>0</v>
      </c>
      <c r="NC32" s="50" t="str">
        <f>IF(DR32="","",COUNTIFS($D$25:$D$267,Parameters!$K$2,$E$25:$E$267,Parameters!$M$5,Calendrier!$C$25:$C$267,DR32)+ COUNTIFS($D$25:$D$267,Parameters!$K$3,$E$25:$E$267,Parameters!$M$5,Calendrier!$C$25:$C$267,DR32))</f>
        <v/>
      </c>
      <c r="ND32" s="50" t="str">
        <f>IF(DS32="","",COUNTIFS($D$25:$D$267,Parameters!$K$2,$E$25:$E$267,Parameters!$M$5,Calendrier!$C$25:$C$267,DS32)+ COUNTIFS($D$25:$D$267,Parameters!$K$4,$E$25:$E$267,Parameters!$M$5,Calendrier!$C$25:$C$267,DS32))</f>
        <v/>
      </c>
      <c r="NE32" s="50" t="str">
        <f>IF(DT32="","",COUNTIFS($D$25:$D$267,Parameters!$K$2,$E$25:$E$267,Parameters!$M$5,Calendrier!$C$25:$C$267,DT32)+ COUNTIFS($D$25:$D$267,Parameters!$K$3,$E$25:$E$267,Parameters!$M$5,Calendrier!$C$25:$C$267,DT32))</f>
        <v/>
      </c>
      <c r="NF32" s="57" t="str">
        <f>IF(DU32="","",COUNTIFS($D$25:$D$267,Parameters!$K$2,$E$25:$E$267,Parameters!$M$5,Calendrier!$C$25:$C$267,DU32)+ COUNTIFS($D$25:$D$267,Parameters!$K$4,$E$25:$E$267,Parameters!$M$5,Calendrier!$C$25:$C$267,DU32))</f>
        <v/>
      </c>
      <c r="NI32" s="49">
        <f>IF(DX32="","",COUNTIFS($D$25:$D$267,Parameters!$K$2,$E$25:$E$267,Parameters!$M$5,Calendrier!$C$25:$C$267,DX32)+ COUNTIFS($D$25:$D$267,Parameters!$K$3,$E$25:$E$267,Parameters!$M$5,Calendrier!$C$25:$C$267,DX32))</f>
        <v>0</v>
      </c>
      <c r="NJ32" s="50">
        <f>IF(DY32="","",COUNTIFS($D$25:$D$267,Parameters!$K$2,$E$25:$E$267,Parameters!$M$5,Calendrier!$C$25:$C$267,DY32)+ COUNTIFS($D$25:$D$267,Parameters!$K$4,$E$25:$E$267,Parameters!$M$5,Calendrier!$C$25:$C$267,DY32))</f>
        <v>0</v>
      </c>
      <c r="NK32" s="50">
        <f>IF(DZ32="","",COUNTIFS($D$25:$D$267,Parameters!$K$2,$E$25:$E$267,Parameters!$M$5,Calendrier!$C$25:$C$267,DZ32)+ COUNTIFS($D$25:$D$267,Parameters!$K$3,$E$25:$E$267,Parameters!$M$5,Calendrier!$C$25:$C$267,DZ32))</f>
        <v>0</v>
      </c>
      <c r="NL32" s="50">
        <f>IF(EA32="","",COUNTIFS($D$25:$D$267,Parameters!$K$2,$E$25:$E$267,Parameters!$M$5,Calendrier!$C$25:$C$267,EA32)+ COUNTIFS($D$25:$D$267,Parameters!$K$4,$E$25:$E$267,Parameters!$M$5,Calendrier!$C$25:$C$267,EA32))</f>
        <v>0</v>
      </c>
      <c r="NM32" s="50">
        <f>IF(EB32="","",COUNTIFS($D$25:$D$267,Parameters!$K$2,$E$25:$E$267,Parameters!$M$5,Calendrier!$C$25:$C$267,EB32)+ COUNTIFS($D$25:$D$267,Parameters!$K$3,$E$25:$E$267,Parameters!$M$5,Calendrier!$C$25:$C$267,EB32))</f>
        <v>0</v>
      </c>
      <c r="NN32" s="50">
        <f>IF(EC32="","",COUNTIFS($D$25:$D$267,Parameters!$K$2,$E$25:$E$267,Parameters!$M$5,Calendrier!$C$25:$C$267,EC32)+ COUNTIFS($D$25:$D$267,Parameters!$K$4,$E$25:$E$267,Parameters!$M$5,Calendrier!$C$25:$C$267,EC32))</f>
        <v>0</v>
      </c>
      <c r="NO32" s="50">
        <f>IF(ED32="","",COUNTIFS($D$25:$D$267,Parameters!$K$2,$E$25:$E$267,Parameters!$M$5,Calendrier!$C$25:$C$267,ED32)+ COUNTIFS($D$25:$D$267,Parameters!$K$3,$E$25:$E$267,Parameters!$M$5,Calendrier!$C$25:$C$267,ED32))</f>
        <v>0</v>
      </c>
      <c r="NP32" s="50">
        <f>IF(EE32="","",COUNTIFS($D$25:$D$267,Parameters!$K$2,$E$25:$E$267,Parameters!$M$5,Calendrier!$C$25:$C$267,EE32)+ COUNTIFS($D$25:$D$267,Parameters!$K$4,$E$25:$E$267,Parameters!$M$5,Calendrier!$C$25:$C$267,EE32))</f>
        <v>0</v>
      </c>
      <c r="NQ32" s="50">
        <f>IF(EF32="","",COUNTIFS($D$25:$D$267,Parameters!$K$2,$E$25:$E$267,Parameters!$M$5,Calendrier!$C$25:$C$267,EF32)+ COUNTIFS($D$25:$D$267,Parameters!$K$3,$E$25:$E$267,Parameters!$M$5,Calendrier!$C$25:$C$267,EF32))</f>
        <v>0</v>
      </c>
      <c r="NR32" s="50">
        <f>IF(EG32="","",COUNTIFS($D$25:$D$267,Parameters!$K$2,$E$25:$E$267,Parameters!$M$5,Calendrier!$C$25:$C$267,EG32)+ COUNTIFS($D$25:$D$267,Parameters!$K$4,$E$25:$E$267,Parameters!$M$5,Calendrier!$C$25:$C$267,EG32))</f>
        <v>0</v>
      </c>
      <c r="NS32" s="50">
        <f>IF(EH32="","",COUNTIFS($D$25:$D$267,Parameters!$K$2,$E$25:$E$267,Parameters!$M$5,Calendrier!$C$25:$C$267,EH32)+ COUNTIFS($D$25:$D$267,Parameters!$K$3,$E$25:$E$267,Parameters!$M$5,Calendrier!$C$25:$C$267,EH32))</f>
        <v>0</v>
      </c>
      <c r="NT32" s="50">
        <f>IF(EI32="","",COUNTIFS($D$25:$D$267,Parameters!$K$2,$E$25:$E$267,Parameters!$M$5,Calendrier!$C$25:$C$267,EI32)+ COUNTIFS($D$25:$D$267,Parameters!$K$4,$E$25:$E$267,Parameters!$M$5,Calendrier!$C$25:$C$267,EI32))</f>
        <v>0</v>
      </c>
      <c r="NU32" s="50">
        <f>IF(EJ32="","",COUNTIFS($D$25:$D$267,Parameters!$K$2,$E$25:$E$267,Parameters!$M$5,Calendrier!$C$25:$C$267,EJ32)+ COUNTIFS($D$25:$D$267,Parameters!$K$3,$E$25:$E$267,Parameters!$M$5,Calendrier!$C$25:$C$267,EJ32))</f>
        <v>0</v>
      </c>
      <c r="NV32" s="57">
        <f>IF(EK32="","",COUNTIFS($D$25:$D$267,Parameters!$K$2,$E$25:$E$267,Parameters!$M$5,Calendrier!$C$25:$C$267,EK32)+ COUNTIFS($D$25:$D$267,Parameters!$K$4,$E$25:$E$267,Parameters!$M$5,Calendrier!$C$25:$C$267,EK32))</f>
        <v>0</v>
      </c>
      <c r="NY32" s="49">
        <f>IF(EN32="","",COUNTIFS($D$25:$D$267,Parameters!$K$2,$E$25:$E$267,Parameters!$M$5,Calendrier!$C$25:$C$267,EN32)+ COUNTIFS($D$25:$D$267,Parameters!$K$3,$E$25:$E$267,Parameters!$M$5,Calendrier!$C$25:$C$267,EN32))</f>
        <v>0</v>
      </c>
      <c r="NZ32" s="50">
        <f>IF(EO32="","",COUNTIFS($D$25:$D$267,Parameters!$K$2,$E$25:$E$267,Parameters!$M$5,Calendrier!$C$25:$C$267,EO32)+ COUNTIFS($D$25:$D$267,Parameters!$K$4,$E$25:$E$267,Parameters!$M$5,Calendrier!$C$25:$C$267,EO32))</f>
        <v>0</v>
      </c>
      <c r="OA32" s="50">
        <f>IF(EP32="","",COUNTIFS($D$25:$D$267,Parameters!$K$2,$E$25:$E$267,Parameters!$M$5,Calendrier!$C$25:$C$267,EP32)+ COUNTIFS($D$25:$D$267,Parameters!$K$3,$E$25:$E$267,Parameters!$M$5,Calendrier!$C$25:$C$267,EP32))</f>
        <v>0</v>
      </c>
      <c r="OB32" s="50">
        <f>IF(EQ32="","",COUNTIFS($D$25:$D$267,Parameters!$K$2,$E$25:$E$267,Parameters!$M$5,Calendrier!$C$25:$C$267,EQ32)+ COUNTIFS($D$25:$D$267,Parameters!$K$4,$E$25:$E$267,Parameters!$M$5,Calendrier!$C$25:$C$267,EQ32))</f>
        <v>0</v>
      </c>
      <c r="OC32" s="50">
        <f>IF(ER32="","",COUNTIFS($D$25:$D$267,Parameters!$K$2,$E$25:$E$267,Parameters!$M$5,Calendrier!$C$25:$C$267,ER32)+ COUNTIFS($D$25:$D$267,Parameters!$K$3,$E$25:$E$267,Parameters!$M$5,Calendrier!$C$25:$C$267,ER32))</f>
        <v>0</v>
      </c>
      <c r="OD32" s="50">
        <f>IF(ES32="","",COUNTIFS($D$25:$D$267,Parameters!$K$2,$E$25:$E$267,Parameters!$M$5,Calendrier!$C$25:$C$267,ES32)+ COUNTIFS($D$25:$D$267,Parameters!$K$4,$E$25:$E$267,Parameters!$M$5,Calendrier!$C$25:$C$267,ES32))</f>
        <v>0</v>
      </c>
      <c r="OE32" s="50" t="str">
        <f>IF(ET32="","",COUNTIFS($D$25:$D$267,Parameters!$K$2,$E$25:$E$267,Parameters!$M$5,Calendrier!$C$25:$C$267,ET32)+ COUNTIFS($D$25:$D$267,Parameters!$K$3,$E$25:$E$267,Parameters!$M$5,Calendrier!$C$25:$C$267,ET32))</f>
        <v/>
      </c>
      <c r="OF32" s="50" t="str">
        <f>IF(EU32="","",COUNTIFS($D$25:$D$267,Parameters!$K$2,$E$25:$E$267,Parameters!$M$5,Calendrier!$C$25:$C$267,EU32)+ COUNTIFS($D$25:$D$267,Parameters!$K$4,$E$25:$E$267,Parameters!$M$5,Calendrier!$C$25:$C$267,EU32))</f>
        <v/>
      </c>
      <c r="OG32" s="50" t="str">
        <f>IF(EV32="","",COUNTIFS($D$25:$D$267,Parameters!$K$2,$E$25:$E$267,Parameters!$M$5,Calendrier!$C$25:$C$267,EV32)+ COUNTIFS($D$25:$D$267,Parameters!$K$3,$E$25:$E$267,Parameters!$M$5,Calendrier!$C$25:$C$267,EV32))</f>
        <v/>
      </c>
      <c r="OH32" s="50" t="str">
        <f>IF(EW32="","",COUNTIFS($D$25:$D$267,Parameters!$K$2,$E$25:$E$267,Parameters!$M$5,Calendrier!$C$25:$C$267,EW32)+ COUNTIFS($D$25:$D$267,Parameters!$K$4,$E$25:$E$267,Parameters!$M$5,Calendrier!$C$25:$C$267,EW32))</f>
        <v/>
      </c>
      <c r="OI32" s="50" t="str">
        <f>IF(EX32="","",COUNTIFS($D$25:$D$267,Parameters!$K$2,$E$25:$E$267,Parameters!$M$5,Calendrier!$C$25:$C$267,EX32)+ COUNTIFS($D$25:$D$267,Parameters!$K$3,$E$25:$E$267,Parameters!$M$5,Calendrier!$C$25:$C$267,EX32))</f>
        <v/>
      </c>
      <c r="OJ32" s="50" t="str">
        <f>IF(EY32="","",COUNTIFS($D$25:$D$267,Parameters!$K$2,$E$25:$E$267,Parameters!$M$5,Calendrier!$C$25:$C$267,EY32)+ COUNTIFS($D$25:$D$267,Parameters!$K$4,$E$25:$E$267,Parameters!$M$5,Calendrier!$C$25:$C$267,EY32))</f>
        <v/>
      </c>
      <c r="OK32" s="50" t="str">
        <f>IF(EZ32="","",COUNTIFS($D$25:$D$267,Parameters!$K$2,$E$25:$E$267,Parameters!$M$5,Calendrier!$C$25:$C$267,EZ32)+ COUNTIFS($D$25:$D$267,Parameters!$K$3,$E$25:$E$267,Parameters!$M$5,Calendrier!$C$25:$C$267,EZ32))</f>
        <v/>
      </c>
      <c r="OL32" s="57" t="str">
        <f>IF(FA32="","",COUNTIFS($D$25:$D$267,Parameters!$K$2,$E$25:$E$267,Parameters!$M$5,Calendrier!$C$25:$C$267,FA32)+ COUNTIFS($D$25:$D$267,Parameters!$K$4,$E$25:$E$267,Parameters!$M$5,Calendrier!$C$25:$C$267,FA32))</f>
        <v/>
      </c>
      <c r="OP32" s="49">
        <f>IF(DH32="","",COUNTIFS(Parameters!$Y:$Y,$BF$4,Parameters!$X:$X,DH32))</f>
        <v>1</v>
      </c>
      <c r="OQ32" s="50">
        <f>IF(DI32="","",COUNTIFS(Parameters!$Y:$Y,$BF$4,Parameters!$X:$X,DI32))</f>
        <v>1</v>
      </c>
      <c r="OR32" s="50">
        <f>IF(DJ32="","",COUNTIFS(Parameters!$Y:$Y,$BF$4,Parameters!$X:$X,DJ32))</f>
        <v>1</v>
      </c>
      <c r="OS32" s="50">
        <f>IF(DK32="","",COUNTIFS(Parameters!$Y:$Y,$BF$4,Parameters!$X:$X,DK32))</f>
        <v>1</v>
      </c>
      <c r="OT32" s="50">
        <f>IF(DL32="","",COUNTIFS(Parameters!$Y:$Y,$BF$4,Parameters!$X:$X,DL32))</f>
        <v>1</v>
      </c>
      <c r="OU32" s="50">
        <f>IF(DM32="","",COUNTIFS(Parameters!$Y:$Y,$BF$4,Parameters!$X:$X,DM32))</f>
        <v>1</v>
      </c>
      <c r="OV32" s="50">
        <f>IF(DN32="","",COUNTIFS(Parameters!$Y:$Y,$BF$4,Parameters!$X:$X,DN32))</f>
        <v>1</v>
      </c>
      <c r="OW32" s="50">
        <f>IF(DO32="","",COUNTIFS(Parameters!$Y:$Y,$BF$4,Parameters!$X:$X,DO32))</f>
        <v>1</v>
      </c>
      <c r="OX32" s="50">
        <f>IF(DP32="","",COUNTIFS(Parameters!$Y:$Y,$BF$4,Parameters!$X:$X,DP32))</f>
        <v>1</v>
      </c>
      <c r="OY32" s="50">
        <f>IF(DQ32="","",COUNTIFS(Parameters!$Y:$Y,$BF$4,Parameters!$X:$X,DQ32))</f>
        <v>1</v>
      </c>
      <c r="OZ32" s="50" t="str">
        <f>IF(DR32="","",COUNTIFS(Parameters!$Y:$Y,$BF$4,Parameters!$X:$X,DR32))</f>
        <v/>
      </c>
      <c r="PA32" s="50" t="str">
        <f>IF(DS32="","",COUNTIFS(Parameters!$Y:$Y,$BF$4,Parameters!$X:$X,DS32))</f>
        <v/>
      </c>
      <c r="PB32" s="50" t="str">
        <f>IF(DT32="","",COUNTIFS(Parameters!$Y:$Y,$BF$4,Parameters!$X:$X,DT32))</f>
        <v/>
      </c>
      <c r="PC32" s="57" t="str">
        <f>IF(DU32="","",COUNTIFS(Parameters!$Y:$Y,$BF$4,Parameters!$X:$X,DU32))</f>
        <v/>
      </c>
      <c r="PF32" s="49">
        <f>IF(DX32="","",COUNTIFS(Parameters!$Y:$Y,$BF$4,Parameters!$X:$X,DX32))</f>
        <v>0</v>
      </c>
      <c r="PG32" s="50">
        <f>IF(DY32="","",COUNTIFS(Parameters!$Y:$Y,$BF$4,Parameters!$X:$X,DY32))</f>
        <v>0</v>
      </c>
      <c r="PH32" s="50">
        <f>IF(DZ32="","",COUNTIFS(Parameters!$Y:$Y,$BF$4,Parameters!$X:$X,DZ32))</f>
        <v>0</v>
      </c>
      <c r="PI32" s="50">
        <f>IF(EA32="","",COUNTIFS(Parameters!$Y:$Y,$BF$4,Parameters!$X:$X,EA32))</f>
        <v>0</v>
      </c>
      <c r="PJ32" s="50">
        <f>IF(EB32="","",COUNTIFS(Parameters!$Y:$Y,$BF$4,Parameters!$X:$X,EB32))</f>
        <v>0</v>
      </c>
      <c r="PK32" s="50">
        <f>IF(EC32="","",COUNTIFS(Parameters!$Y:$Y,$BF$4,Parameters!$X:$X,EC32))</f>
        <v>0</v>
      </c>
      <c r="PL32" s="50">
        <f>IF(ED32="","",COUNTIFS(Parameters!$Y:$Y,$BF$4,Parameters!$X:$X,ED32))</f>
        <v>0</v>
      </c>
      <c r="PM32" s="50">
        <f>IF(EE32="","",COUNTIFS(Parameters!$Y:$Y,$BF$4,Parameters!$X:$X,EE32))</f>
        <v>0</v>
      </c>
      <c r="PN32" s="50">
        <f>IF(EF32="","",COUNTIFS(Parameters!$Y:$Y,$BF$4,Parameters!$X:$X,EF32))</f>
        <v>0</v>
      </c>
      <c r="PO32" s="50">
        <f>IF(EG32="","",COUNTIFS(Parameters!$Y:$Y,$BF$4,Parameters!$X:$X,EG32))</f>
        <v>0</v>
      </c>
      <c r="PP32" s="50">
        <f>IF(EH32="","",COUNTIFS(Parameters!$Y:$Y,$BF$4,Parameters!$X:$X,EH32))</f>
        <v>0</v>
      </c>
      <c r="PQ32" s="50">
        <f>IF(EI32="","",COUNTIFS(Parameters!$Y:$Y,$BF$4,Parameters!$X:$X,EI32))</f>
        <v>0</v>
      </c>
      <c r="PR32" s="50">
        <f>IF(EJ32="","",COUNTIFS(Parameters!$Y:$Y,$BF$4,Parameters!$X:$X,EJ32))</f>
        <v>0</v>
      </c>
      <c r="PS32" s="57">
        <f>IF(EK32="","",COUNTIFS(Parameters!$Y:$Y,$BF$4,Parameters!$X:$X,EK32))</f>
        <v>0</v>
      </c>
      <c r="PV32" s="49">
        <f>IF(EN32="","",COUNTIFS(Parameters!$Y:$Y,$BF$4,Parameters!$X:$X,EN32))</f>
        <v>0</v>
      </c>
      <c r="PW32" s="50">
        <f>IF(EO32="","",COUNTIFS(Parameters!$Y:$Y,$BF$4,Parameters!$X:$X,EO32))</f>
        <v>0</v>
      </c>
      <c r="PX32" s="50">
        <f>IF(EP32="","",COUNTIFS(Parameters!$Y:$Y,$BF$4,Parameters!$X:$X,EP32))</f>
        <v>0</v>
      </c>
      <c r="PY32" s="50">
        <f>IF(EQ32="","",COUNTIFS(Parameters!$Y:$Y,$BF$4,Parameters!$X:$X,EQ32))</f>
        <v>0</v>
      </c>
      <c r="PZ32" s="50">
        <f>IF(ER32="","",COUNTIFS(Parameters!$Y:$Y,$BF$4,Parameters!$X:$X,ER32))</f>
        <v>0</v>
      </c>
      <c r="QA32" s="50">
        <f>IF(ES32="","",COUNTIFS(Parameters!$Y:$Y,$BF$4,Parameters!$X:$X,ES32))</f>
        <v>0</v>
      </c>
      <c r="QB32" s="50" t="str">
        <f>IF(ET32="","",COUNTIFS(Parameters!$Y:$Y,$BF$4,Parameters!$X:$X,ET32))</f>
        <v/>
      </c>
      <c r="QC32" s="50" t="str">
        <f>IF(EU32="","",COUNTIFS(Parameters!$Y:$Y,$BF$4,Parameters!$X:$X,EU32))</f>
        <v/>
      </c>
      <c r="QD32" s="50" t="str">
        <f>IF(EV32="","",COUNTIFS(Parameters!$Y:$Y,$BF$4,Parameters!$X:$X,EV32))</f>
        <v/>
      </c>
      <c r="QE32" s="50" t="str">
        <f>IF(EW32="","",COUNTIFS(Parameters!$Y:$Y,$BF$4,Parameters!$X:$X,EW32))</f>
        <v/>
      </c>
      <c r="QF32" s="50" t="str">
        <f>IF(EX32="","",COUNTIFS(Parameters!$Y:$Y,$BF$4,Parameters!$X:$X,EX32))</f>
        <v/>
      </c>
      <c r="QG32" s="50" t="str">
        <f>IF(EY32="","",COUNTIFS(Parameters!$Y:$Y,$BF$4,Parameters!$X:$X,EY32))</f>
        <v/>
      </c>
      <c r="QH32" s="50" t="str">
        <f>IF(EZ32="","",COUNTIFS(Parameters!$Y:$Y,$BF$4,Parameters!$X:$X,EZ32))</f>
        <v/>
      </c>
      <c r="QI32" s="57" t="str">
        <f>IF(FA32="","",COUNTIFS(Parameters!$Y:$Y,$BF$4,Parameters!$X:$X,FA32))</f>
        <v/>
      </c>
      <c r="QN32" s="49">
        <f>IF(DH32="","",COUNTIFS($D$25:$D$267,Parameters!$K$2,$E$25:$E$267,Parameters!$M$6,Calendrier!$C$25:$C$267,DH32)+ COUNTIFS($D$25:$D$267,Parameters!$K$3,$E$25:$E$267,Parameters!$M$6,Calendrier!$C$25:$C$267,DH32))</f>
        <v>0</v>
      </c>
      <c r="QO32" s="50">
        <f>IF(DI32="","",COUNTIFS($D$25:$D$267,Parameters!$K$2,$E$25:$E$267,Parameters!$M$6,Calendrier!$C$25:$C$267,DI32)+ COUNTIFS($D$25:$D$267,Parameters!$K$4,$E$25:$E$267,Parameters!$M$6,Calendrier!$C$25:$C$267,DI32))</f>
        <v>0</v>
      </c>
      <c r="QP32" s="50">
        <f>IF(DJ32="","",COUNTIFS($D$25:$D$267,Parameters!$K$2,$E$25:$E$267,Parameters!$M$6,Calendrier!$C$25:$C$267,DJ32)+ COUNTIFS($D$25:$D$267,Parameters!$K$3,$E$25:$E$267,Parameters!$M$6,Calendrier!$C$25:$C$267,DJ32))</f>
        <v>0</v>
      </c>
      <c r="QQ32" s="50">
        <f>IF(DK32="","",COUNTIFS($D$25:$D$267,Parameters!$K$2,$E$25:$E$267,Parameters!$M$6,Calendrier!$C$25:$C$267,DK32)+ COUNTIFS($D$25:$D$267,Parameters!$K$4,$E$25:$E$267,Parameters!$M$6,Calendrier!$C$25:$C$267,DK32))</f>
        <v>0</v>
      </c>
      <c r="QR32" s="50">
        <f>IF(DL32="","",COUNTIFS($D$25:$D$267,Parameters!$K$2,$E$25:$E$267,Parameters!$M$6,Calendrier!$C$25:$C$267,DL32)+ COUNTIFS($D$25:$D$267,Parameters!$K$3,$E$25:$E$267,Parameters!$M$6,Calendrier!$C$25:$C$267,DL32))</f>
        <v>0</v>
      </c>
      <c r="QS32" s="50">
        <f>IF(DM32="","",COUNTIFS($D$25:$D$267,Parameters!$K$2,$E$25:$E$267,Parameters!$M$6,Calendrier!$C$25:$C$267,DM32)+ COUNTIFS($D$25:$D$267,Parameters!$K$4,$E$25:$E$267,Parameters!$M$6,Calendrier!$C$25:$C$267,DM32))</f>
        <v>0</v>
      </c>
      <c r="QT32" s="50">
        <f>IF(DN32="","",COUNTIFS($D$25:$D$267,Parameters!$K$2,$E$25:$E$267,Parameters!$M$6,Calendrier!$C$25:$C$267,DN32)+ COUNTIFS($D$25:$D$267,Parameters!$K$3,$E$25:$E$267,Parameters!$M$6,Calendrier!$C$25:$C$267,DN32))</f>
        <v>0</v>
      </c>
      <c r="QU32" s="50">
        <f>IF(DO32="","",COUNTIFS($D$25:$D$267,Parameters!$K$2,$E$25:$E$267,Parameters!$M$6,Calendrier!$C$25:$C$267,DO32)+ COUNTIFS($D$25:$D$267,Parameters!$K$4,$E$25:$E$267,Parameters!$M$6,Calendrier!$C$25:$C$267,DO32))</f>
        <v>0</v>
      </c>
      <c r="QV32" s="50">
        <f>IF(DP32="","",COUNTIFS($D$25:$D$267,Parameters!$K$2,$E$25:$E$267,Parameters!$M$6,Calendrier!$C$25:$C$267,DP32)+ COUNTIFS($D$25:$D$267,Parameters!$K$3,$E$25:$E$267,Parameters!$M$6,Calendrier!$C$25:$C$267,DP32))</f>
        <v>0</v>
      </c>
      <c r="QW32" s="50">
        <f>IF(DQ32="","",COUNTIFS($D$25:$D$267,Parameters!$K$2,$E$25:$E$267,Parameters!$M$6,Calendrier!$C$25:$C$267,DQ32)+ COUNTIFS($D$25:$D$267,Parameters!$K$4,$E$25:$E$267,Parameters!$M$6,Calendrier!$C$25:$C$267,DQ32))</f>
        <v>0</v>
      </c>
      <c r="QX32" s="50" t="str">
        <f>IF(DR32="","",COUNTIFS($D$25:$D$267,Parameters!$K$2,$E$25:$E$267,Parameters!$M$6,Calendrier!$C$25:$C$267,DR32)+ COUNTIFS($D$25:$D$267,Parameters!$K$3,$E$25:$E$267,Parameters!$M$6,Calendrier!$C$25:$C$267,DR32))</f>
        <v/>
      </c>
      <c r="QY32" s="50" t="str">
        <f>IF(DS32="","",COUNTIFS($D$25:$D$267,Parameters!$K$2,$E$25:$E$267,Parameters!$M$6,Calendrier!$C$25:$C$267,DS32)+ COUNTIFS($D$25:$D$267,Parameters!$K$4,$E$25:$E$267,Parameters!$M$6,Calendrier!$C$25:$C$267,DS32))</f>
        <v/>
      </c>
      <c r="QZ32" s="50" t="str">
        <f>IF(DT32="","",COUNTIFS($D$25:$D$267,Parameters!$K$2,$E$25:$E$267,Parameters!$M$6,Calendrier!$C$25:$C$267,DT32)+ COUNTIFS($D$25:$D$267,Parameters!$K$3,$E$25:$E$267,Parameters!$M$6,Calendrier!$C$25:$C$267,DT32))</f>
        <v/>
      </c>
      <c r="RA32" s="57" t="str">
        <f>IF(DU32="","",COUNTIFS($D$25:$D$267,Parameters!$K$2,$E$25:$E$267,Parameters!$M$6,Calendrier!$C$25:$C$267,DU32)+ COUNTIFS($D$25:$D$267,Parameters!$K$4,$E$25:$E$267,Parameters!$M$6,Calendrier!$C$25:$C$267,DU32))</f>
        <v/>
      </c>
      <c r="RD32" s="49">
        <f>IF(DX32="","",COUNTIFS($D$25:$D$267,Parameters!$K$2,$E$25:$E$267,Parameters!$M$6,Calendrier!$C$25:$C$267,DX32)+ COUNTIFS($D$25:$D$267,Parameters!$K$3,$E$25:$E$267,Parameters!$M$6,Calendrier!$C$25:$C$267,DX32))</f>
        <v>0</v>
      </c>
      <c r="RE32" s="50">
        <f>IF(DY32="","",COUNTIFS($D$25:$D$267,Parameters!$K$2,$E$25:$E$267,Parameters!$M$6,Calendrier!$C$25:$C$267,DY32)+ COUNTIFS($D$25:$D$267,Parameters!$K$4,$E$25:$E$267,Parameters!$M$6,Calendrier!$C$25:$C$267,DY32))</f>
        <v>0</v>
      </c>
      <c r="RF32" s="50">
        <f>IF(DZ32="","",COUNTIFS($D$25:$D$267,Parameters!$K$2,$E$25:$E$267,Parameters!$M$6,Calendrier!$C$25:$C$267,DZ32)+ COUNTIFS($D$25:$D$267,Parameters!$K$3,$E$25:$E$267,Parameters!$M$6,Calendrier!$C$25:$C$267,DZ32))</f>
        <v>0</v>
      </c>
      <c r="RG32" s="50">
        <f>IF(EA32="","",COUNTIFS($D$25:$D$267,Parameters!$K$2,$E$25:$E$267,Parameters!$M$6,Calendrier!$C$25:$C$267,EA32)+ COUNTIFS($D$25:$D$267,Parameters!$K$4,$E$25:$E$267,Parameters!$M$6,Calendrier!$C$25:$C$267,EA32))</f>
        <v>0</v>
      </c>
      <c r="RH32" s="50">
        <f>IF(EB32="","",COUNTIFS($D$25:$D$267,Parameters!$K$2,$E$25:$E$267,Parameters!$M$6,Calendrier!$C$25:$C$267,EB32)+ COUNTIFS($D$25:$D$267,Parameters!$K$3,$E$25:$E$267,Parameters!$M$6,Calendrier!$C$25:$C$267,EB32))</f>
        <v>0</v>
      </c>
      <c r="RI32" s="50">
        <f>IF(EC32="","",COUNTIFS($D$25:$D$267,Parameters!$K$2,$E$25:$E$267,Parameters!$M$6,Calendrier!$C$25:$C$267,EC32)+ COUNTIFS($D$25:$D$267,Parameters!$K$4,$E$25:$E$267,Parameters!$M$6,Calendrier!$C$25:$C$267,EC32))</f>
        <v>0</v>
      </c>
      <c r="RJ32" s="50">
        <f>IF(ED32="","",COUNTIFS($D$25:$D$267,Parameters!$K$2,$E$25:$E$267,Parameters!$M$6,Calendrier!$C$25:$C$267,ED32)+ COUNTIFS($D$25:$D$267,Parameters!$K$3,$E$25:$E$267,Parameters!$M$6,Calendrier!$C$25:$C$267,ED32))</f>
        <v>0</v>
      </c>
      <c r="RK32" s="50">
        <f>IF(EE32="","",COUNTIFS($D$25:$D$267,Parameters!$K$2,$E$25:$E$267,Parameters!$M$6,Calendrier!$C$25:$C$267,EE32)+ COUNTIFS($D$25:$D$267,Parameters!$K$4,$E$25:$E$267,Parameters!$M$6,Calendrier!$C$25:$C$267,EE32))</f>
        <v>0</v>
      </c>
      <c r="RL32" s="50">
        <f>IF(EF32="","",COUNTIFS($D$25:$D$267,Parameters!$K$2,$E$25:$E$267,Parameters!$M$6,Calendrier!$C$25:$C$267,EF32)+ COUNTIFS($D$25:$D$267,Parameters!$K$3,$E$25:$E$267,Parameters!$M$6,Calendrier!$C$25:$C$267,EF32))</f>
        <v>0</v>
      </c>
      <c r="RM32" s="50">
        <f>IF(EG32="","",COUNTIFS($D$25:$D$267,Parameters!$K$2,$E$25:$E$267,Parameters!$M$6,Calendrier!$C$25:$C$267,EG32)+ COUNTIFS($D$25:$D$267,Parameters!$K$4,$E$25:$E$267,Parameters!$M$6,Calendrier!$C$25:$C$267,EG32))</f>
        <v>0</v>
      </c>
      <c r="RN32" s="50">
        <f>IF(EH32="","",COUNTIFS($D$25:$D$267,Parameters!$K$2,$E$25:$E$267,Parameters!$M$6,Calendrier!$C$25:$C$267,EH32)+ COUNTIFS($D$25:$D$267,Parameters!$K$3,$E$25:$E$267,Parameters!$M$6,Calendrier!$C$25:$C$267,EH32))</f>
        <v>0</v>
      </c>
      <c r="RO32" s="50">
        <f>IF(EI32="","",COUNTIFS($D$25:$D$267,Parameters!$K$2,$E$25:$E$267,Parameters!$M$6,Calendrier!$C$25:$C$267,EI32)+ COUNTIFS($D$25:$D$267,Parameters!$K$4,$E$25:$E$267,Parameters!$M$6,Calendrier!$C$25:$C$267,EI32))</f>
        <v>0</v>
      </c>
      <c r="RP32" s="50">
        <f>IF(EJ32="","",COUNTIFS($D$25:$D$267,Parameters!$K$2,$E$25:$E$267,Parameters!$M$6,Calendrier!$C$25:$C$267,EJ32)+ COUNTIFS($D$25:$D$267,Parameters!$K$3,$E$25:$E$267,Parameters!$M$6,Calendrier!$C$25:$C$267,EJ32))</f>
        <v>0</v>
      </c>
      <c r="RQ32" s="57">
        <f>IF(EK32="","",COUNTIFS($D$25:$D$267,Parameters!$K$2,$E$25:$E$267,Parameters!$M$6,Calendrier!$C$25:$C$267,EK32)+ COUNTIFS($D$25:$D$267,Parameters!$K$4,$E$25:$E$267,Parameters!$M$6,Calendrier!$C$25:$C$267,EK32))</f>
        <v>0</v>
      </c>
      <c r="RT32" s="49">
        <f>IF(EN32="","",COUNTIFS($D$25:$D$267,Parameters!$K$2,$E$25:$E$267,Parameters!$M$6,Calendrier!$C$25:$C$267,EN32)+ COUNTIFS($D$25:$D$267,Parameters!$K$3,$E$25:$E$267,Parameters!$M$6,Calendrier!$C$25:$C$267,EN32))</f>
        <v>0</v>
      </c>
      <c r="RU32" s="50">
        <f>IF(EO32="","",COUNTIFS($D$25:$D$267,Parameters!$K$2,$E$25:$E$267,Parameters!$M$6,Calendrier!$C$25:$C$267,EO32)+ COUNTIFS($D$25:$D$267,Parameters!$K$4,$E$25:$E$267,Parameters!$M$6,Calendrier!$C$25:$C$267,EO32))</f>
        <v>0</v>
      </c>
      <c r="RV32" s="50">
        <f>IF(EP32="","",COUNTIFS($D$25:$D$267,Parameters!$K$2,$E$25:$E$267,Parameters!$M$6,Calendrier!$C$25:$C$267,EP32)+ COUNTIFS($D$25:$D$267,Parameters!$K$3,$E$25:$E$267,Parameters!$M$6,Calendrier!$C$25:$C$267,EP32))</f>
        <v>0</v>
      </c>
      <c r="RW32" s="50">
        <f>IF(EQ32="","",COUNTIFS($D$25:$D$267,Parameters!$K$2,$E$25:$E$267,Parameters!$M$6,Calendrier!$C$25:$C$267,EQ32)+ COUNTIFS($D$25:$D$267,Parameters!$K$4,$E$25:$E$267,Parameters!$M$6,Calendrier!$C$25:$C$267,EQ32))</f>
        <v>0</v>
      </c>
      <c r="RX32" s="50">
        <f>IF(ER32="","",COUNTIFS($D$25:$D$267,Parameters!$K$2,$E$25:$E$267,Parameters!$M$6,Calendrier!$C$25:$C$267,ER32)+ COUNTIFS($D$25:$D$267,Parameters!$K$3,$E$25:$E$267,Parameters!$M$6,Calendrier!$C$25:$C$267,ER32))</f>
        <v>0</v>
      </c>
      <c r="RY32" s="50">
        <f>IF(ES32="","",COUNTIFS($D$25:$D$267,Parameters!$K$2,$E$25:$E$267,Parameters!$M$6,Calendrier!$C$25:$C$267,ES32)+ COUNTIFS($D$25:$D$267,Parameters!$K$4,$E$25:$E$267,Parameters!$M$6,Calendrier!$C$25:$C$267,ES32))</f>
        <v>0</v>
      </c>
      <c r="RZ32" s="50" t="str">
        <f>IF(ET32="","",COUNTIFS($D$25:$D$267,Parameters!$K$2,$E$25:$E$267,Parameters!$M$6,Calendrier!$C$25:$C$267,ET32)+ COUNTIFS($D$25:$D$267,Parameters!$K$3,$E$25:$E$267,Parameters!$M$6,Calendrier!$C$25:$C$267,ET32))</f>
        <v/>
      </c>
      <c r="SA32" s="50" t="str">
        <f>IF(EU32="","",COUNTIFS($D$25:$D$267,Parameters!$K$2,$E$25:$E$267,Parameters!$M$6,Calendrier!$C$25:$C$267,EU32)+ COUNTIFS($D$25:$D$267,Parameters!$K$4,$E$25:$E$267,Parameters!$M$6,Calendrier!$C$25:$C$267,EU32))</f>
        <v/>
      </c>
      <c r="SB32" s="50" t="str">
        <f>IF(EV32="","",COUNTIFS($D$25:$D$267,Parameters!$K$2,$E$25:$E$267,Parameters!$M$6,Calendrier!$C$25:$C$267,EV32)+ COUNTIFS($D$25:$D$267,Parameters!$K$3,$E$25:$E$267,Parameters!$M$6,Calendrier!$C$25:$C$267,EV32))</f>
        <v/>
      </c>
      <c r="SC32" s="50" t="str">
        <f>IF(EW32="","",COUNTIFS($D$25:$D$267,Parameters!$K$2,$E$25:$E$267,Parameters!$M$6,Calendrier!$C$25:$C$267,EW32)+ COUNTIFS($D$25:$D$267,Parameters!$K$4,$E$25:$E$267,Parameters!$M$6,Calendrier!$C$25:$C$267,EW32))</f>
        <v/>
      </c>
      <c r="SD32" s="50" t="str">
        <f>IF(EX32="","",COUNTIFS($D$25:$D$267,Parameters!$K$2,$E$25:$E$267,Parameters!$M$6,Calendrier!$C$25:$C$267,EX32)+ COUNTIFS($D$25:$D$267,Parameters!$K$3,$E$25:$E$267,Parameters!$M$6,Calendrier!$C$25:$C$267,EX32))</f>
        <v/>
      </c>
      <c r="SE32" s="50" t="str">
        <f>IF(EY32="","",COUNTIFS($D$25:$D$267,Parameters!$K$2,$E$25:$E$267,Parameters!$M$6,Calendrier!$C$25:$C$267,EY32)+ COUNTIFS($D$25:$D$267,Parameters!$K$4,$E$25:$E$267,Parameters!$M$6,Calendrier!$C$25:$C$267,EY32))</f>
        <v/>
      </c>
      <c r="SF32" s="50" t="str">
        <f>IF(EZ32="","",COUNTIFS($D$25:$D$267,Parameters!$K$2,$E$25:$E$267,Parameters!$M$6,Calendrier!$C$25:$C$267,EZ32)+ COUNTIFS($D$25:$D$267,Parameters!$K$3,$E$25:$E$267,Parameters!$M$6,Calendrier!$C$25:$C$267,EZ32))</f>
        <v/>
      </c>
      <c r="SG32" s="57" t="str">
        <f>IF(FA32="","",COUNTIFS($D$25:$D$267,Parameters!$K$2,$E$25:$E$267,Parameters!$M$6,Calendrier!$C$25:$C$267,FA32)+ COUNTIFS($D$25:$D$267,Parameters!$K$4,$E$25:$E$267,Parameters!$M$6,Calendrier!$C$25:$C$267,FA32))</f>
        <v/>
      </c>
      <c r="SL32" s="49">
        <f>IF(DH32="","",COUNTIFS($D$25:$D$267,Parameters!$K$2,$E$25:$E$267,Parameters!$M$7,Calendrier!$C$25:$C$267,DH32)+ COUNTIFS($D$25:$D$267,Parameters!$K$3,$E$25:$E$267,Parameters!$M$7,Calendrier!$C$25:$C$267,DH32))</f>
        <v>0</v>
      </c>
      <c r="SM32" s="50">
        <f>IF(DI32="","",COUNTIFS($D$25:$D$267,Parameters!$K$2,$E$25:$E$267,Parameters!$M$7,Calendrier!$C$25:$C$267,DI32)+ COUNTIFS($D$25:$D$267,Parameters!$K$4,$E$25:$E$267,Parameters!$M$7,Calendrier!$C$25:$C$267,DI32))</f>
        <v>0</v>
      </c>
      <c r="SN32" s="50">
        <f>IF(DJ32="","",COUNTIFS($D$25:$D$267,Parameters!$K$2,$E$25:$E$267,Parameters!$M$7,Calendrier!$C$25:$C$267,DJ32)+ COUNTIFS($D$25:$D$267,Parameters!$K$3,$E$25:$E$267,Parameters!$M$7,Calendrier!$C$25:$C$267,DJ32))</f>
        <v>0</v>
      </c>
      <c r="SO32" s="50">
        <f>IF(DK32="","",COUNTIFS($D$25:$D$267,Parameters!$K$2,$E$25:$E$267,Parameters!$M$7,Calendrier!$C$25:$C$267,DK32)+ COUNTIFS($D$25:$D$267,Parameters!$K$4,$E$25:$E$267,Parameters!$M$7,Calendrier!$C$25:$C$267,DK32))</f>
        <v>0</v>
      </c>
      <c r="SP32" s="50">
        <f>IF(DL32="","",COUNTIFS($D$25:$D$267,Parameters!$K$2,$E$25:$E$267,Parameters!$M$7,Calendrier!$C$25:$C$267,DL32)+ COUNTIFS($D$25:$D$267,Parameters!$K$3,$E$25:$E$267,Parameters!$M$7,Calendrier!$C$25:$C$267,DL32))</f>
        <v>0</v>
      </c>
      <c r="SQ32" s="50">
        <f>IF(DM32="","",COUNTIFS($D$25:$D$267,Parameters!$K$2,$E$25:$E$267,Parameters!$M$7,Calendrier!$C$25:$C$267,DM32)+ COUNTIFS($D$25:$D$267,Parameters!$K$4,$E$25:$E$267,Parameters!$M$7,Calendrier!$C$25:$C$267,DM32))</f>
        <v>0</v>
      </c>
      <c r="SR32" s="50">
        <f>IF(DN32="","",COUNTIFS($D$25:$D$267,Parameters!$K$2,$E$25:$E$267,Parameters!$M$7,Calendrier!$C$25:$C$267,DN32)+ COUNTIFS($D$25:$D$267,Parameters!$K$3,$E$25:$E$267,Parameters!$M$7,Calendrier!$C$25:$C$267,DN32))</f>
        <v>0</v>
      </c>
      <c r="SS32" s="50">
        <f>IF(DO32="","",COUNTIFS($D$25:$D$267,Parameters!$K$2,$E$25:$E$267,Parameters!$M$7,Calendrier!$C$25:$C$267,DO32)+ COUNTIFS($D$25:$D$267,Parameters!$K$4,$E$25:$E$267,Parameters!$M$7,Calendrier!$C$25:$C$267,DO32))</f>
        <v>0</v>
      </c>
      <c r="ST32" s="50">
        <f>IF(DP32="","",COUNTIFS($D$25:$D$267,Parameters!$K$2,$E$25:$E$267,Parameters!$M$7,Calendrier!$C$25:$C$267,DP32)+ COUNTIFS($D$25:$D$267,Parameters!$K$3,$E$25:$E$267,Parameters!$M$7,Calendrier!$C$25:$C$267,DP32))</f>
        <v>0</v>
      </c>
      <c r="SU32" s="50">
        <f>IF(DQ32="","",COUNTIFS($D$25:$D$267,Parameters!$K$2,$E$25:$E$267,Parameters!$M$7,Calendrier!$C$25:$C$267,DQ32)+ COUNTIFS($D$25:$D$267,Parameters!$K$4,$E$25:$E$267,Parameters!$M$7,Calendrier!$C$25:$C$267,DQ32))</f>
        <v>0</v>
      </c>
      <c r="SV32" s="50" t="str">
        <f>IF(DR32="","",COUNTIFS($D$25:$D$267,Parameters!$K$2,$E$25:$E$267,Parameters!$M$7,Calendrier!$C$25:$C$267,DR32)+ COUNTIFS($D$25:$D$267,Parameters!$K$3,$E$25:$E$267,Parameters!$M$7,Calendrier!$C$25:$C$267,DR32))</f>
        <v/>
      </c>
      <c r="SW32" s="50" t="str">
        <f>IF(DS32="","",COUNTIFS($D$25:$D$267,Parameters!$K$2,$E$25:$E$267,Parameters!$M$7,Calendrier!$C$25:$C$267,DS32)+ COUNTIFS($D$25:$D$267,Parameters!$K$4,$E$25:$E$267,Parameters!$M$7,Calendrier!$C$25:$C$267,DS32))</f>
        <v/>
      </c>
      <c r="SX32" s="50" t="str">
        <f>IF(DT32="","",COUNTIFS($D$25:$D$267,Parameters!$K$2,$E$25:$E$267,Parameters!$M$7,Calendrier!$C$25:$C$267,DT32)+ COUNTIFS($D$25:$D$267,Parameters!$K$3,$E$25:$E$267,Parameters!$M$7,Calendrier!$C$25:$C$267,DT32))</f>
        <v/>
      </c>
      <c r="SY32" s="57" t="str">
        <f>IF(DU32="","",COUNTIFS($D$25:$D$267,Parameters!$K$2,$E$25:$E$267,Parameters!$M$7,Calendrier!$C$25:$C$267,DU32)+ COUNTIFS($D$25:$D$267,Parameters!$K$4,$E$25:$E$267,Parameters!$M$7,Calendrier!$C$25:$C$267,DU32))</f>
        <v/>
      </c>
      <c r="TB32" s="49">
        <f>IF(DX32="","",COUNTIFS($D$25:$D$267,Parameters!$K$2,$E$25:$E$267,Parameters!$M$7,Calendrier!$C$25:$C$267,DX32)+ COUNTIFS($D$25:$D$267,Parameters!$K$3,$E$25:$E$267,Parameters!$M$7,Calendrier!$C$25:$C$267,DX32))</f>
        <v>0</v>
      </c>
      <c r="TC32" s="50">
        <f>IF(DY32="","",COUNTIFS($D$25:$D$267,Parameters!$K$2,$E$25:$E$267,Parameters!$M$7,Calendrier!$C$25:$C$267,DY32)+ COUNTIFS($D$25:$D$267,Parameters!$K$4,$E$25:$E$267,Parameters!$M$7,Calendrier!$C$25:$C$267,DY32))</f>
        <v>0</v>
      </c>
      <c r="TD32" s="50">
        <f>IF(DZ32="","",COUNTIFS($D$25:$D$267,Parameters!$K$2,$E$25:$E$267,Parameters!$M$7,Calendrier!$C$25:$C$267,DZ32)+ COUNTIFS($D$25:$D$267,Parameters!$K$3,$E$25:$E$267,Parameters!$M$7,Calendrier!$C$25:$C$267,DZ32))</f>
        <v>0</v>
      </c>
      <c r="TE32" s="50">
        <f>IF(EA32="","",COUNTIFS($D$25:$D$267,Parameters!$K$2,$E$25:$E$267,Parameters!$M$7,Calendrier!$C$25:$C$267,EA32)+ COUNTIFS($D$25:$D$267,Parameters!$K$4,$E$25:$E$267,Parameters!$M$7,Calendrier!$C$25:$C$267,EA32))</f>
        <v>0</v>
      </c>
      <c r="TF32" s="50">
        <f>IF(EB32="","",COUNTIFS($D$25:$D$267,Parameters!$K$2,$E$25:$E$267,Parameters!$M$7,Calendrier!$C$25:$C$267,EB32)+ COUNTIFS($D$25:$D$267,Parameters!$K$3,$E$25:$E$267,Parameters!$M$7,Calendrier!$C$25:$C$267,EB32))</f>
        <v>0</v>
      </c>
      <c r="TG32" s="50">
        <f>IF(EC32="","",COUNTIFS($D$25:$D$267,Parameters!$K$2,$E$25:$E$267,Parameters!$M$7,Calendrier!$C$25:$C$267,EC32)+ COUNTIFS($D$25:$D$267,Parameters!$K$4,$E$25:$E$267,Parameters!$M$7,Calendrier!$C$25:$C$267,EC32))</f>
        <v>0</v>
      </c>
      <c r="TH32" s="50">
        <f>IF(ED32="","",COUNTIFS($D$25:$D$267,Parameters!$K$2,$E$25:$E$267,Parameters!$M$7,Calendrier!$C$25:$C$267,ED32)+ COUNTIFS($D$25:$D$267,Parameters!$K$3,$E$25:$E$267,Parameters!$M$7,Calendrier!$C$25:$C$267,ED32))</f>
        <v>0</v>
      </c>
      <c r="TI32" s="50">
        <f>IF(EE32="","",COUNTIFS($D$25:$D$267,Parameters!$K$2,$E$25:$E$267,Parameters!$M$7,Calendrier!$C$25:$C$267,EE32)+ COUNTIFS($D$25:$D$267,Parameters!$K$4,$E$25:$E$267,Parameters!$M$7,Calendrier!$C$25:$C$267,EE32))</f>
        <v>0</v>
      </c>
      <c r="TJ32" s="50">
        <f>IF(EF32="","",COUNTIFS($D$25:$D$267,Parameters!$K$2,$E$25:$E$267,Parameters!$M$7,Calendrier!$C$25:$C$267,EF32)+ COUNTIFS($D$25:$D$267,Parameters!$K$3,$E$25:$E$267,Parameters!$M$7,Calendrier!$C$25:$C$267,EF32))</f>
        <v>0</v>
      </c>
      <c r="TK32" s="50">
        <f>IF(EG32="","",COUNTIFS($D$25:$D$267,Parameters!$K$2,$E$25:$E$267,Parameters!$M$7,Calendrier!$C$25:$C$267,EG32)+ COUNTIFS($D$25:$D$267,Parameters!$K$4,$E$25:$E$267,Parameters!$M$7,Calendrier!$C$25:$C$267,EG32))</f>
        <v>0</v>
      </c>
      <c r="TL32" s="50">
        <f>IF(EH32="","",COUNTIFS($D$25:$D$267,Parameters!$K$2,$E$25:$E$267,Parameters!$M$7,Calendrier!$C$25:$C$267,EH32)+ COUNTIFS($D$25:$D$267,Parameters!$K$3,$E$25:$E$267,Parameters!$M$7,Calendrier!$C$25:$C$267,EH32))</f>
        <v>0</v>
      </c>
      <c r="TM32" s="50">
        <f>IF(EI32="","",COUNTIFS($D$25:$D$267,Parameters!$K$2,$E$25:$E$267,Parameters!$M$7,Calendrier!$C$25:$C$267,EI32)+ COUNTIFS($D$25:$D$267,Parameters!$K$4,$E$25:$E$267,Parameters!$M$7,Calendrier!$C$25:$C$267,EI32))</f>
        <v>0</v>
      </c>
      <c r="TN32" s="50">
        <f>IF(EJ32="","",COUNTIFS($D$25:$D$267,Parameters!$K$2,$E$25:$E$267,Parameters!$M$7,Calendrier!$C$25:$C$267,EJ32)+ COUNTIFS($D$25:$D$267,Parameters!$K$3,$E$25:$E$267,Parameters!$M$7,Calendrier!$C$25:$C$267,EJ32))</f>
        <v>0</v>
      </c>
      <c r="TO32" s="57">
        <f>IF(EK32="","",COUNTIFS($D$25:$D$267,Parameters!$K$2,$E$25:$E$267,Parameters!$M$7,Calendrier!$C$25:$C$267,EK32)+ COUNTIFS($D$25:$D$267,Parameters!$K$4,$E$25:$E$267,Parameters!$M$7,Calendrier!$C$25:$C$267,EK32))</f>
        <v>0</v>
      </c>
      <c r="TR32" s="49">
        <f>IF(EN32="","",COUNTIFS($D$25:$D$267,Parameters!$K$2,$E$25:$E$267,Parameters!$M$7,Calendrier!$C$25:$C$267,EN32)+ COUNTIFS($D$25:$D$267,Parameters!$K$3,$E$25:$E$267,Parameters!$M$7,Calendrier!$C$25:$C$267,EN32))</f>
        <v>0</v>
      </c>
      <c r="TS32" s="50">
        <f>IF(EO32="","",COUNTIFS($D$25:$D$267,Parameters!$K$2,$E$25:$E$267,Parameters!$M$7,Calendrier!$C$25:$C$267,EO32)+ COUNTIFS($D$25:$D$267,Parameters!$K$4,$E$25:$E$267,Parameters!$M$7,Calendrier!$C$25:$C$267,EO32))</f>
        <v>0</v>
      </c>
      <c r="TT32" s="50">
        <f>IF(EP32="","",COUNTIFS($D$25:$D$267,Parameters!$K$2,$E$25:$E$267,Parameters!$M$7,Calendrier!$C$25:$C$267,EP32)+ COUNTIFS($D$25:$D$267,Parameters!$K$3,$E$25:$E$267,Parameters!$M$7,Calendrier!$C$25:$C$267,EP32))</f>
        <v>0</v>
      </c>
      <c r="TU32" s="50">
        <f>IF(EQ32="","",COUNTIFS($D$25:$D$267,Parameters!$K$2,$E$25:$E$267,Parameters!$M$7,Calendrier!$C$25:$C$267,EQ32)+ COUNTIFS($D$25:$D$267,Parameters!$K$4,$E$25:$E$267,Parameters!$M$7,Calendrier!$C$25:$C$267,EQ32))</f>
        <v>0</v>
      </c>
      <c r="TV32" s="50">
        <f>IF(ER32="","",COUNTIFS($D$25:$D$267,Parameters!$K$2,$E$25:$E$267,Parameters!$M$7,Calendrier!$C$25:$C$267,ER32)+ COUNTIFS($D$25:$D$267,Parameters!$K$3,$E$25:$E$267,Parameters!$M$7,Calendrier!$C$25:$C$267,ER32))</f>
        <v>0</v>
      </c>
      <c r="TW32" s="50">
        <f>IF(ES32="","",COUNTIFS($D$25:$D$267,Parameters!$K$2,$E$25:$E$267,Parameters!$M$7,Calendrier!$C$25:$C$267,ES32)+ COUNTIFS($D$25:$D$267,Parameters!$K$4,$E$25:$E$267,Parameters!$M$7,Calendrier!$C$25:$C$267,ES32))</f>
        <v>0</v>
      </c>
      <c r="TX32" s="50" t="str">
        <f>IF(ET32="","",COUNTIFS($D$25:$D$267,Parameters!$K$2,$E$25:$E$267,Parameters!$M$7,Calendrier!$C$25:$C$267,ET32)+ COUNTIFS($D$25:$D$267,Parameters!$K$3,$E$25:$E$267,Parameters!$M$7,Calendrier!$C$25:$C$267,ET32))</f>
        <v/>
      </c>
      <c r="TY32" s="50" t="str">
        <f>IF(EU32="","",COUNTIFS($D$25:$D$267,Parameters!$K$2,$E$25:$E$267,Parameters!$M$7,Calendrier!$C$25:$C$267,EU32)+ COUNTIFS($D$25:$D$267,Parameters!$K$4,$E$25:$E$267,Parameters!$M$7,Calendrier!$C$25:$C$267,EU32))</f>
        <v/>
      </c>
      <c r="TZ32" s="50" t="str">
        <f>IF(EV32="","",COUNTIFS($D$25:$D$267,Parameters!$K$2,$E$25:$E$267,Parameters!$M$7,Calendrier!$C$25:$C$267,EV32)+ COUNTIFS($D$25:$D$267,Parameters!$K$3,$E$25:$E$267,Parameters!$M$7,Calendrier!$C$25:$C$267,EV32))</f>
        <v/>
      </c>
      <c r="UA32" s="50" t="str">
        <f>IF(EW32="","",COUNTIFS($D$25:$D$267,Parameters!$K$2,$E$25:$E$267,Parameters!$M$7,Calendrier!$C$25:$C$267,EW32)+ COUNTIFS($D$25:$D$267,Parameters!$K$4,$E$25:$E$267,Parameters!$M$7,Calendrier!$C$25:$C$267,EW32))</f>
        <v/>
      </c>
      <c r="UB32" s="50" t="str">
        <f>IF(EX32="","",COUNTIFS($D$25:$D$267,Parameters!$K$2,$E$25:$E$267,Parameters!$M$7,Calendrier!$C$25:$C$267,EX32)+ COUNTIFS($D$25:$D$267,Parameters!$K$3,$E$25:$E$267,Parameters!$M$7,Calendrier!$C$25:$C$267,EX32))</f>
        <v/>
      </c>
      <c r="UC32" s="50" t="str">
        <f>IF(EY32="","",COUNTIFS($D$25:$D$267,Parameters!$K$2,$E$25:$E$267,Parameters!$M$7,Calendrier!$C$25:$C$267,EY32)+ COUNTIFS($D$25:$D$267,Parameters!$K$4,$E$25:$E$267,Parameters!$M$7,Calendrier!$C$25:$C$267,EY32))</f>
        <v/>
      </c>
      <c r="UD32" s="50" t="str">
        <f>IF(EZ32="","",COUNTIFS($D$25:$D$267,Parameters!$K$2,$E$25:$E$267,Parameters!$M$7,Calendrier!$C$25:$C$267,EZ32)+ COUNTIFS($D$25:$D$267,Parameters!$K$3,$E$25:$E$267,Parameters!$M$7,Calendrier!$C$25:$C$267,EZ32))</f>
        <v/>
      </c>
      <c r="UE32" s="57" t="str">
        <f>IF(FA32="","",COUNTIFS($D$25:$D$267,Parameters!$K$2,$E$25:$E$267,Parameters!$M$7,Calendrier!$C$25:$C$267,FA32)+ COUNTIFS($D$25:$D$267,Parameters!$K$4,$E$25:$E$267,Parameters!$M$7,Calendrier!$C$25:$C$267,FA32))</f>
        <v/>
      </c>
    </row>
    <row r="33" spans="2:551" ht="15" thickBot="1" x14ac:dyDescent="0.35">
      <c r="B33" s="73">
        <f t="shared" si="317"/>
        <v>2025</v>
      </c>
      <c r="C33" s="27">
        <v>45831</v>
      </c>
      <c r="D33" s="30" t="s">
        <v>30</v>
      </c>
      <c r="E33" s="30" t="s">
        <v>36</v>
      </c>
      <c r="F33" s="61"/>
      <c r="G33" s="77"/>
      <c r="K33" s="31"/>
      <c r="L33" s="22" t="str">
        <f>IF(X32&lt;&gt;"",IF(X32&lt;$Z$27,X32+1,""),"")</f>
        <v/>
      </c>
      <c r="M33" s="23"/>
      <c r="N33" s="22" t="str">
        <f>IF(L33&lt;&gt;"",IF(L33&lt;$Z$27,L33+1,""),"")</f>
        <v/>
      </c>
      <c r="O33" s="23"/>
      <c r="P33" s="22" t="str">
        <f>IF(N33&lt;&gt;"",IF(N33&lt;$Z$27,N33+1,""),"")</f>
        <v/>
      </c>
      <c r="Q33" s="23"/>
      <c r="R33" s="22" t="str">
        <f>IF(P33&lt;&gt;"",IF(P33&lt;$Z$27,P33+1,""),"")</f>
        <v/>
      </c>
      <c r="S33" s="23"/>
      <c r="T33" s="22" t="str">
        <f>IF(R33&lt;&gt;"",IF(R33&lt;$Z$27,R33+1,""),"")</f>
        <v/>
      </c>
      <c r="U33" s="23"/>
      <c r="V33" s="22" t="str">
        <f>IF(T33&lt;&gt;"",IF(T33&lt;$Z$27,T33+1,""),"")</f>
        <v/>
      </c>
      <c r="W33" s="23"/>
      <c r="X33" s="22" t="str">
        <f>IF(V33&lt;&gt;"",IF(V33&lt;$Z$27,V33+1,""),"")</f>
        <v/>
      </c>
      <c r="Y33" s="23"/>
      <c r="Z33" s="31"/>
      <c r="AA33" s="31"/>
      <c r="AB33" s="22">
        <f>IF(AN32&lt;&gt;"",IF(AN32&lt;$AP$27,AN32+1,""),"")</f>
        <v>31</v>
      </c>
      <c r="AC33" s="23"/>
      <c r="AD33" s="22" t="str">
        <f>IF(AB33&lt;&gt;"",IF(AB33&lt;$AP$27,AB33+1,""),"")</f>
        <v/>
      </c>
      <c r="AE33" s="23"/>
      <c r="AF33" s="22" t="str">
        <f>IF(AD33&lt;&gt;"",IF(AD33&lt;$AP$27,AD33+1,""),"")</f>
        <v/>
      </c>
      <c r="AG33" s="23"/>
      <c r="AH33" s="22" t="str">
        <f>IF(AF33&lt;&gt;"",IF(AF33&lt;$AP$27,AF33+1,""),"")</f>
        <v/>
      </c>
      <c r="AI33" s="23"/>
      <c r="AJ33" s="22" t="str">
        <f>IF(AH33&lt;&gt;"",IF(AH33&lt;$AP$27,AH33+1,""),"")</f>
        <v/>
      </c>
      <c r="AK33" s="23"/>
      <c r="AL33" s="22" t="str">
        <f>IF(AJ33&lt;&gt;"",IF(AJ33&lt;$AP$27,AJ33+1,""),"")</f>
        <v/>
      </c>
      <c r="AM33" s="23"/>
      <c r="AN33" s="22" t="str">
        <f>IF(AL33&lt;&gt;"",IF(AL33&lt;$AP$27,AL33+1,""),"")</f>
        <v/>
      </c>
      <c r="AO33" s="23"/>
      <c r="AP33" s="31"/>
      <c r="AQ33" s="31"/>
      <c r="AR33" s="22" t="str">
        <f>IF(BD32&lt;&gt;"",IF(BD32&lt;$BF$27,BD32+1,""),"")</f>
        <v/>
      </c>
      <c r="AS33" s="23"/>
      <c r="AT33" s="22" t="str">
        <f>IF(AR33&lt;&gt;"",IF(AR33&lt;$BF$27,AR33+1,""),"")</f>
        <v/>
      </c>
      <c r="AU33" s="23"/>
      <c r="AV33" s="22" t="str">
        <f>IF(AT33&lt;&gt;"",IF(AT33&lt;$BF$27,AT33+1,""),"")</f>
        <v/>
      </c>
      <c r="AW33" s="23"/>
      <c r="AX33" s="22" t="str">
        <f>IF(AV33&lt;&gt;"",IF(AV33&lt;$BF$27,AV33+1,""),"")</f>
        <v/>
      </c>
      <c r="AY33" s="23"/>
      <c r="AZ33" s="22" t="str">
        <f>IF(AX33&lt;&gt;"",IF(AX33&lt;$BF$27,AX33+1,""),"")</f>
        <v/>
      </c>
      <c r="BA33" s="23"/>
      <c r="BB33" s="22" t="str">
        <f>IF(AZ33&lt;&gt;"",IF(AZ33&lt;$BF$27,AZ33+1,""),"")</f>
        <v/>
      </c>
      <c r="BC33" s="23"/>
      <c r="BD33" s="22" t="str">
        <f>IF(BB33&lt;&gt;"",IF(BB33&lt;$BF$27,BB33+1,""),"")</f>
        <v/>
      </c>
      <c r="BE33" s="23"/>
      <c r="BF33" s="31"/>
      <c r="BG33" s="31"/>
      <c r="BJ33" s="42"/>
      <c r="BK33" s="6">
        <v>7</v>
      </c>
      <c r="BL33" s="6">
        <v>7</v>
      </c>
      <c r="BM33" s="6">
        <v>7</v>
      </c>
      <c r="BN33" s="6">
        <v>7</v>
      </c>
      <c r="BO33" s="6">
        <v>7</v>
      </c>
      <c r="BP33" s="6">
        <v>7</v>
      </c>
      <c r="BQ33" s="6">
        <v>7</v>
      </c>
      <c r="BR33" s="6">
        <v>7</v>
      </c>
      <c r="BS33" s="6">
        <v>7</v>
      </c>
      <c r="BT33" s="6">
        <v>7</v>
      </c>
      <c r="BU33" s="6">
        <v>7</v>
      </c>
      <c r="BV33" s="6">
        <v>7</v>
      </c>
      <c r="BW33" s="6">
        <v>7</v>
      </c>
      <c r="CA33" s="6">
        <v>8</v>
      </c>
      <c r="CB33" s="6">
        <v>8</v>
      </c>
      <c r="CC33" s="6">
        <v>8</v>
      </c>
      <c r="CD33" s="6">
        <v>8</v>
      </c>
      <c r="CE33" s="6">
        <v>8</v>
      </c>
      <c r="CF33" s="6">
        <v>8</v>
      </c>
      <c r="CG33" s="6">
        <v>8</v>
      </c>
      <c r="CH33" s="6">
        <v>8</v>
      </c>
      <c r="CI33" s="6">
        <v>8</v>
      </c>
      <c r="CJ33" s="6">
        <v>8</v>
      </c>
      <c r="CK33" s="6">
        <v>8</v>
      </c>
      <c r="CL33" s="6">
        <v>8</v>
      </c>
      <c r="CM33" s="6">
        <v>8</v>
      </c>
      <c r="CQ33" s="6">
        <v>9</v>
      </c>
      <c r="CR33" s="6">
        <v>9</v>
      </c>
      <c r="CS33" s="6">
        <v>9</v>
      </c>
      <c r="CT33" s="6">
        <v>9</v>
      </c>
      <c r="CU33" s="6">
        <v>9</v>
      </c>
      <c r="CV33" s="6">
        <v>9</v>
      </c>
      <c r="CW33" s="6">
        <v>9</v>
      </c>
      <c r="CX33" s="6">
        <v>9</v>
      </c>
      <c r="CY33" s="6">
        <v>9</v>
      </c>
      <c r="CZ33" s="6">
        <v>9</v>
      </c>
      <c r="DA33" s="6">
        <v>9</v>
      </c>
      <c r="DB33" s="6">
        <v>9</v>
      </c>
      <c r="DC33" s="6">
        <v>9</v>
      </c>
      <c r="DG33" s="42"/>
      <c r="DH33" s="46" t="str">
        <f t="shared" si="355"/>
        <v/>
      </c>
      <c r="DI33" s="47" t="str">
        <f t="shared" ref="DI33" si="450">DH33</f>
        <v/>
      </c>
      <c r="DJ33" s="47" t="str">
        <f t="shared" si="318"/>
        <v/>
      </c>
      <c r="DK33" s="47" t="str">
        <f t="shared" ref="DK33" si="451">DJ33</f>
        <v/>
      </c>
      <c r="DL33" s="47" t="str">
        <f t="shared" si="320"/>
        <v/>
      </c>
      <c r="DM33" s="47" t="str">
        <f t="shared" ref="DM33" si="452">DL33</f>
        <v/>
      </c>
      <c r="DN33" s="47" t="str">
        <f t="shared" si="322"/>
        <v/>
      </c>
      <c r="DO33" s="47" t="str">
        <f t="shared" ref="DO33" si="453">DN33</f>
        <v/>
      </c>
      <c r="DP33" s="47" t="str">
        <f t="shared" si="324"/>
        <v/>
      </c>
      <c r="DQ33" s="47" t="str">
        <f t="shared" ref="DQ33" si="454">DP33</f>
        <v/>
      </c>
      <c r="DR33" s="47" t="str">
        <f t="shared" si="326"/>
        <v/>
      </c>
      <c r="DS33" s="47" t="str">
        <f t="shared" ref="DS33" si="455">DR33</f>
        <v/>
      </c>
      <c r="DT33" s="47" t="str">
        <f t="shared" si="328"/>
        <v/>
      </c>
      <c r="DU33" s="48" t="str">
        <f t="shared" si="329"/>
        <v/>
      </c>
      <c r="DX33" s="46">
        <f t="shared" si="362"/>
        <v>46265</v>
      </c>
      <c r="DY33" s="47">
        <f t="shared" ref="DY33" si="456">DX33</f>
        <v>46265</v>
      </c>
      <c r="DZ33" s="47" t="str">
        <f t="shared" si="330"/>
        <v/>
      </c>
      <c r="EA33" s="47" t="str">
        <f t="shared" ref="EA33" si="457">DZ33</f>
        <v/>
      </c>
      <c r="EB33" s="47" t="str">
        <f t="shared" si="332"/>
        <v/>
      </c>
      <c r="EC33" s="47" t="str">
        <f t="shared" ref="EC33" si="458">EB33</f>
        <v/>
      </c>
      <c r="ED33" s="47" t="str">
        <f t="shared" si="334"/>
        <v/>
      </c>
      <c r="EE33" s="47" t="str">
        <f t="shared" ref="EE33" si="459">ED33</f>
        <v/>
      </c>
      <c r="EF33" s="47" t="str">
        <f t="shared" si="336"/>
        <v/>
      </c>
      <c r="EG33" s="47" t="str">
        <f t="shared" ref="EG33" si="460">EF33</f>
        <v/>
      </c>
      <c r="EH33" s="47" t="str">
        <f t="shared" si="338"/>
        <v/>
      </c>
      <c r="EI33" s="47" t="str">
        <f t="shared" ref="EI33" si="461">EH33</f>
        <v/>
      </c>
      <c r="EJ33" s="47" t="str">
        <f t="shared" si="340"/>
        <v/>
      </c>
      <c r="EK33" s="48" t="str">
        <f t="shared" si="341"/>
        <v/>
      </c>
      <c r="EN33" s="46" t="str">
        <f t="shared" si="369"/>
        <v/>
      </c>
      <c r="EO33" s="47" t="str">
        <f t="shared" ref="EO33" si="462">EN33</f>
        <v/>
      </c>
      <c r="EP33" s="47" t="str">
        <f t="shared" si="342"/>
        <v/>
      </c>
      <c r="EQ33" s="47" t="str">
        <f t="shared" ref="EQ33" si="463">EP33</f>
        <v/>
      </c>
      <c r="ER33" s="47" t="str">
        <f t="shared" si="344"/>
        <v/>
      </c>
      <c r="ES33" s="47" t="str">
        <f t="shared" ref="ES33" si="464">ER33</f>
        <v/>
      </c>
      <c r="ET33" s="47" t="str">
        <f t="shared" si="346"/>
        <v/>
      </c>
      <c r="EU33" s="47" t="str">
        <f t="shared" ref="EU33" si="465">ET33</f>
        <v/>
      </c>
      <c r="EV33" s="47" t="str">
        <f t="shared" si="348"/>
        <v/>
      </c>
      <c r="EW33" s="47" t="str">
        <f t="shared" ref="EW33" si="466">EV33</f>
        <v/>
      </c>
      <c r="EX33" s="47" t="str">
        <f t="shared" si="350"/>
        <v/>
      </c>
      <c r="EY33" s="47" t="str">
        <f t="shared" ref="EY33" si="467">EX33</f>
        <v/>
      </c>
      <c r="EZ33" s="47" t="str">
        <f t="shared" si="352"/>
        <v/>
      </c>
      <c r="FA33" s="48" t="str">
        <f t="shared" si="353"/>
        <v/>
      </c>
      <c r="FE33" s="58">
        <f>COUNTIFS(Parameters!$S:$S,$D$4,Parameters!$Q:$Q,DH33)</f>
        <v>0</v>
      </c>
      <c r="FF33" s="59">
        <f>COUNTIFS(Parameters!$S:$S,$D$4,Parameters!$Q:$Q,DI33)</f>
        <v>0</v>
      </c>
      <c r="FG33" s="59">
        <f>COUNTIFS(Parameters!$S:$S,$D$4,Parameters!$Q:$Q,DJ33)</f>
        <v>0</v>
      </c>
      <c r="FH33" s="59">
        <f>COUNTIFS(Parameters!$S:$S,$D$4,Parameters!$Q:$Q,DK33)</f>
        <v>0</v>
      </c>
      <c r="FI33" s="59">
        <f>COUNTIFS(Parameters!$S:$S,$D$4,Parameters!$Q:$Q,DL33)</f>
        <v>0</v>
      </c>
      <c r="FJ33" s="59">
        <f>COUNTIFS(Parameters!$S:$S,$D$4,Parameters!$Q:$Q,DM33)</f>
        <v>0</v>
      </c>
      <c r="FK33" s="59">
        <f>COUNTIFS(Parameters!$S:$S,$D$4,Parameters!$Q:$Q,DN33)</f>
        <v>0</v>
      </c>
      <c r="FL33" s="59">
        <f>COUNTIFS(Parameters!$S:$S,$D$4,Parameters!$Q:$Q,DO33)</f>
        <v>0</v>
      </c>
      <c r="FM33" s="59">
        <f>COUNTIFS(Parameters!$S:$S,$D$4,Parameters!$Q:$Q,DP33)</f>
        <v>0</v>
      </c>
      <c r="FN33" s="59">
        <f>COUNTIFS(Parameters!$S:$S,$D$4,Parameters!$Q:$Q,DQ33)</f>
        <v>0</v>
      </c>
      <c r="FO33" s="59">
        <f>COUNTIFS(Parameters!$S:$S,$D$4,Parameters!$Q:$Q,DR33)</f>
        <v>0</v>
      </c>
      <c r="FP33" s="59">
        <f>COUNTIFS(Parameters!$S:$S,$D$4,Parameters!$Q:$Q,DS33)</f>
        <v>0</v>
      </c>
      <c r="FQ33" s="59">
        <f>COUNTIFS(Parameters!$S:$S,$D$4,Parameters!$Q:$Q,DT33)</f>
        <v>0</v>
      </c>
      <c r="FR33" s="60">
        <f>COUNTIFS(Parameters!$S:$S,$D$4,Parameters!$Q:$Q,DU33)</f>
        <v>0</v>
      </c>
      <c r="FU33" s="58">
        <f>COUNTIFS(Parameters!$S:$S,$D$4,Parameters!$Q:$Q,DX33)</f>
        <v>0</v>
      </c>
      <c r="FV33" s="59">
        <f>COUNTIFS(Parameters!$S:$S,$D$4,Parameters!$Q:$Q,DY33)</f>
        <v>0</v>
      </c>
      <c r="FW33" s="59">
        <f>COUNTIFS(Parameters!$S:$S,$D$4,Parameters!$Q:$Q,DZ33)</f>
        <v>0</v>
      </c>
      <c r="FX33" s="59">
        <f>COUNTIFS(Parameters!$S:$S,$D$4,Parameters!$Q:$Q,EA33)</f>
        <v>0</v>
      </c>
      <c r="FY33" s="59">
        <f>COUNTIFS(Parameters!$S:$S,$D$4,Parameters!$Q:$Q,EB33)</f>
        <v>0</v>
      </c>
      <c r="FZ33" s="59">
        <f>COUNTIFS(Parameters!$S:$S,$D$4,Parameters!$Q:$Q,EC33)</f>
        <v>0</v>
      </c>
      <c r="GA33" s="59">
        <f>COUNTIFS(Parameters!$S:$S,$D$4,Parameters!$Q:$Q,ED33)</f>
        <v>0</v>
      </c>
      <c r="GB33" s="59">
        <f>COUNTIFS(Parameters!$S:$S,$D$4,Parameters!$Q:$Q,EE33)</f>
        <v>0</v>
      </c>
      <c r="GC33" s="59">
        <f>COUNTIFS(Parameters!$S:$S,$D$4,Parameters!$Q:$Q,EF33)</f>
        <v>0</v>
      </c>
      <c r="GD33" s="59">
        <f>COUNTIFS(Parameters!$S:$S,$D$4,Parameters!$Q:$Q,EG33)</f>
        <v>0</v>
      </c>
      <c r="GE33" s="59">
        <f>COUNTIFS(Parameters!$S:$S,$D$4,Parameters!$Q:$Q,EH33)</f>
        <v>0</v>
      </c>
      <c r="GF33" s="59">
        <f>COUNTIFS(Parameters!$S:$S,$D$4,Parameters!$Q:$Q,EI33)</f>
        <v>0</v>
      </c>
      <c r="GG33" s="59">
        <f>COUNTIFS(Parameters!$S:$S,$D$4,Parameters!$Q:$Q,EJ33)</f>
        <v>0</v>
      </c>
      <c r="GH33" s="60">
        <f>COUNTIFS(Parameters!$S:$S,$D$4,Parameters!$Q:$Q,EK33)</f>
        <v>0</v>
      </c>
      <c r="GK33" s="58">
        <f>COUNTIFS(Parameters!$S:$S,$D$4,Parameters!$Q:$Q,EN33)</f>
        <v>0</v>
      </c>
      <c r="GL33" s="59">
        <f>COUNTIFS(Parameters!$S:$S,$D$4,Parameters!$Q:$Q,EO33)</f>
        <v>0</v>
      </c>
      <c r="GM33" s="59">
        <f>COUNTIFS(Parameters!$S:$S,$D$4,Parameters!$Q:$Q,EP33)</f>
        <v>0</v>
      </c>
      <c r="GN33" s="59">
        <f>COUNTIFS(Parameters!$S:$S,$D$4,Parameters!$Q:$Q,EQ33)</f>
        <v>0</v>
      </c>
      <c r="GO33" s="59">
        <f>COUNTIFS(Parameters!$S:$S,$D$4,Parameters!$Q:$Q,ER33)</f>
        <v>0</v>
      </c>
      <c r="GP33" s="59">
        <f>COUNTIFS(Parameters!$S:$S,$D$4,Parameters!$Q:$Q,ES33)</f>
        <v>0</v>
      </c>
      <c r="GQ33" s="59">
        <f>COUNTIFS(Parameters!$S:$S,$D$4,Parameters!$Q:$Q,ET33)</f>
        <v>0</v>
      </c>
      <c r="GR33" s="59">
        <f>COUNTIFS(Parameters!$S:$S,$D$4,Parameters!$Q:$Q,EU33)</f>
        <v>0</v>
      </c>
      <c r="GS33" s="59">
        <f>COUNTIFS(Parameters!$S:$S,$D$4,Parameters!$Q:$Q,EV33)</f>
        <v>0</v>
      </c>
      <c r="GT33" s="59">
        <f>COUNTIFS(Parameters!$S:$S,$D$4,Parameters!$Q:$Q,EW33)</f>
        <v>0</v>
      </c>
      <c r="GU33" s="59">
        <f>COUNTIFS(Parameters!$S:$S,$D$4,Parameters!$Q:$Q,EX33)</f>
        <v>0</v>
      </c>
      <c r="GV33" s="59">
        <f>COUNTIFS(Parameters!$S:$S,$D$4,Parameters!$Q:$Q,EY33)</f>
        <v>0</v>
      </c>
      <c r="GW33" s="59">
        <f>COUNTIFS(Parameters!$S:$S,$D$4,Parameters!$Q:$Q,EZ33)</f>
        <v>0</v>
      </c>
      <c r="GX33" s="60">
        <f>COUNTIFS(Parameters!$S:$S,$D$4,Parameters!$Q:$Q,FA33)</f>
        <v>0</v>
      </c>
      <c r="HB33" s="58" t="str">
        <f>IF(DH33="","",COUNTIFS($D$25:$D$267,Parameters!$K$2,$E$25:$E$267,Parameters!$M$2,Calendrier!$C$25:$C$267,DH33)+ COUNTIFS($D$25:$D$267,Parameters!$K$3,$E$25:$E$267,Parameters!$M$2,Calendrier!$C$25:$C$267,DH33))</f>
        <v/>
      </c>
      <c r="HC33" s="59" t="str">
        <f>IF(DI33="","",COUNTIFS($D$25:$D$267,Parameters!$K$2,$E$25:$E$267,Parameters!$M$2,Calendrier!$C$25:$C$267,DI33)+ COUNTIFS($D$25:$D$267,Parameters!$K$4,$E$25:$E$267,Parameters!$M$2,Calendrier!$C$25:$C$267,DI33))</f>
        <v/>
      </c>
      <c r="HD33" s="59" t="str">
        <f>IF(DJ33="","",COUNTIFS($D$25:$D$267,Parameters!$K$2,$E$25:$E$267,Parameters!$M$2,Calendrier!$C$25:$C$267,DJ33)+ COUNTIFS($D$25:$D$267,Parameters!$K$3,$E$25:$E$267,Parameters!$M$2,Calendrier!$C$25:$C$267,DJ33))</f>
        <v/>
      </c>
      <c r="HE33" s="59" t="str">
        <f>IF(DK33="","",COUNTIFS($D$25:$D$267,Parameters!$K$2,$E$25:$E$267,Parameters!$M$2,Calendrier!$C$25:$C$267,DK33)+ COUNTIFS($D$25:$D$267,Parameters!$K$4,$E$25:$E$267,Parameters!$M$2,Calendrier!$C$25:$C$267,DK33))</f>
        <v/>
      </c>
      <c r="HF33" s="59" t="str">
        <f>IF(DL33="","",COUNTIFS($D$25:$D$267,Parameters!$K$2,$E$25:$E$267,Parameters!$M$2,Calendrier!$C$25:$C$267,DL33)+ COUNTIFS($D$25:$D$267,Parameters!$K$3,$E$25:$E$267,Parameters!$M$2,Calendrier!$C$25:$C$267,DL33))</f>
        <v/>
      </c>
      <c r="HG33" s="59" t="str">
        <f>IF(DM33="","",COUNTIFS($D$25:$D$267,Parameters!$K$2,$E$25:$E$267,Parameters!$M$2,Calendrier!$C$25:$C$267,DM33)+ COUNTIFS($D$25:$D$267,Parameters!$K$4,$E$25:$E$267,Parameters!$M$2,Calendrier!$C$25:$C$267,DM33))</f>
        <v/>
      </c>
      <c r="HH33" s="59" t="str">
        <f>IF(DN33="","",COUNTIFS($D$25:$D$267,Parameters!$K$2,$E$25:$E$267,Parameters!$M$2,Calendrier!$C$25:$C$267,DN33)+ COUNTIFS($D$25:$D$267,Parameters!$K$3,$E$25:$E$267,Parameters!$M$2,Calendrier!$C$25:$C$267,DN33))</f>
        <v/>
      </c>
      <c r="HI33" s="59" t="str">
        <f>IF(DO33="","",COUNTIFS($D$25:$D$267,Parameters!$K$2,$E$25:$E$267,Parameters!$M$2,Calendrier!$C$25:$C$267,DO33)+ COUNTIFS($D$25:$D$267,Parameters!$K$4,$E$25:$E$267,Parameters!$M$2,Calendrier!$C$25:$C$267,DO33))</f>
        <v/>
      </c>
      <c r="HJ33" s="59" t="str">
        <f>IF(DP33="","",COUNTIFS($D$25:$D$267,Parameters!$K$2,$E$25:$E$267,Parameters!$M$2,Calendrier!$C$25:$C$267,DP33)+ COUNTIFS($D$25:$D$267,Parameters!$K$3,$E$25:$E$267,Parameters!$M$2,Calendrier!$C$25:$C$267,DP33))</f>
        <v/>
      </c>
      <c r="HK33" s="59" t="str">
        <f>IF(DQ33="","",COUNTIFS($D$25:$D$267,Parameters!$K$2,$E$25:$E$267,Parameters!$M$2,Calendrier!$C$25:$C$267,DQ33)+ COUNTIFS($D$25:$D$267,Parameters!$K$4,$E$25:$E$267,Parameters!$M$2,Calendrier!$C$25:$C$267,DQ33))</f>
        <v/>
      </c>
      <c r="HL33" s="59" t="str">
        <f>IF(DR33="","",COUNTIFS($D$25:$D$267,Parameters!$K$2,$E$25:$E$267,Parameters!$M$2,Calendrier!$C$25:$C$267,DR33)+ COUNTIFS($D$25:$D$267,Parameters!$K$3,$E$25:$E$267,Parameters!$M$2,Calendrier!$C$25:$C$267,DR33))</f>
        <v/>
      </c>
      <c r="HM33" s="59" t="str">
        <f>IF(DS33="","",COUNTIFS($D$25:$D$267,Parameters!$K$2,$E$25:$E$267,Parameters!$M$2,Calendrier!$C$25:$C$267,DS33)+ COUNTIFS($D$25:$D$267,Parameters!$K$4,$E$25:$E$267,Parameters!$M$2,Calendrier!$C$25:$C$267,DS33))</f>
        <v/>
      </c>
      <c r="HN33" s="59" t="str">
        <f>IF(DT33="","",COUNTIFS($D$25:$D$267,Parameters!$K$2,$E$25:$E$267,Parameters!$M$2,Calendrier!$C$25:$C$267,DT33)+ COUNTIFS($D$25:$D$267,Parameters!$K$3,$E$25:$E$267,Parameters!$M$2,Calendrier!$C$25:$C$267,DT33))</f>
        <v/>
      </c>
      <c r="HO33" s="60" t="str">
        <f>IF(DU33="","",COUNTIFS($D$25:$D$267,Parameters!$K$2,$E$25:$E$267,Parameters!$M$2,Calendrier!$C$25:$C$267,DU33)+ COUNTIFS($D$25:$D$267,Parameters!$K$4,$E$25:$E$267,Parameters!$M$2,Calendrier!$C$25:$C$267,DU33))</f>
        <v/>
      </c>
      <c r="HR33" s="58">
        <f>IF(DX33="","",COUNTIFS($D$25:$D$267,Parameters!$K$2,$E$25:$E$267,Parameters!$M$2,Calendrier!$C$25:$C$267,DX33)+ COUNTIFS($D$25:$D$267,Parameters!$K$3,$E$25:$E$267,Parameters!$M$2,Calendrier!$C$25:$C$267,DX33))</f>
        <v>0</v>
      </c>
      <c r="HS33" s="59">
        <f>IF(DY33="","",COUNTIFS($D$25:$D$267,Parameters!$K$2,$E$25:$E$267,Parameters!$M$2,Calendrier!$C$25:$C$267,DY33)+ COUNTIFS($D$25:$D$267,Parameters!$K$4,$E$25:$E$267,Parameters!$M$2,Calendrier!$C$25:$C$267,DY33))</f>
        <v>0</v>
      </c>
      <c r="HT33" s="59" t="str">
        <f>IF(DZ33="","",COUNTIFS($D$25:$D$267,Parameters!$K$2,$E$25:$E$267,Parameters!$M$2,Calendrier!$C$25:$C$267,DZ33)+ COUNTIFS($D$25:$D$267,Parameters!$K$3,$E$25:$E$267,Parameters!$M$2,Calendrier!$C$25:$C$267,DZ33))</f>
        <v/>
      </c>
      <c r="HU33" s="59" t="str">
        <f>IF(EA33="","",COUNTIFS($D$25:$D$267,Parameters!$K$2,$E$25:$E$267,Parameters!$M$2,Calendrier!$C$25:$C$267,EA33)+ COUNTIFS($D$25:$D$267,Parameters!$K$4,$E$25:$E$267,Parameters!$M$2,Calendrier!$C$25:$C$267,EA33))</f>
        <v/>
      </c>
      <c r="HV33" s="59" t="str">
        <f>IF(EB33="","",COUNTIFS($D$25:$D$267,Parameters!$K$2,$E$25:$E$267,Parameters!$M$2,Calendrier!$C$25:$C$267,EB33)+ COUNTIFS($D$25:$D$267,Parameters!$K$3,$E$25:$E$267,Parameters!$M$2,Calendrier!$C$25:$C$267,EB33))</f>
        <v/>
      </c>
      <c r="HW33" s="59" t="str">
        <f>IF(EC33="","",COUNTIFS($D$25:$D$267,Parameters!$K$2,$E$25:$E$267,Parameters!$M$2,Calendrier!$C$25:$C$267,EC33)+ COUNTIFS($D$25:$D$267,Parameters!$K$4,$E$25:$E$267,Parameters!$M$2,Calendrier!$C$25:$C$267,EC33))</f>
        <v/>
      </c>
      <c r="HX33" s="59" t="str">
        <f>IF(ED33="","",COUNTIFS($D$25:$D$267,Parameters!$K$2,$E$25:$E$267,Parameters!$M$2,Calendrier!$C$25:$C$267,ED33)+ COUNTIFS($D$25:$D$267,Parameters!$K$3,$E$25:$E$267,Parameters!$M$2,Calendrier!$C$25:$C$267,ED33))</f>
        <v/>
      </c>
      <c r="HY33" s="59" t="str">
        <f>IF(EE33="","",COUNTIFS($D$25:$D$267,Parameters!$K$2,$E$25:$E$267,Parameters!$M$2,Calendrier!$C$25:$C$267,EE33)+ COUNTIFS($D$25:$D$267,Parameters!$K$4,$E$25:$E$267,Parameters!$M$2,Calendrier!$C$25:$C$267,EE33))</f>
        <v/>
      </c>
      <c r="HZ33" s="59" t="str">
        <f>IF(EF33="","",COUNTIFS($D$25:$D$267,Parameters!$K$2,$E$25:$E$267,Parameters!$M$2,Calendrier!$C$25:$C$267,EF33)+ COUNTIFS($D$25:$D$267,Parameters!$K$3,$E$25:$E$267,Parameters!$M$2,Calendrier!$C$25:$C$267,EF33))</f>
        <v/>
      </c>
      <c r="IA33" s="59" t="str">
        <f>IF(EG33="","",COUNTIFS($D$25:$D$267,Parameters!$K$2,$E$25:$E$267,Parameters!$M$2,Calendrier!$C$25:$C$267,EG33)+ COUNTIFS($D$25:$D$267,Parameters!$K$4,$E$25:$E$267,Parameters!$M$2,Calendrier!$C$25:$C$267,EG33))</f>
        <v/>
      </c>
      <c r="IB33" s="59" t="str">
        <f>IF(EH33="","",COUNTIFS($D$25:$D$267,Parameters!$K$2,$E$25:$E$267,Parameters!$M$2,Calendrier!$C$25:$C$267,EH33)+ COUNTIFS($D$25:$D$267,Parameters!$K$3,$E$25:$E$267,Parameters!$M$2,Calendrier!$C$25:$C$267,EH33))</f>
        <v/>
      </c>
      <c r="IC33" s="59" t="str">
        <f>IF(EI33="","",COUNTIFS($D$25:$D$267,Parameters!$K$2,$E$25:$E$267,Parameters!$M$2,Calendrier!$C$25:$C$267,EI33)+ COUNTIFS($D$25:$D$267,Parameters!$K$4,$E$25:$E$267,Parameters!$M$2,Calendrier!$C$25:$C$267,EI33))</f>
        <v/>
      </c>
      <c r="ID33" s="59" t="str">
        <f>IF(EJ33="","",COUNTIFS($D$25:$D$267,Parameters!$K$2,$E$25:$E$267,Parameters!$M$2,Calendrier!$C$25:$C$267,EJ33)+ COUNTIFS($D$25:$D$267,Parameters!$K$3,$E$25:$E$267,Parameters!$M$2,Calendrier!$C$25:$C$267,EJ33))</f>
        <v/>
      </c>
      <c r="IE33" s="60" t="str">
        <f>IF(EK33="","",COUNTIFS($D$25:$D$267,Parameters!$K$2,$E$25:$E$267,Parameters!$M$2,Calendrier!$C$25:$C$267,EK33)+ COUNTIFS($D$25:$D$267,Parameters!$K$4,$E$25:$E$267,Parameters!$M$2,Calendrier!$C$25:$C$267,EK33))</f>
        <v/>
      </c>
      <c r="IH33" s="58" t="str">
        <f>IF(EN33="","",COUNTIFS($D$25:$D$267,Parameters!$K$2,$E$25:$E$267,Parameters!$M$2,Calendrier!$C$25:$C$267,EN33)+ COUNTIFS($D$25:$D$267,Parameters!$K$3,$E$25:$E$267,Parameters!$M$2,Calendrier!$C$25:$C$267,EN33))</f>
        <v/>
      </c>
      <c r="II33" s="59" t="str">
        <f>IF(EO33="","",COUNTIFS($D$25:$D$267,Parameters!$K$2,$E$25:$E$267,Parameters!$M$2,Calendrier!$C$25:$C$267,EO33)+ COUNTIFS($D$25:$D$267,Parameters!$K$4,$E$25:$E$267,Parameters!$M$2,Calendrier!$C$25:$C$267,EO33))</f>
        <v/>
      </c>
      <c r="IJ33" s="59" t="str">
        <f>IF(EP33="","",COUNTIFS($D$25:$D$267,Parameters!$K$2,$E$25:$E$267,Parameters!$M$2,Calendrier!$C$25:$C$267,EP33)+ COUNTIFS($D$25:$D$267,Parameters!$K$3,$E$25:$E$267,Parameters!$M$2,Calendrier!$C$25:$C$267,EP33))</f>
        <v/>
      </c>
      <c r="IK33" s="59" t="str">
        <f>IF(EQ33="","",COUNTIFS($D$25:$D$267,Parameters!$K$2,$E$25:$E$267,Parameters!$M$2,Calendrier!$C$25:$C$267,EQ33)+ COUNTIFS($D$25:$D$267,Parameters!$K$4,$E$25:$E$267,Parameters!$M$2,Calendrier!$C$25:$C$267,EQ33))</f>
        <v/>
      </c>
      <c r="IL33" s="59" t="str">
        <f>IF(ER33="","",COUNTIFS($D$25:$D$267,Parameters!$K$2,$E$25:$E$267,Parameters!$M$2,Calendrier!$C$25:$C$267,ER33)+ COUNTIFS($D$25:$D$267,Parameters!$K$3,$E$25:$E$267,Parameters!$M$2,Calendrier!$C$25:$C$267,ER33))</f>
        <v/>
      </c>
      <c r="IM33" s="59" t="str">
        <f>IF(ES33="","",COUNTIFS($D$25:$D$267,Parameters!$K$2,$E$25:$E$267,Parameters!$M$2,Calendrier!$C$25:$C$267,ES33)+ COUNTIFS($D$25:$D$267,Parameters!$K$4,$E$25:$E$267,Parameters!$M$2,Calendrier!$C$25:$C$267,ES33))</f>
        <v/>
      </c>
      <c r="IN33" s="59" t="str">
        <f>IF(ET33="","",COUNTIFS($D$25:$D$267,Parameters!$K$2,$E$25:$E$267,Parameters!$M$2,Calendrier!$C$25:$C$267,ET33)+ COUNTIFS($D$25:$D$267,Parameters!$K$3,$E$25:$E$267,Parameters!$M$2,Calendrier!$C$25:$C$267,ET33))</f>
        <v/>
      </c>
      <c r="IO33" s="59" t="str">
        <f>IF(EU33="","",COUNTIFS($D$25:$D$267,Parameters!$K$2,$E$25:$E$267,Parameters!$M$2,Calendrier!$C$25:$C$267,EU33)+ COUNTIFS($D$25:$D$267,Parameters!$K$4,$E$25:$E$267,Parameters!$M$2,Calendrier!$C$25:$C$267,EU33))</f>
        <v/>
      </c>
      <c r="IP33" s="59" t="str">
        <f>IF(EV33="","",COUNTIFS($D$25:$D$267,Parameters!$K$2,$E$25:$E$267,Parameters!$M$2,Calendrier!$C$25:$C$267,EV33)+ COUNTIFS($D$25:$D$267,Parameters!$K$3,$E$25:$E$267,Parameters!$M$2,Calendrier!$C$25:$C$267,EV33))</f>
        <v/>
      </c>
      <c r="IQ33" s="59" t="str">
        <f>IF(EW33="","",COUNTIFS($D$25:$D$267,Parameters!$K$2,$E$25:$E$267,Parameters!$M$2,Calendrier!$C$25:$C$267,EW33)+ COUNTIFS($D$25:$D$267,Parameters!$K$4,$E$25:$E$267,Parameters!$M$2,Calendrier!$C$25:$C$267,EW33))</f>
        <v/>
      </c>
      <c r="IR33" s="59" t="str">
        <f>IF(EX33="","",COUNTIFS($D$25:$D$267,Parameters!$K$2,$E$25:$E$267,Parameters!$M$2,Calendrier!$C$25:$C$267,EX33)+ COUNTIFS($D$25:$D$267,Parameters!$K$3,$E$25:$E$267,Parameters!$M$2,Calendrier!$C$25:$C$267,EX33))</f>
        <v/>
      </c>
      <c r="IS33" s="59" t="str">
        <f>IF(EY33="","",COUNTIFS($D$25:$D$267,Parameters!$K$2,$E$25:$E$267,Parameters!$M$2,Calendrier!$C$25:$C$267,EY33)+ COUNTIFS($D$25:$D$267,Parameters!$K$4,$E$25:$E$267,Parameters!$M$2,Calendrier!$C$25:$C$267,EY33))</f>
        <v/>
      </c>
      <c r="IT33" s="59" t="str">
        <f>IF(EZ33="","",COUNTIFS($D$25:$D$267,Parameters!$K$2,$E$25:$E$267,Parameters!$M$2,Calendrier!$C$25:$C$267,EZ33)+ COUNTIFS($D$25:$D$267,Parameters!$K$3,$E$25:$E$267,Parameters!$M$2,Calendrier!$C$25:$C$267,EZ33))</f>
        <v/>
      </c>
      <c r="IU33" s="60" t="str">
        <f>IF(FA33="","",COUNTIFS($D$25:$D$267,Parameters!$K$2,$E$25:$E$267,Parameters!$M$2,Calendrier!$C$25:$C$267,FA33)+ COUNTIFS($D$25:$D$267,Parameters!$K$4,$E$25:$E$267,Parameters!$M$2,Calendrier!$C$25:$C$267,FA33))</f>
        <v/>
      </c>
      <c r="IY33" s="58" t="str">
        <f>IF(DH33="","",COUNTIFS($D$25:$D$267,Parameters!$K$2,$E$25:$E$267,Parameters!$M$3,Calendrier!$C$25:$C$267,DH33)+ COUNTIFS($D$25:$D$267,Parameters!$K$3,$E$25:$E$267,Parameters!$M$3,Calendrier!$C$25:$C$267,DH33))</f>
        <v/>
      </c>
      <c r="IZ33" s="59" t="str">
        <f>IF(DI33="","",COUNTIFS($D$25:$D$267,Parameters!$K$2,$E$25:$E$267,Parameters!$M$3,Calendrier!$C$25:$C$267,DI33)+ COUNTIFS($D$25:$D$267,Parameters!$K$4,$E$25:$E$267,Parameters!$M$3,Calendrier!$C$25:$C$267,DI33))</f>
        <v/>
      </c>
      <c r="JA33" s="59" t="str">
        <f>IF(DJ33="","",COUNTIFS($D$25:$D$267,Parameters!$K$2,$E$25:$E$267,Parameters!$M$3,Calendrier!$C$25:$C$267,DJ33)+ COUNTIFS($D$25:$D$267,Parameters!$K$3,$E$25:$E$267,Parameters!$M$3,Calendrier!$C$25:$C$267,DJ33))</f>
        <v/>
      </c>
      <c r="JB33" s="59" t="str">
        <f>IF(DK33="","",COUNTIFS($D$25:$D$267,Parameters!$K$2,$E$25:$E$267,Parameters!$M$3,Calendrier!$C$25:$C$267,DK33)+ COUNTIFS($D$25:$D$267,Parameters!$K$4,$E$25:$E$267,Parameters!$M$3,Calendrier!$C$25:$C$267,DK33))</f>
        <v/>
      </c>
      <c r="JC33" s="59" t="str">
        <f>IF(DL33="","",COUNTIFS($D$25:$D$267,Parameters!$K$2,$E$25:$E$267,Parameters!$M$3,Calendrier!$C$25:$C$267,DL33)+ COUNTIFS($D$25:$D$267,Parameters!$K$3,$E$25:$E$267,Parameters!$M$3,Calendrier!$C$25:$C$267,DL33))</f>
        <v/>
      </c>
      <c r="JD33" s="59" t="str">
        <f>IF(DM33="","",COUNTIFS($D$25:$D$267,Parameters!$K$2,$E$25:$E$267,Parameters!$M$3,Calendrier!$C$25:$C$267,DM33)+ COUNTIFS($D$25:$D$267,Parameters!$K$4,$E$25:$E$267,Parameters!$M$3,Calendrier!$C$25:$C$267,DM33))</f>
        <v/>
      </c>
      <c r="JE33" s="59" t="str">
        <f>IF(DN33="","",COUNTIFS($D$25:$D$267,Parameters!$K$2,$E$25:$E$267,Parameters!$M$3,Calendrier!$C$25:$C$267,DN33)+ COUNTIFS($D$25:$D$267,Parameters!$K$3,$E$25:$E$267,Parameters!$M$3,Calendrier!$C$25:$C$267,DN33))</f>
        <v/>
      </c>
      <c r="JF33" s="59" t="str">
        <f>IF(DO33="","",COUNTIFS($D$25:$D$267,Parameters!$K$2,$E$25:$E$267,Parameters!$M$3,Calendrier!$C$25:$C$267,DO33)+ COUNTIFS($D$25:$D$267,Parameters!$K$4,$E$25:$E$267,Parameters!$M$3,Calendrier!$C$25:$C$267,DO33))</f>
        <v/>
      </c>
      <c r="JG33" s="59" t="str">
        <f>IF(DP33="","",COUNTIFS($D$25:$D$267,Parameters!$K$2,$E$25:$E$267,Parameters!$M$3,Calendrier!$C$25:$C$267,DP33)+ COUNTIFS($D$25:$D$267,Parameters!$K$3,$E$25:$E$267,Parameters!$M$3,Calendrier!$C$25:$C$267,DP33))</f>
        <v/>
      </c>
      <c r="JH33" s="59" t="str">
        <f>IF(DQ33="","",COUNTIFS($D$25:$D$267,Parameters!$K$2,$E$25:$E$267,Parameters!$M$3,Calendrier!$C$25:$C$267,DQ33)+ COUNTIFS($D$25:$D$267,Parameters!$K$4,$E$25:$E$267,Parameters!$M$3,Calendrier!$C$25:$C$267,DQ33))</f>
        <v/>
      </c>
      <c r="JI33" s="59" t="str">
        <f>IF(DR33="","",COUNTIFS($D$25:$D$267,Parameters!$K$2,$E$25:$E$267,Parameters!$M$3,Calendrier!$C$25:$C$267,DR33)+ COUNTIFS($D$25:$D$267,Parameters!$K$3,$E$25:$E$267,Parameters!$M$3,Calendrier!$C$25:$C$267,DR33))</f>
        <v/>
      </c>
      <c r="JJ33" s="59" t="str">
        <f>IF(DS33="","",COUNTIFS($D$25:$D$267,Parameters!$K$2,$E$25:$E$267,Parameters!$M$3,Calendrier!$C$25:$C$267,DS33)+ COUNTIFS($D$25:$D$267,Parameters!$K$4,$E$25:$E$267,Parameters!$M$3,Calendrier!$C$25:$C$267,DS33))</f>
        <v/>
      </c>
      <c r="JK33" s="59" t="str">
        <f>IF(DT33="","",COUNTIFS($D$25:$D$267,Parameters!$K$2,$E$25:$E$267,Parameters!$M$3,Calendrier!$C$25:$C$267,DT33)+ COUNTIFS($D$25:$D$267,Parameters!$K$3,$E$25:$E$267,Parameters!$M$3,Calendrier!$C$25:$C$267,DT33))</f>
        <v/>
      </c>
      <c r="JL33" s="60" t="str">
        <f>IF(DU33="","",COUNTIFS($D$25:$D$267,Parameters!$K$2,$E$25:$E$267,Parameters!$M$3,Calendrier!$C$25:$C$267,DU33)+ COUNTIFS($D$25:$D$267,Parameters!$K$4,$E$25:$E$267,Parameters!$M$3,Calendrier!$C$25:$C$267,DU33))</f>
        <v/>
      </c>
      <c r="JO33" s="58">
        <f>IF(DX33="","",COUNTIFS($D$25:$D$267,Parameters!$K$2,$E$25:$E$267,Parameters!$M$3,Calendrier!$C$25:$C$267,DX33)+ COUNTIFS($D$25:$D$267,Parameters!$K$3,$E$25:$E$267,Parameters!$M$3,Calendrier!$C$25:$C$267,DX33))</f>
        <v>0</v>
      </c>
      <c r="JP33" s="59">
        <f>IF(DY33="","",COUNTIFS($D$25:$D$267,Parameters!$K$2,$E$25:$E$267,Parameters!$M$3,Calendrier!$C$25:$C$267,DY33)+ COUNTIFS($D$25:$D$267,Parameters!$K$4,$E$25:$E$267,Parameters!$M$3,Calendrier!$C$25:$C$267,DY33))</f>
        <v>0</v>
      </c>
      <c r="JQ33" s="59" t="str">
        <f>IF(DZ33="","",COUNTIFS($D$25:$D$267,Parameters!$K$2,$E$25:$E$267,Parameters!$M$3,Calendrier!$C$25:$C$267,DZ33)+ COUNTIFS($D$25:$D$267,Parameters!$K$3,$E$25:$E$267,Parameters!$M$3,Calendrier!$C$25:$C$267,DZ33))</f>
        <v/>
      </c>
      <c r="JR33" s="59" t="str">
        <f>IF(EA33="","",COUNTIFS($D$25:$D$267,Parameters!$K$2,$E$25:$E$267,Parameters!$M$3,Calendrier!$C$25:$C$267,EA33)+ COUNTIFS($D$25:$D$267,Parameters!$K$4,$E$25:$E$267,Parameters!$M$3,Calendrier!$C$25:$C$267,EA33))</f>
        <v/>
      </c>
      <c r="JS33" s="59" t="str">
        <f>IF(EB33="","",COUNTIFS($D$25:$D$267,Parameters!$K$2,$E$25:$E$267,Parameters!$M$3,Calendrier!$C$25:$C$267,EB33)+ COUNTIFS($D$25:$D$267,Parameters!$K$3,$E$25:$E$267,Parameters!$M$3,Calendrier!$C$25:$C$267,EB33))</f>
        <v/>
      </c>
      <c r="JT33" s="59" t="str">
        <f>IF(EC33="","",COUNTIFS($D$25:$D$267,Parameters!$K$2,$E$25:$E$267,Parameters!$M$3,Calendrier!$C$25:$C$267,EC33)+ COUNTIFS($D$25:$D$267,Parameters!$K$4,$E$25:$E$267,Parameters!$M$3,Calendrier!$C$25:$C$267,EC33))</f>
        <v/>
      </c>
      <c r="JU33" s="59" t="str">
        <f>IF(ED33="","",COUNTIFS($D$25:$D$267,Parameters!$K$2,$E$25:$E$267,Parameters!$M$3,Calendrier!$C$25:$C$267,ED33)+ COUNTIFS($D$25:$D$267,Parameters!$K$3,$E$25:$E$267,Parameters!$M$3,Calendrier!$C$25:$C$267,ED33))</f>
        <v/>
      </c>
      <c r="JV33" s="59" t="str">
        <f>IF(EE33="","",COUNTIFS($D$25:$D$267,Parameters!$K$2,$E$25:$E$267,Parameters!$M$3,Calendrier!$C$25:$C$267,EE33)+ COUNTIFS($D$25:$D$267,Parameters!$K$4,$E$25:$E$267,Parameters!$M$3,Calendrier!$C$25:$C$267,EE33))</f>
        <v/>
      </c>
      <c r="JW33" s="59" t="str">
        <f>IF(EF33="","",COUNTIFS($D$25:$D$267,Parameters!$K$2,$E$25:$E$267,Parameters!$M$3,Calendrier!$C$25:$C$267,EF33)+ COUNTIFS($D$25:$D$267,Parameters!$K$3,$E$25:$E$267,Parameters!$M$3,Calendrier!$C$25:$C$267,EF33))</f>
        <v/>
      </c>
      <c r="JX33" s="59" t="str">
        <f>IF(EG33="","",COUNTIFS($D$25:$D$267,Parameters!$K$2,$E$25:$E$267,Parameters!$M$3,Calendrier!$C$25:$C$267,EG33)+ COUNTIFS($D$25:$D$267,Parameters!$K$4,$E$25:$E$267,Parameters!$M$3,Calendrier!$C$25:$C$267,EG33))</f>
        <v/>
      </c>
      <c r="JY33" s="59" t="str">
        <f>IF(EH33="","",COUNTIFS($D$25:$D$267,Parameters!$K$2,$E$25:$E$267,Parameters!$M$3,Calendrier!$C$25:$C$267,EH33)+ COUNTIFS($D$25:$D$267,Parameters!$K$3,$E$25:$E$267,Parameters!$M$3,Calendrier!$C$25:$C$267,EH33))</f>
        <v/>
      </c>
      <c r="JZ33" s="59" t="str">
        <f>IF(EI33="","",COUNTIFS($D$25:$D$267,Parameters!$K$2,$E$25:$E$267,Parameters!$M$3,Calendrier!$C$25:$C$267,EI33)+ COUNTIFS($D$25:$D$267,Parameters!$K$4,$E$25:$E$267,Parameters!$M$3,Calendrier!$C$25:$C$267,EI33))</f>
        <v/>
      </c>
      <c r="KA33" s="59" t="str">
        <f>IF(EJ33="","",COUNTIFS($D$25:$D$267,Parameters!$K$2,$E$25:$E$267,Parameters!$M$3,Calendrier!$C$25:$C$267,EJ33)+ COUNTIFS($D$25:$D$267,Parameters!$K$3,$E$25:$E$267,Parameters!$M$3,Calendrier!$C$25:$C$267,EJ33))</f>
        <v/>
      </c>
      <c r="KB33" s="60" t="str">
        <f>IF(EK33="","",COUNTIFS($D$25:$D$267,Parameters!$K$2,$E$25:$E$267,Parameters!$M$3,Calendrier!$C$25:$C$267,EK33)+ COUNTIFS($D$25:$D$267,Parameters!$K$4,$E$25:$E$267,Parameters!$M$3,Calendrier!$C$25:$C$267,EK33))</f>
        <v/>
      </c>
      <c r="KE33" s="58" t="str">
        <f>IF(EN33="","",COUNTIFS($D$25:$D$267,Parameters!$K$2,$E$25:$E$267,Parameters!$M$3,Calendrier!$C$25:$C$267,EN33)+ COUNTIFS($D$25:$D$267,Parameters!$K$3,$E$25:$E$267,Parameters!$M$3,Calendrier!$C$25:$C$267,EN33))</f>
        <v/>
      </c>
      <c r="KF33" s="59" t="str">
        <f>IF(EO33="","",COUNTIFS($D$25:$D$267,Parameters!$K$2,$E$25:$E$267,Parameters!$M$3,Calendrier!$C$25:$C$267,EO33)+ COUNTIFS($D$25:$D$267,Parameters!$K$4,$E$25:$E$267,Parameters!$M$3,Calendrier!$C$25:$C$267,EO33))</f>
        <v/>
      </c>
      <c r="KG33" s="59" t="str">
        <f>IF(EP33="","",COUNTIFS($D$25:$D$267,Parameters!$K$2,$E$25:$E$267,Parameters!$M$3,Calendrier!$C$25:$C$267,EP33)+ COUNTIFS($D$25:$D$267,Parameters!$K$3,$E$25:$E$267,Parameters!$M$3,Calendrier!$C$25:$C$267,EP33))</f>
        <v/>
      </c>
      <c r="KH33" s="59" t="str">
        <f>IF(EQ33="","",COUNTIFS($D$25:$D$267,Parameters!$K$2,$E$25:$E$267,Parameters!$M$3,Calendrier!$C$25:$C$267,EQ33)+ COUNTIFS($D$25:$D$267,Parameters!$K$4,$E$25:$E$267,Parameters!$M$3,Calendrier!$C$25:$C$267,EQ33))</f>
        <v/>
      </c>
      <c r="KI33" s="59" t="str">
        <f>IF(ER33="","",COUNTIFS($D$25:$D$267,Parameters!$K$2,$E$25:$E$267,Parameters!$M$3,Calendrier!$C$25:$C$267,ER33)+ COUNTIFS($D$25:$D$267,Parameters!$K$3,$E$25:$E$267,Parameters!$M$3,Calendrier!$C$25:$C$267,ER33))</f>
        <v/>
      </c>
      <c r="KJ33" s="59" t="str">
        <f>IF(ES33="","",COUNTIFS($D$25:$D$267,Parameters!$K$2,$E$25:$E$267,Parameters!$M$3,Calendrier!$C$25:$C$267,ES33)+ COUNTIFS($D$25:$D$267,Parameters!$K$4,$E$25:$E$267,Parameters!$M$3,Calendrier!$C$25:$C$267,ES33))</f>
        <v/>
      </c>
      <c r="KK33" s="59" t="str">
        <f>IF(ET33="","",COUNTIFS($D$25:$D$267,Parameters!$K$2,$E$25:$E$267,Parameters!$M$3,Calendrier!$C$25:$C$267,ET33)+ COUNTIFS($D$25:$D$267,Parameters!$K$3,$E$25:$E$267,Parameters!$M$3,Calendrier!$C$25:$C$267,ET33))</f>
        <v/>
      </c>
      <c r="KL33" s="59" t="str">
        <f>IF(EU33="","",COUNTIFS($D$25:$D$267,Parameters!$K$2,$E$25:$E$267,Parameters!$M$3,Calendrier!$C$25:$C$267,EU33)+ COUNTIFS($D$25:$D$267,Parameters!$K$4,$E$25:$E$267,Parameters!$M$3,Calendrier!$C$25:$C$267,EU33))</f>
        <v/>
      </c>
      <c r="KM33" s="59" t="str">
        <f>IF(EV33="","",COUNTIFS($D$25:$D$267,Parameters!$K$2,$E$25:$E$267,Parameters!$M$3,Calendrier!$C$25:$C$267,EV33)+ COUNTIFS($D$25:$D$267,Parameters!$K$3,$E$25:$E$267,Parameters!$M$3,Calendrier!$C$25:$C$267,EV33))</f>
        <v/>
      </c>
      <c r="KN33" s="59" t="str">
        <f>IF(EW33="","",COUNTIFS($D$25:$D$267,Parameters!$K$2,$E$25:$E$267,Parameters!$M$3,Calendrier!$C$25:$C$267,EW33)+ COUNTIFS($D$25:$D$267,Parameters!$K$4,$E$25:$E$267,Parameters!$M$3,Calendrier!$C$25:$C$267,EW33))</f>
        <v/>
      </c>
      <c r="KO33" s="59" t="str">
        <f>IF(EX33="","",COUNTIFS($D$25:$D$267,Parameters!$K$2,$E$25:$E$267,Parameters!$M$3,Calendrier!$C$25:$C$267,EX33)+ COUNTIFS($D$25:$D$267,Parameters!$K$3,$E$25:$E$267,Parameters!$M$3,Calendrier!$C$25:$C$267,EX33))</f>
        <v/>
      </c>
      <c r="KP33" s="59" t="str">
        <f>IF(EY33="","",COUNTIFS($D$25:$D$267,Parameters!$K$2,$E$25:$E$267,Parameters!$M$3,Calendrier!$C$25:$C$267,EY33)+ COUNTIFS($D$25:$D$267,Parameters!$K$4,$E$25:$E$267,Parameters!$M$3,Calendrier!$C$25:$C$267,EY33))</f>
        <v/>
      </c>
      <c r="KQ33" s="59" t="str">
        <f>IF(EZ33="","",COUNTIFS($D$25:$D$267,Parameters!$K$2,$E$25:$E$267,Parameters!$M$3,Calendrier!$C$25:$C$267,EZ33)+ COUNTIFS($D$25:$D$267,Parameters!$K$3,$E$25:$E$267,Parameters!$M$3,Calendrier!$C$25:$C$267,EZ33))</f>
        <v/>
      </c>
      <c r="KR33" s="60" t="str">
        <f>IF(FA33="","",COUNTIFS($D$25:$D$267,Parameters!$K$2,$E$25:$E$267,Parameters!$M$3,Calendrier!$C$25:$C$267,FA33)+ COUNTIFS($D$25:$D$267,Parameters!$K$4,$E$25:$E$267,Parameters!$M$3,Calendrier!$C$25:$C$267,FA33))</f>
        <v/>
      </c>
      <c r="KV33" s="58" t="str">
        <f>IF(DH33="","",COUNTIFS($D$25:$D$267,Parameters!$K$2,$E$25:$E$267,Parameters!$M$4,Calendrier!$C$25:$C$267,DH33)+ COUNTIFS($D$25:$D$267,Parameters!$K$3,$E$25:$E$267,Parameters!$M$4,Calendrier!$C$25:$C$267,DH33))</f>
        <v/>
      </c>
      <c r="KW33" s="59" t="str">
        <f>IF(DI33="","",COUNTIFS($D$25:$D$267,Parameters!$K$2,$E$25:$E$267,Parameters!$M$4,Calendrier!$C$25:$C$267,DI33)+ COUNTIFS($D$25:$D$267,Parameters!$K$4,$E$25:$E$267,Parameters!$M$4,Calendrier!$C$25:$C$267,DI33))</f>
        <v/>
      </c>
      <c r="KX33" s="59" t="str">
        <f>IF(DJ33="","",COUNTIFS($D$25:$D$267,Parameters!$K$2,$E$25:$E$267,Parameters!$M$4,Calendrier!$C$25:$C$267,DJ33)+ COUNTIFS($D$25:$D$267,Parameters!$K$3,$E$25:$E$267,Parameters!$M$4,Calendrier!$C$25:$C$267,DJ33))</f>
        <v/>
      </c>
      <c r="KY33" s="59" t="str">
        <f>IF(DK33="","",COUNTIFS($D$25:$D$267,Parameters!$K$2,$E$25:$E$267,Parameters!$M$4,Calendrier!$C$25:$C$267,DK33)+ COUNTIFS($D$25:$D$267,Parameters!$K$4,$E$25:$E$267,Parameters!$M$4,Calendrier!$C$25:$C$267,DK33))</f>
        <v/>
      </c>
      <c r="KZ33" s="59" t="str">
        <f>IF(DL33="","",COUNTIFS($D$25:$D$267,Parameters!$K$2,$E$25:$E$267,Parameters!$M$4,Calendrier!$C$25:$C$267,DL33)+ COUNTIFS($D$25:$D$267,Parameters!$K$3,$E$25:$E$267,Parameters!$M$4,Calendrier!$C$25:$C$267,DL33))</f>
        <v/>
      </c>
      <c r="LA33" s="59" t="str">
        <f>IF(DM33="","",COUNTIFS($D$25:$D$267,Parameters!$K$2,$E$25:$E$267,Parameters!$M$4,Calendrier!$C$25:$C$267,DM33)+ COUNTIFS($D$25:$D$267,Parameters!$K$4,$E$25:$E$267,Parameters!$M$4,Calendrier!$C$25:$C$267,DM33))</f>
        <v/>
      </c>
      <c r="LB33" s="59" t="str">
        <f>IF(DN33="","",COUNTIFS($D$25:$D$267,Parameters!$K$2,$E$25:$E$267,Parameters!$M$4,Calendrier!$C$25:$C$267,DN33)+ COUNTIFS($D$25:$D$267,Parameters!$K$3,$E$25:$E$267,Parameters!$M$4,Calendrier!$C$25:$C$267,DN33))</f>
        <v/>
      </c>
      <c r="LC33" s="59" t="str">
        <f>IF(DO33="","",COUNTIFS($D$25:$D$267,Parameters!$K$2,$E$25:$E$267,Parameters!$M$4,Calendrier!$C$25:$C$267,DO33)+ COUNTIFS($D$25:$D$267,Parameters!$K$4,$E$25:$E$267,Parameters!$M$4,Calendrier!$C$25:$C$267,DO33))</f>
        <v/>
      </c>
      <c r="LD33" s="59" t="str">
        <f>IF(DP33="","",COUNTIFS($D$25:$D$267,Parameters!$K$2,$E$25:$E$267,Parameters!$M$4,Calendrier!$C$25:$C$267,DP33)+ COUNTIFS($D$25:$D$267,Parameters!$K$3,$E$25:$E$267,Parameters!$M$4,Calendrier!$C$25:$C$267,DP33))</f>
        <v/>
      </c>
      <c r="LE33" s="59" t="str">
        <f>IF(DQ33="","",COUNTIFS($D$25:$D$267,Parameters!$K$2,$E$25:$E$267,Parameters!$M$4,Calendrier!$C$25:$C$267,DQ33)+ COUNTIFS($D$25:$D$267,Parameters!$K$4,$E$25:$E$267,Parameters!$M$4,Calendrier!$C$25:$C$267,DQ33))</f>
        <v/>
      </c>
      <c r="LF33" s="59" t="str">
        <f>IF(DR33="","",COUNTIFS($D$25:$D$267,Parameters!$K$2,$E$25:$E$267,Parameters!$M$4,Calendrier!$C$25:$C$267,DR33)+ COUNTIFS($D$25:$D$267,Parameters!$K$3,$E$25:$E$267,Parameters!$M$4,Calendrier!$C$25:$C$267,DR33))</f>
        <v/>
      </c>
      <c r="LG33" s="59" t="str">
        <f>IF(DS33="","",COUNTIFS($D$25:$D$267,Parameters!$K$2,$E$25:$E$267,Parameters!$M$4,Calendrier!$C$25:$C$267,DS33)+ COUNTIFS($D$25:$D$267,Parameters!$K$4,$E$25:$E$267,Parameters!$M$4,Calendrier!$C$25:$C$267,DS33))</f>
        <v/>
      </c>
      <c r="LH33" s="59" t="str">
        <f>IF(DT33="","",COUNTIFS($D$25:$D$267,Parameters!$K$2,$E$25:$E$267,Parameters!$M$4,Calendrier!$C$25:$C$267,DT33)+ COUNTIFS($D$25:$D$267,Parameters!$K$3,$E$25:$E$267,Parameters!$M$4,Calendrier!$C$25:$C$267,DT33))</f>
        <v/>
      </c>
      <c r="LI33" s="60" t="str">
        <f>IF(DU33="","",COUNTIFS($D$25:$D$267,Parameters!$K$2,$E$25:$E$267,Parameters!$M$4,Calendrier!$C$25:$C$267,DU33)+ COUNTIFS($D$25:$D$267,Parameters!$K$4,$E$25:$E$267,Parameters!$M$4,Calendrier!$C$25:$C$267,DU33))</f>
        <v/>
      </c>
      <c r="LL33" s="58">
        <f>IF(DX33="","",COUNTIFS($D$25:$D$267,Parameters!$K$2,$E$25:$E$267,Parameters!$M$4,Calendrier!$C$25:$C$267,DX33)+ COUNTIFS($D$25:$D$267,Parameters!$K$3,$E$25:$E$267,Parameters!$M$4,Calendrier!$C$25:$C$267,DX33))</f>
        <v>0</v>
      </c>
      <c r="LM33" s="59">
        <f>IF(DY33="","",COUNTIFS($D$25:$D$267,Parameters!$K$2,$E$25:$E$267,Parameters!$M$4,Calendrier!$C$25:$C$267,DY33)+ COUNTIFS($D$25:$D$267,Parameters!$K$4,$E$25:$E$267,Parameters!$M$4,Calendrier!$C$25:$C$267,DY33))</f>
        <v>0</v>
      </c>
      <c r="LN33" s="59" t="str">
        <f>IF(DZ33="","",COUNTIFS($D$25:$D$267,Parameters!$K$2,$E$25:$E$267,Parameters!$M$4,Calendrier!$C$25:$C$267,DZ33)+ COUNTIFS($D$25:$D$267,Parameters!$K$3,$E$25:$E$267,Parameters!$M$4,Calendrier!$C$25:$C$267,DZ33))</f>
        <v/>
      </c>
      <c r="LO33" s="59" t="str">
        <f>IF(EA33="","",COUNTIFS($D$25:$D$267,Parameters!$K$2,$E$25:$E$267,Parameters!$M$4,Calendrier!$C$25:$C$267,EA33)+ COUNTIFS($D$25:$D$267,Parameters!$K$4,$E$25:$E$267,Parameters!$M$4,Calendrier!$C$25:$C$267,EA33))</f>
        <v/>
      </c>
      <c r="LP33" s="59" t="str">
        <f>IF(EB33="","",COUNTIFS($D$25:$D$267,Parameters!$K$2,$E$25:$E$267,Parameters!$M$4,Calendrier!$C$25:$C$267,EB33)+ COUNTIFS($D$25:$D$267,Parameters!$K$3,$E$25:$E$267,Parameters!$M$4,Calendrier!$C$25:$C$267,EB33))</f>
        <v/>
      </c>
      <c r="LQ33" s="59" t="str">
        <f>IF(EC33="","",COUNTIFS($D$25:$D$267,Parameters!$K$2,$E$25:$E$267,Parameters!$M$4,Calendrier!$C$25:$C$267,EC33)+ COUNTIFS($D$25:$D$267,Parameters!$K$4,$E$25:$E$267,Parameters!$M$4,Calendrier!$C$25:$C$267,EC33))</f>
        <v/>
      </c>
      <c r="LR33" s="59" t="str">
        <f>IF(ED33="","",COUNTIFS($D$25:$D$267,Parameters!$K$2,$E$25:$E$267,Parameters!$M$4,Calendrier!$C$25:$C$267,ED33)+ COUNTIFS($D$25:$D$267,Parameters!$K$3,$E$25:$E$267,Parameters!$M$4,Calendrier!$C$25:$C$267,ED33))</f>
        <v/>
      </c>
      <c r="LS33" s="59" t="str">
        <f>IF(EE33="","",COUNTIFS($D$25:$D$267,Parameters!$K$2,$E$25:$E$267,Parameters!$M$4,Calendrier!$C$25:$C$267,EE33)+ COUNTIFS($D$25:$D$267,Parameters!$K$4,$E$25:$E$267,Parameters!$M$4,Calendrier!$C$25:$C$267,EE33))</f>
        <v/>
      </c>
      <c r="LT33" s="59" t="str">
        <f>IF(EF33="","",COUNTIFS($D$25:$D$267,Parameters!$K$2,$E$25:$E$267,Parameters!$M$4,Calendrier!$C$25:$C$267,EF33)+ COUNTIFS($D$25:$D$267,Parameters!$K$3,$E$25:$E$267,Parameters!$M$4,Calendrier!$C$25:$C$267,EF33))</f>
        <v/>
      </c>
      <c r="LU33" s="59" t="str">
        <f>IF(EG33="","",COUNTIFS($D$25:$D$267,Parameters!$K$2,$E$25:$E$267,Parameters!$M$4,Calendrier!$C$25:$C$267,EG33)+ COUNTIFS($D$25:$D$267,Parameters!$K$4,$E$25:$E$267,Parameters!$M$4,Calendrier!$C$25:$C$267,EG33))</f>
        <v/>
      </c>
      <c r="LV33" s="59" t="str">
        <f>IF(EH33="","",COUNTIFS($D$25:$D$267,Parameters!$K$2,$E$25:$E$267,Parameters!$M$4,Calendrier!$C$25:$C$267,EH33)+ COUNTIFS($D$25:$D$267,Parameters!$K$3,$E$25:$E$267,Parameters!$M$4,Calendrier!$C$25:$C$267,EH33))</f>
        <v/>
      </c>
      <c r="LW33" s="59" t="str">
        <f>IF(EI33="","",COUNTIFS($D$25:$D$267,Parameters!$K$2,$E$25:$E$267,Parameters!$M$4,Calendrier!$C$25:$C$267,EI33)+ COUNTIFS($D$25:$D$267,Parameters!$K$4,$E$25:$E$267,Parameters!$M$4,Calendrier!$C$25:$C$267,EI33))</f>
        <v/>
      </c>
      <c r="LX33" s="59" t="str">
        <f>IF(EJ33="","",COUNTIFS($D$25:$D$267,Parameters!$K$2,$E$25:$E$267,Parameters!$M$4,Calendrier!$C$25:$C$267,EJ33)+ COUNTIFS($D$25:$D$267,Parameters!$K$3,$E$25:$E$267,Parameters!$M$4,Calendrier!$C$25:$C$267,EJ33))</f>
        <v/>
      </c>
      <c r="LY33" s="60" t="str">
        <f>IF(EK33="","",COUNTIFS($D$25:$D$267,Parameters!$K$2,$E$25:$E$267,Parameters!$M$4,Calendrier!$C$25:$C$267,EK33)+ COUNTIFS($D$25:$D$267,Parameters!$K$4,$E$25:$E$267,Parameters!$M$4,Calendrier!$C$25:$C$267,EK33))</f>
        <v/>
      </c>
      <c r="MB33" s="58" t="str">
        <f>IF(EN33="","",COUNTIFS($D$25:$D$267,Parameters!$K$2,$E$25:$E$267,Parameters!$M$4,Calendrier!$C$25:$C$267,EN33)+ COUNTIFS($D$25:$D$267,Parameters!$K$3,$E$25:$E$267,Parameters!$M$4,Calendrier!$C$25:$C$267,EN33))</f>
        <v/>
      </c>
      <c r="MC33" s="59" t="str">
        <f>IF(EO33="","",COUNTIFS($D$25:$D$267,Parameters!$K$2,$E$25:$E$267,Parameters!$M$4,Calendrier!$C$25:$C$267,EO33)+ COUNTIFS($D$25:$D$267,Parameters!$K$4,$E$25:$E$267,Parameters!$M$4,Calendrier!$C$25:$C$267,EO33))</f>
        <v/>
      </c>
      <c r="MD33" s="59" t="str">
        <f>IF(EP33="","",COUNTIFS($D$25:$D$267,Parameters!$K$2,$E$25:$E$267,Parameters!$M$4,Calendrier!$C$25:$C$267,EP33)+ COUNTIFS($D$25:$D$267,Parameters!$K$3,$E$25:$E$267,Parameters!$M$4,Calendrier!$C$25:$C$267,EP33))</f>
        <v/>
      </c>
      <c r="ME33" s="59" t="str">
        <f>IF(EQ33="","",COUNTIFS($D$25:$D$267,Parameters!$K$2,$E$25:$E$267,Parameters!$M$4,Calendrier!$C$25:$C$267,EQ33)+ COUNTIFS($D$25:$D$267,Parameters!$K$4,$E$25:$E$267,Parameters!$M$4,Calendrier!$C$25:$C$267,EQ33))</f>
        <v/>
      </c>
      <c r="MF33" s="59" t="str">
        <f>IF(ER33="","",COUNTIFS($D$25:$D$267,Parameters!$K$2,$E$25:$E$267,Parameters!$M$4,Calendrier!$C$25:$C$267,ER33)+ COUNTIFS($D$25:$D$267,Parameters!$K$3,$E$25:$E$267,Parameters!$M$4,Calendrier!$C$25:$C$267,ER33))</f>
        <v/>
      </c>
      <c r="MG33" s="59" t="str">
        <f>IF(ES33="","",COUNTIFS($D$25:$D$267,Parameters!$K$2,$E$25:$E$267,Parameters!$M$4,Calendrier!$C$25:$C$267,ES33)+ COUNTIFS($D$25:$D$267,Parameters!$K$4,$E$25:$E$267,Parameters!$M$4,Calendrier!$C$25:$C$267,ES33))</f>
        <v/>
      </c>
      <c r="MH33" s="59" t="str">
        <f>IF(ET33="","",COUNTIFS($D$25:$D$267,Parameters!$K$2,$E$25:$E$267,Parameters!$M$4,Calendrier!$C$25:$C$267,ET33)+ COUNTIFS($D$25:$D$267,Parameters!$K$3,$E$25:$E$267,Parameters!$M$4,Calendrier!$C$25:$C$267,ET33))</f>
        <v/>
      </c>
      <c r="MI33" s="59" t="str">
        <f>IF(EU33="","",COUNTIFS($D$25:$D$267,Parameters!$K$2,$E$25:$E$267,Parameters!$M$4,Calendrier!$C$25:$C$267,EU33)+ COUNTIFS($D$25:$D$267,Parameters!$K$4,$E$25:$E$267,Parameters!$M$4,Calendrier!$C$25:$C$267,EU33))</f>
        <v/>
      </c>
      <c r="MJ33" s="59" t="str">
        <f>IF(EV33="","",COUNTIFS($D$25:$D$267,Parameters!$K$2,$E$25:$E$267,Parameters!$M$4,Calendrier!$C$25:$C$267,EV33)+ COUNTIFS($D$25:$D$267,Parameters!$K$3,$E$25:$E$267,Parameters!$M$4,Calendrier!$C$25:$C$267,EV33))</f>
        <v/>
      </c>
      <c r="MK33" s="59" t="str">
        <f>IF(EW33="","",COUNTIFS($D$25:$D$267,Parameters!$K$2,$E$25:$E$267,Parameters!$M$4,Calendrier!$C$25:$C$267,EW33)+ COUNTIFS($D$25:$D$267,Parameters!$K$4,$E$25:$E$267,Parameters!$M$4,Calendrier!$C$25:$C$267,EW33))</f>
        <v/>
      </c>
      <c r="ML33" s="59" t="str">
        <f>IF(EX33="","",COUNTIFS($D$25:$D$267,Parameters!$K$2,$E$25:$E$267,Parameters!$M$4,Calendrier!$C$25:$C$267,EX33)+ COUNTIFS($D$25:$D$267,Parameters!$K$3,$E$25:$E$267,Parameters!$M$4,Calendrier!$C$25:$C$267,EX33))</f>
        <v/>
      </c>
      <c r="MM33" s="59" t="str">
        <f>IF(EY33="","",COUNTIFS($D$25:$D$267,Parameters!$K$2,$E$25:$E$267,Parameters!$M$4,Calendrier!$C$25:$C$267,EY33)+ COUNTIFS($D$25:$D$267,Parameters!$K$4,$E$25:$E$267,Parameters!$M$4,Calendrier!$C$25:$C$267,EY33))</f>
        <v/>
      </c>
      <c r="MN33" s="59" t="str">
        <f>IF(EZ33="","",COUNTIFS($D$25:$D$267,Parameters!$K$2,$E$25:$E$267,Parameters!$M$4,Calendrier!$C$25:$C$267,EZ33)+ COUNTIFS($D$25:$D$267,Parameters!$K$3,$E$25:$E$267,Parameters!$M$4,Calendrier!$C$25:$C$267,EZ33))</f>
        <v/>
      </c>
      <c r="MO33" s="60" t="str">
        <f>IF(FA33="","",COUNTIFS($D$25:$D$267,Parameters!$K$2,$E$25:$E$267,Parameters!$M$4,Calendrier!$C$25:$C$267,FA33)+ COUNTIFS($D$25:$D$267,Parameters!$K$4,$E$25:$E$267,Parameters!$M$4,Calendrier!$C$25:$C$267,FA33))</f>
        <v/>
      </c>
      <c r="MS33" s="58" t="str">
        <f>IF(DH33="","",COUNTIFS($D$25:$D$267,Parameters!$K$2,$E$25:$E$267,Parameters!$M$5,Calendrier!$C$25:$C$267,DH33)+ COUNTIFS($D$25:$D$267,Parameters!$K$3,$E$25:$E$267,Parameters!$M$5,Calendrier!$C$25:$C$267,DH33))</f>
        <v/>
      </c>
      <c r="MT33" s="59" t="str">
        <f>IF(DI33="","",COUNTIFS($D$25:$D$267,Parameters!$K$2,$E$25:$E$267,Parameters!$M$5,Calendrier!$C$25:$C$267,DI33)+ COUNTIFS($D$25:$D$267,Parameters!$K$4,$E$25:$E$267,Parameters!$M$5,Calendrier!$C$25:$C$267,DI33))</f>
        <v/>
      </c>
      <c r="MU33" s="59" t="str">
        <f>IF(DJ33="","",COUNTIFS($D$25:$D$267,Parameters!$K$2,$E$25:$E$267,Parameters!$M$5,Calendrier!$C$25:$C$267,DJ33)+ COUNTIFS($D$25:$D$267,Parameters!$K$3,$E$25:$E$267,Parameters!$M$5,Calendrier!$C$25:$C$267,DJ33))</f>
        <v/>
      </c>
      <c r="MV33" s="59" t="str">
        <f>IF(DK33="","",COUNTIFS($D$25:$D$267,Parameters!$K$2,$E$25:$E$267,Parameters!$M$5,Calendrier!$C$25:$C$267,DK33)+ COUNTIFS($D$25:$D$267,Parameters!$K$4,$E$25:$E$267,Parameters!$M$5,Calendrier!$C$25:$C$267,DK33))</f>
        <v/>
      </c>
      <c r="MW33" s="59" t="str">
        <f>IF(DL33="","",COUNTIFS($D$25:$D$267,Parameters!$K$2,$E$25:$E$267,Parameters!$M$5,Calendrier!$C$25:$C$267,DL33)+ COUNTIFS($D$25:$D$267,Parameters!$K$3,$E$25:$E$267,Parameters!$M$5,Calendrier!$C$25:$C$267,DL33))</f>
        <v/>
      </c>
      <c r="MX33" s="59" t="str">
        <f>IF(DM33="","",COUNTIFS($D$25:$D$267,Parameters!$K$2,$E$25:$E$267,Parameters!$M$5,Calendrier!$C$25:$C$267,DM33)+ COUNTIFS($D$25:$D$267,Parameters!$K$4,$E$25:$E$267,Parameters!$M$5,Calendrier!$C$25:$C$267,DM33))</f>
        <v/>
      </c>
      <c r="MY33" s="59" t="str">
        <f>IF(DN33="","",COUNTIFS($D$25:$D$267,Parameters!$K$2,$E$25:$E$267,Parameters!$M$5,Calendrier!$C$25:$C$267,DN33)+ COUNTIFS($D$25:$D$267,Parameters!$K$3,$E$25:$E$267,Parameters!$M$5,Calendrier!$C$25:$C$267,DN33))</f>
        <v/>
      </c>
      <c r="MZ33" s="59" t="str">
        <f>IF(DO33="","",COUNTIFS($D$25:$D$267,Parameters!$K$2,$E$25:$E$267,Parameters!$M$5,Calendrier!$C$25:$C$267,DO33)+ COUNTIFS($D$25:$D$267,Parameters!$K$4,$E$25:$E$267,Parameters!$M$5,Calendrier!$C$25:$C$267,DO33))</f>
        <v/>
      </c>
      <c r="NA33" s="59" t="str">
        <f>IF(DP33="","",COUNTIFS($D$25:$D$267,Parameters!$K$2,$E$25:$E$267,Parameters!$M$5,Calendrier!$C$25:$C$267,DP33)+ COUNTIFS($D$25:$D$267,Parameters!$K$3,$E$25:$E$267,Parameters!$M$5,Calendrier!$C$25:$C$267,DP33))</f>
        <v/>
      </c>
      <c r="NB33" s="59" t="str">
        <f>IF(DQ33="","",COUNTIFS($D$25:$D$267,Parameters!$K$2,$E$25:$E$267,Parameters!$M$5,Calendrier!$C$25:$C$267,DQ33)+ COUNTIFS($D$25:$D$267,Parameters!$K$4,$E$25:$E$267,Parameters!$M$5,Calendrier!$C$25:$C$267,DQ33))</f>
        <v/>
      </c>
      <c r="NC33" s="59" t="str">
        <f>IF(DR33="","",COUNTIFS($D$25:$D$267,Parameters!$K$2,$E$25:$E$267,Parameters!$M$5,Calendrier!$C$25:$C$267,DR33)+ COUNTIFS($D$25:$D$267,Parameters!$K$3,$E$25:$E$267,Parameters!$M$5,Calendrier!$C$25:$C$267,DR33))</f>
        <v/>
      </c>
      <c r="ND33" s="59" t="str">
        <f>IF(DS33="","",COUNTIFS($D$25:$D$267,Parameters!$K$2,$E$25:$E$267,Parameters!$M$5,Calendrier!$C$25:$C$267,DS33)+ COUNTIFS($D$25:$D$267,Parameters!$K$4,$E$25:$E$267,Parameters!$M$5,Calendrier!$C$25:$C$267,DS33))</f>
        <v/>
      </c>
      <c r="NE33" s="59" t="str">
        <f>IF(DT33="","",COUNTIFS($D$25:$D$267,Parameters!$K$2,$E$25:$E$267,Parameters!$M$5,Calendrier!$C$25:$C$267,DT33)+ COUNTIFS($D$25:$D$267,Parameters!$K$3,$E$25:$E$267,Parameters!$M$5,Calendrier!$C$25:$C$267,DT33))</f>
        <v/>
      </c>
      <c r="NF33" s="60" t="str">
        <f>IF(DU33="","",COUNTIFS($D$25:$D$267,Parameters!$K$2,$E$25:$E$267,Parameters!$M$5,Calendrier!$C$25:$C$267,DU33)+ COUNTIFS($D$25:$D$267,Parameters!$K$4,$E$25:$E$267,Parameters!$M$5,Calendrier!$C$25:$C$267,DU33))</f>
        <v/>
      </c>
      <c r="NI33" s="58">
        <f>IF(DX33="","",COUNTIFS($D$25:$D$267,Parameters!$K$2,$E$25:$E$267,Parameters!$M$5,Calendrier!$C$25:$C$267,DX33)+ COUNTIFS($D$25:$D$267,Parameters!$K$3,$E$25:$E$267,Parameters!$M$5,Calendrier!$C$25:$C$267,DX33))</f>
        <v>0</v>
      </c>
      <c r="NJ33" s="59">
        <f>IF(DY33="","",COUNTIFS($D$25:$D$267,Parameters!$K$2,$E$25:$E$267,Parameters!$M$5,Calendrier!$C$25:$C$267,DY33)+ COUNTIFS($D$25:$D$267,Parameters!$K$4,$E$25:$E$267,Parameters!$M$5,Calendrier!$C$25:$C$267,DY33))</f>
        <v>0</v>
      </c>
      <c r="NK33" s="59" t="str">
        <f>IF(DZ33="","",COUNTIFS($D$25:$D$267,Parameters!$K$2,$E$25:$E$267,Parameters!$M$5,Calendrier!$C$25:$C$267,DZ33)+ COUNTIFS($D$25:$D$267,Parameters!$K$3,$E$25:$E$267,Parameters!$M$5,Calendrier!$C$25:$C$267,DZ33))</f>
        <v/>
      </c>
      <c r="NL33" s="59" t="str">
        <f>IF(EA33="","",COUNTIFS($D$25:$D$267,Parameters!$K$2,$E$25:$E$267,Parameters!$M$5,Calendrier!$C$25:$C$267,EA33)+ COUNTIFS($D$25:$D$267,Parameters!$K$4,$E$25:$E$267,Parameters!$M$5,Calendrier!$C$25:$C$267,EA33))</f>
        <v/>
      </c>
      <c r="NM33" s="59" t="str">
        <f>IF(EB33="","",COUNTIFS($D$25:$D$267,Parameters!$K$2,$E$25:$E$267,Parameters!$M$5,Calendrier!$C$25:$C$267,EB33)+ COUNTIFS($D$25:$D$267,Parameters!$K$3,$E$25:$E$267,Parameters!$M$5,Calendrier!$C$25:$C$267,EB33))</f>
        <v/>
      </c>
      <c r="NN33" s="59" t="str">
        <f>IF(EC33="","",COUNTIFS($D$25:$D$267,Parameters!$K$2,$E$25:$E$267,Parameters!$M$5,Calendrier!$C$25:$C$267,EC33)+ COUNTIFS($D$25:$D$267,Parameters!$K$4,$E$25:$E$267,Parameters!$M$5,Calendrier!$C$25:$C$267,EC33))</f>
        <v/>
      </c>
      <c r="NO33" s="59" t="str">
        <f>IF(ED33="","",COUNTIFS($D$25:$D$267,Parameters!$K$2,$E$25:$E$267,Parameters!$M$5,Calendrier!$C$25:$C$267,ED33)+ COUNTIFS($D$25:$D$267,Parameters!$K$3,$E$25:$E$267,Parameters!$M$5,Calendrier!$C$25:$C$267,ED33))</f>
        <v/>
      </c>
      <c r="NP33" s="59" t="str">
        <f>IF(EE33="","",COUNTIFS($D$25:$D$267,Parameters!$K$2,$E$25:$E$267,Parameters!$M$5,Calendrier!$C$25:$C$267,EE33)+ COUNTIFS($D$25:$D$267,Parameters!$K$4,$E$25:$E$267,Parameters!$M$5,Calendrier!$C$25:$C$267,EE33))</f>
        <v/>
      </c>
      <c r="NQ33" s="59" t="str">
        <f>IF(EF33="","",COUNTIFS($D$25:$D$267,Parameters!$K$2,$E$25:$E$267,Parameters!$M$5,Calendrier!$C$25:$C$267,EF33)+ COUNTIFS($D$25:$D$267,Parameters!$K$3,$E$25:$E$267,Parameters!$M$5,Calendrier!$C$25:$C$267,EF33))</f>
        <v/>
      </c>
      <c r="NR33" s="59" t="str">
        <f>IF(EG33="","",COUNTIFS($D$25:$D$267,Parameters!$K$2,$E$25:$E$267,Parameters!$M$5,Calendrier!$C$25:$C$267,EG33)+ COUNTIFS($D$25:$D$267,Parameters!$K$4,$E$25:$E$267,Parameters!$M$5,Calendrier!$C$25:$C$267,EG33))</f>
        <v/>
      </c>
      <c r="NS33" s="59" t="str">
        <f>IF(EH33="","",COUNTIFS($D$25:$D$267,Parameters!$K$2,$E$25:$E$267,Parameters!$M$5,Calendrier!$C$25:$C$267,EH33)+ COUNTIFS($D$25:$D$267,Parameters!$K$3,$E$25:$E$267,Parameters!$M$5,Calendrier!$C$25:$C$267,EH33))</f>
        <v/>
      </c>
      <c r="NT33" s="59" t="str">
        <f>IF(EI33="","",COUNTIFS($D$25:$D$267,Parameters!$K$2,$E$25:$E$267,Parameters!$M$5,Calendrier!$C$25:$C$267,EI33)+ COUNTIFS($D$25:$D$267,Parameters!$K$4,$E$25:$E$267,Parameters!$M$5,Calendrier!$C$25:$C$267,EI33))</f>
        <v/>
      </c>
      <c r="NU33" s="59" t="str">
        <f>IF(EJ33="","",COUNTIFS($D$25:$D$267,Parameters!$K$2,$E$25:$E$267,Parameters!$M$5,Calendrier!$C$25:$C$267,EJ33)+ COUNTIFS($D$25:$D$267,Parameters!$K$3,$E$25:$E$267,Parameters!$M$5,Calendrier!$C$25:$C$267,EJ33))</f>
        <v/>
      </c>
      <c r="NV33" s="60" t="str">
        <f>IF(EK33="","",COUNTIFS($D$25:$D$267,Parameters!$K$2,$E$25:$E$267,Parameters!$M$5,Calendrier!$C$25:$C$267,EK33)+ COUNTIFS($D$25:$D$267,Parameters!$K$4,$E$25:$E$267,Parameters!$M$5,Calendrier!$C$25:$C$267,EK33))</f>
        <v/>
      </c>
      <c r="NY33" s="58" t="str">
        <f>IF(EN33="","",COUNTIFS($D$25:$D$267,Parameters!$K$2,$E$25:$E$267,Parameters!$M$5,Calendrier!$C$25:$C$267,EN33)+ COUNTIFS($D$25:$D$267,Parameters!$K$3,$E$25:$E$267,Parameters!$M$5,Calendrier!$C$25:$C$267,EN33))</f>
        <v/>
      </c>
      <c r="NZ33" s="59" t="str">
        <f>IF(EO33="","",COUNTIFS($D$25:$D$267,Parameters!$K$2,$E$25:$E$267,Parameters!$M$5,Calendrier!$C$25:$C$267,EO33)+ COUNTIFS($D$25:$D$267,Parameters!$K$4,$E$25:$E$267,Parameters!$M$5,Calendrier!$C$25:$C$267,EO33))</f>
        <v/>
      </c>
      <c r="OA33" s="59" t="str">
        <f>IF(EP33="","",COUNTIFS($D$25:$D$267,Parameters!$K$2,$E$25:$E$267,Parameters!$M$5,Calendrier!$C$25:$C$267,EP33)+ COUNTIFS($D$25:$D$267,Parameters!$K$3,$E$25:$E$267,Parameters!$M$5,Calendrier!$C$25:$C$267,EP33))</f>
        <v/>
      </c>
      <c r="OB33" s="59" t="str">
        <f>IF(EQ33="","",COUNTIFS($D$25:$D$267,Parameters!$K$2,$E$25:$E$267,Parameters!$M$5,Calendrier!$C$25:$C$267,EQ33)+ COUNTIFS($D$25:$D$267,Parameters!$K$4,$E$25:$E$267,Parameters!$M$5,Calendrier!$C$25:$C$267,EQ33))</f>
        <v/>
      </c>
      <c r="OC33" s="59" t="str">
        <f>IF(ER33="","",COUNTIFS($D$25:$D$267,Parameters!$K$2,$E$25:$E$267,Parameters!$M$5,Calendrier!$C$25:$C$267,ER33)+ COUNTIFS($D$25:$D$267,Parameters!$K$3,$E$25:$E$267,Parameters!$M$5,Calendrier!$C$25:$C$267,ER33))</f>
        <v/>
      </c>
      <c r="OD33" s="59" t="str">
        <f>IF(ES33="","",COUNTIFS($D$25:$D$267,Parameters!$K$2,$E$25:$E$267,Parameters!$M$5,Calendrier!$C$25:$C$267,ES33)+ COUNTIFS($D$25:$D$267,Parameters!$K$4,$E$25:$E$267,Parameters!$M$5,Calendrier!$C$25:$C$267,ES33))</f>
        <v/>
      </c>
      <c r="OE33" s="59" t="str">
        <f>IF(ET33="","",COUNTIFS($D$25:$D$267,Parameters!$K$2,$E$25:$E$267,Parameters!$M$5,Calendrier!$C$25:$C$267,ET33)+ COUNTIFS($D$25:$D$267,Parameters!$K$3,$E$25:$E$267,Parameters!$M$5,Calendrier!$C$25:$C$267,ET33))</f>
        <v/>
      </c>
      <c r="OF33" s="59" t="str">
        <f>IF(EU33="","",COUNTIFS($D$25:$D$267,Parameters!$K$2,$E$25:$E$267,Parameters!$M$5,Calendrier!$C$25:$C$267,EU33)+ COUNTIFS($D$25:$D$267,Parameters!$K$4,$E$25:$E$267,Parameters!$M$5,Calendrier!$C$25:$C$267,EU33))</f>
        <v/>
      </c>
      <c r="OG33" s="59" t="str">
        <f>IF(EV33="","",COUNTIFS($D$25:$D$267,Parameters!$K$2,$E$25:$E$267,Parameters!$M$5,Calendrier!$C$25:$C$267,EV33)+ COUNTIFS($D$25:$D$267,Parameters!$K$3,$E$25:$E$267,Parameters!$M$5,Calendrier!$C$25:$C$267,EV33))</f>
        <v/>
      </c>
      <c r="OH33" s="59" t="str">
        <f>IF(EW33="","",COUNTIFS($D$25:$D$267,Parameters!$K$2,$E$25:$E$267,Parameters!$M$5,Calendrier!$C$25:$C$267,EW33)+ COUNTIFS($D$25:$D$267,Parameters!$K$4,$E$25:$E$267,Parameters!$M$5,Calendrier!$C$25:$C$267,EW33))</f>
        <v/>
      </c>
      <c r="OI33" s="59" t="str">
        <f>IF(EX33="","",COUNTIFS($D$25:$D$267,Parameters!$K$2,$E$25:$E$267,Parameters!$M$5,Calendrier!$C$25:$C$267,EX33)+ COUNTIFS($D$25:$D$267,Parameters!$K$3,$E$25:$E$267,Parameters!$M$5,Calendrier!$C$25:$C$267,EX33))</f>
        <v/>
      </c>
      <c r="OJ33" s="59" t="str">
        <f>IF(EY33="","",COUNTIFS($D$25:$D$267,Parameters!$K$2,$E$25:$E$267,Parameters!$M$5,Calendrier!$C$25:$C$267,EY33)+ COUNTIFS($D$25:$D$267,Parameters!$K$4,$E$25:$E$267,Parameters!$M$5,Calendrier!$C$25:$C$267,EY33))</f>
        <v/>
      </c>
      <c r="OK33" s="59" t="str">
        <f>IF(EZ33="","",COUNTIFS($D$25:$D$267,Parameters!$K$2,$E$25:$E$267,Parameters!$M$5,Calendrier!$C$25:$C$267,EZ33)+ COUNTIFS($D$25:$D$267,Parameters!$K$3,$E$25:$E$267,Parameters!$M$5,Calendrier!$C$25:$C$267,EZ33))</f>
        <v/>
      </c>
      <c r="OL33" s="60" t="str">
        <f>IF(FA33="","",COUNTIFS($D$25:$D$267,Parameters!$K$2,$E$25:$E$267,Parameters!$M$5,Calendrier!$C$25:$C$267,FA33)+ COUNTIFS($D$25:$D$267,Parameters!$K$4,$E$25:$E$267,Parameters!$M$5,Calendrier!$C$25:$C$267,FA33))</f>
        <v/>
      </c>
      <c r="OP33" s="58" t="str">
        <f>IF(DH33="","",COUNTIFS(Parameters!$Y:$Y,$BF$4,Parameters!$X:$X,DH33))</f>
        <v/>
      </c>
      <c r="OQ33" s="59" t="str">
        <f>IF(DI33="","",COUNTIFS(Parameters!$Y:$Y,$BF$4,Parameters!$X:$X,DI33))</f>
        <v/>
      </c>
      <c r="OR33" s="59" t="str">
        <f>IF(DJ33="","",COUNTIFS(Parameters!$Y:$Y,$BF$4,Parameters!$X:$X,DJ33))</f>
        <v/>
      </c>
      <c r="OS33" s="59" t="str">
        <f>IF(DK33="","",COUNTIFS(Parameters!$Y:$Y,$BF$4,Parameters!$X:$X,DK33))</f>
        <v/>
      </c>
      <c r="OT33" s="59" t="str">
        <f>IF(DL33="","",COUNTIFS(Parameters!$Y:$Y,$BF$4,Parameters!$X:$X,DL33))</f>
        <v/>
      </c>
      <c r="OU33" s="59" t="str">
        <f>IF(DM33="","",COUNTIFS(Parameters!$Y:$Y,$BF$4,Parameters!$X:$X,DM33))</f>
        <v/>
      </c>
      <c r="OV33" s="59" t="str">
        <f>IF(DN33="","",COUNTIFS(Parameters!$Y:$Y,$BF$4,Parameters!$X:$X,DN33))</f>
        <v/>
      </c>
      <c r="OW33" s="59" t="str">
        <f>IF(DO33="","",COUNTIFS(Parameters!$Y:$Y,$BF$4,Parameters!$X:$X,DO33))</f>
        <v/>
      </c>
      <c r="OX33" s="59" t="str">
        <f>IF(DP33="","",COUNTIFS(Parameters!$Y:$Y,$BF$4,Parameters!$X:$X,DP33))</f>
        <v/>
      </c>
      <c r="OY33" s="59" t="str">
        <f>IF(DQ33="","",COUNTIFS(Parameters!$Y:$Y,$BF$4,Parameters!$X:$X,DQ33))</f>
        <v/>
      </c>
      <c r="OZ33" s="59" t="str">
        <f>IF(DR33="","",COUNTIFS(Parameters!$Y:$Y,$BF$4,Parameters!$X:$X,DR33))</f>
        <v/>
      </c>
      <c r="PA33" s="59" t="str">
        <f>IF(DS33="","",COUNTIFS(Parameters!$Y:$Y,$BF$4,Parameters!$X:$X,DS33))</f>
        <v/>
      </c>
      <c r="PB33" s="59" t="str">
        <f>IF(DT33="","",COUNTIFS(Parameters!$Y:$Y,$BF$4,Parameters!$X:$X,DT33))</f>
        <v/>
      </c>
      <c r="PC33" s="60" t="str">
        <f>IF(DU33="","",COUNTIFS(Parameters!$Y:$Y,$BF$4,Parameters!$X:$X,DU33))</f>
        <v/>
      </c>
      <c r="PF33" s="58">
        <f>IF(DX33="","",COUNTIFS(Parameters!$Y:$Y,$BF$4,Parameters!$X:$X,DX33))</f>
        <v>0</v>
      </c>
      <c r="PG33" s="59">
        <f>IF(DY33="","",COUNTIFS(Parameters!$Y:$Y,$BF$4,Parameters!$X:$X,DY33))</f>
        <v>0</v>
      </c>
      <c r="PH33" s="59" t="str">
        <f>IF(DZ33="","",COUNTIFS(Parameters!$Y:$Y,$BF$4,Parameters!$X:$X,DZ33))</f>
        <v/>
      </c>
      <c r="PI33" s="59" t="str">
        <f>IF(EA33="","",COUNTIFS(Parameters!$Y:$Y,$BF$4,Parameters!$X:$X,EA33))</f>
        <v/>
      </c>
      <c r="PJ33" s="59" t="str">
        <f>IF(EB33="","",COUNTIFS(Parameters!$Y:$Y,$BF$4,Parameters!$X:$X,EB33))</f>
        <v/>
      </c>
      <c r="PK33" s="59" t="str">
        <f>IF(EC33="","",COUNTIFS(Parameters!$Y:$Y,$BF$4,Parameters!$X:$X,EC33))</f>
        <v/>
      </c>
      <c r="PL33" s="59" t="str">
        <f>IF(ED33="","",COUNTIFS(Parameters!$Y:$Y,$BF$4,Parameters!$X:$X,ED33))</f>
        <v/>
      </c>
      <c r="PM33" s="59" t="str">
        <f>IF(EE33="","",COUNTIFS(Parameters!$Y:$Y,$BF$4,Parameters!$X:$X,EE33))</f>
        <v/>
      </c>
      <c r="PN33" s="59" t="str">
        <f>IF(EF33="","",COUNTIFS(Parameters!$Y:$Y,$BF$4,Parameters!$X:$X,EF33))</f>
        <v/>
      </c>
      <c r="PO33" s="59" t="str">
        <f>IF(EG33="","",COUNTIFS(Parameters!$Y:$Y,$BF$4,Parameters!$X:$X,EG33))</f>
        <v/>
      </c>
      <c r="PP33" s="59" t="str">
        <f>IF(EH33="","",COUNTIFS(Parameters!$Y:$Y,$BF$4,Parameters!$X:$X,EH33))</f>
        <v/>
      </c>
      <c r="PQ33" s="59" t="str">
        <f>IF(EI33="","",COUNTIFS(Parameters!$Y:$Y,$BF$4,Parameters!$X:$X,EI33))</f>
        <v/>
      </c>
      <c r="PR33" s="59" t="str">
        <f>IF(EJ33="","",COUNTIFS(Parameters!$Y:$Y,$BF$4,Parameters!$X:$X,EJ33))</f>
        <v/>
      </c>
      <c r="PS33" s="60" t="str">
        <f>IF(EK33="","",COUNTIFS(Parameters!$Y:$Y,$BF$4,Parameters!$X:$X,EK33))</f>
        <v/>
      </c>
      <c r="PV33" s="58" t="str">
        <f>IF(EN33="","",COUNTIFS(Parameters!$Y:$Y,$BF$4,Parameters!$X:$X,EN33))</f>
        <v/>
      </c>
      <c r="PW33" s="59" t="str">
        <f>IF(EO33="","",COUNTIFS(Parameters!$Y:$Y,$BF$4,Parameters!$X:$X,EO33))</f>
        <v/>
      </c>
      <c r="PX33" s="59" t="str">
        <f>IF(EP33="","",COUNTIFS(Parameters!$Y:$Y,$BF$4,Parameters!$X:$X,EP33))</f>
        <v/>
      </c>
      <c r="PY33" s="59" t="str">
        <f>IF(EQ33="","",COUNTIFS(Parameters!$Y:$Y,$BF$4,Parameters!$X:$X,EQ33))</f>
        <v/>
      </c>
      <c r="PZ33" s="59" t="str">
        <f>IF(ER33="","",COUNTIFS(Parameters!$Y:$Y,$BF$4,Parameters!$X:$X,ER33))</f>
        <v/>
      </c>
      <c r="QA33" s="59" t="str">
        <f>IF(ES33="","",COUNTIFS(Parameters!$Y:$Y,$BF$4,Parameters!$X:$X,ES33))</f>
        <v/>
      </c>
      <c r="QB33" s="59" t="str">
        <f>IF(ET33="","",COUNTIFS(Parameters!$Y:$Y,$BF$4,Parameters!$X:$X,ET33))</f>
        <v/>
      </c>
      <c r="QC33" s="59" t="str">
        <f>IF(EU33="","",COUNTIFS(Parameters!$Y:$Y,$BF$4,Parameters!$X:$X,EU33))</f>
        <v/>
      </c>
      <c r="QD33" s="59" t="str">
        <f>IF(EV33="","",COUNTIFS(Parameters!$Y:$Y,$BF$4,Parameters!$X:$X,EV33))</f>
        <v/>
      </c>
      <c r="QE33" s="59" t="str">
        <f>IF(EW33="","",COUNTIFS(Parameters!$Y:$Y,$BF$4,Parameters!$X:$X,EW33))</f>
        <v/>
      </c>
      <c r="QF33" s="59" t="str">
        <f>IF(EX33="","",COUNTIFS(Parameters!$Y:$Y,$BF$4,Parameters!$X:$X,EX33))</f>
        <v/>
      </c>
      <c r="QG33" s="59" t="str">
        <f>IF(EY33="","",COUNTIFS(Parameters!$Y:$Y,$BF$4,Parameters!$X:$X,EY33))</f>
        <v/>
      </c>
      <c r="QH33" s="59" t="str">
        <f>IF(EZ33="","",COUNTIFS(Parameters!$Y:$Y,$BF$4,Parameters!$X:$X,EZ33))</f>
        <v/>
      </c>
      <c r="QI33" s="60" t="str">
        <f>IF(FA33="","",COUNTIFS(Parameters!$Y:$Y,$BF$4,Parameters!$X:$X,FA33))</f>
        <v/>
      </c>
      <c r="QN33" s="58" t="str">
        <f>IF(DH33="","",COUNTIFS($D$25:$D$267,Parameters!$K$2,$E$25:$E$267,Parameters!$M$6,Calendrier!$C$25:$C$267,DH33)+ COUNTIFS($D$25:$D$267,Parameters!$K$3,$E$25:$E$267,Parameters!$M$6,Calendrier!$C$25:$C$267,DH33))</f>
        <v/>
      </c>
      <c r="QO33" s="59" t="str">
        <f>IF(DI33="","",COUNTIFS($D$25:$D$267,Parameters!$K$2,$E$25:$E$267,Parameters!$M$6,Calendrier!$C$25:$C$267,DI33)+ COUNTIFS($D$25:$D$267,Parameters!$K$4,$E$25:$E$267,Parameters!$M$6,Calendrier!$C$25:$C$267,DI33))</f>
        <v/>
      </c>
      <c r="QP33" s="59" t="str">
        <f>IF(DJ33="","",COUNTIFS($D$25:$D$267,Parameters!$K$2,$E$25:$E$267,Parameters!$M$6,Calendrier!$C$25:$C$267,DJ33)+ COUNTIFS($D$25:$D$267,Parameters!$K$3,$E$25:$E$267,Parameters!$M$6,Calendrier!$C$25:$C$267,DJ33))</f>
        <v/>
      </c>
      <c r="QQ33" s="59" t="str">
        <f>IF(DK33="","",COUNTIFS($D$25:$D$267,Parameters!$K$2,$E$25:$E$267,Parameters!$M$6,Calendrier!$C$25:$C$267,DK33)+ COUNTIFS($D$25:$D$267,Parameters!$K$4,$E$25:$E$267,Parameters!$M$6,Calendrier!$C$25:$C$267,DK33))</f>
        <v/>
      </c>
      <c r="QR33" s="59" t="str">
        <f>IF(DL33="","",COUNTIFS($D$25:$D$267,Parameters!$K$2,$E$25:$E$267,Parameters!$M$6,Calendrier!$C$25:$C$267,DL33)+ COUNTIFS($D$25:$D$267,Parameters!$K$3,$E$25:$E$267,Parameters!$M$6,Calendrier!$C$25:$C$267,DL33))</f>
        <v/>
      </c>
      <c r="QS33" s="59" t="str">
        <f>IF(DM33="","",COUNTIFS($D$25:$D$267,Parameters!$K$2,$E$25:$E$267,Parameters!$M$6,Calendrier!$C$25:$C$267,DM33)+ COUNTIFS($D$25:$D$267,Parameters!$K$4,$E$25:$E$267,Parameters!$M$6,Calendrier!$C$25:$C$267,DM33))</f>
        <v/>
      </c>
      <c r="QT33" s="59" t="str">
        <f>IF(DN33="","",COUNTIFS($D$25:$D$267,Parameters!$K$2,$E$25:$E$267,Parameters!$M$6,Calendrier!$C$25:$C$267,DN33)+ COUNTIFS($D$25:$D$267,Parameters!$K$3,$E$25:$E$267,Parameters!$M$6,Calendrier!$C$25:$C$267,DN33))</f>
        <v/>
      </c>
      <c r="QU33" s="59" t="str">
        <f>IF(DO33="","",COUNTIFS($D$25:$D$267,Parameters!$K$2,$E$25:$E$267,Parameters!$M$6,Calendrier!$C$25:$C$267,DO33)+ COUNTIFS($D$25:$D$267,Parameters!$K$4,$E$25:$E$267,Parameters!$M$6,Calendrier!$C$25:$C$267,DO33))</f>
        <v/>
      </c>
      <c r="QV33" s="59" t="str">
        <f>IF(DP33="","",COUNTIFS($D$25:$D$267,Parameters!$K$2,$E$25:$E$267,Parameters!$M$6,Calendrier!$C$25:$C$267,DP33)+ COUNTIFS($D$25:$D$267,Parameters!$K$3,$E$25:$E$267,Parameters!$M$6,Calendrier!$C$25:$C$267,DP33))</f>
        <v/>
      </c>
      <c r="QW33" s="59" t="str">
        <f>IF(DQ33="","",COUNTIFS($D$25:$D$267,Parameters!$K$2,$E$25:$E$267,Parameters!$M$6,Calendrier!$C$25:$C$267,DQ33)+ COUNTIFS($D$25:$D$267,Parameters!$K$4,$E$25:$E$267,Parameters!$M$6,Calendrier!$C$25:$C$267,DQ33))</f>
        <v/>
      </c>
      <c r="QX33" s="59" t="str">
        <f>IF(DR33="","",COUNTIFS($D$25:$D$267,Parameters!$K$2,$E$25:$E$267,Parameters!$M$6,Calendrier!$C$25:$C$267,DR33)+ COUNTIFS($D$25:$D$267,Parameters!$K$3,$E$25:$E$267,Parameters!$M$6,Calendrier!$C$25:$C$267,DR33))</f>
        <v/>
      </c>
      <c r="QY33" s="59" t="str">
        <f>IF(DS33="","",COUNTIFS($D$25:$D$267,Parameters!$K$2,$E$25:$E$267,Parameters!$M$6,Calendrier!$C$25:$C$267,DS33)+ COUNTIFS($D$25:$D$267,Parameters!$K$4,$E$25:$E$267,Parameters!$M$6,Calendrier!$C$25:$C$267,DS33))</f>
        <v/>
      </c>
      <c r="QZ33" s="59" t="str">
        <f>IF(DT33="","",COUNTIFS($D$25:$D$267,Parameters!$K$2,$E$25:$E$267,Parameters!$M$6,Calendrier!$C$25:$C$267,DT33)+ COUNTIFS($D$25:$D$267,Parameters!$K$3,$E$25:$E$267,Parameters!$M$6,Calendrier!$C$25:$C$267,DT33))</f>
        <v/>
      </c>
      <c r="RA33" s="60" t="str">
        <f>IF(DU33="","",COUNTIFS($D$25:$D$267,Parameters!$K$2,$E$25:$E$267,Parameters!$M$6,Calendrier!$C$25:$C$267,DU33)+ COUNTIFS($D$25:$D$267,Parameters!$K$4,$E$25:$E$267,Parameters!$M$6,Calendrier!$C$25:$C$267,DU33))</f>
        <v/>
      </c>
      <c r="RD33" s="58">
        <f>IF(DX33="","",COUNTIFS($D$25:$D$267,Parameters!$K$2,$E$25:$E$267,Parameters!$M$6,Calendrier!$C$25:$C$267,DX33)+ COUNTIFS($D$25:$D$267,Parameters!$K$3,$E$25:$E$267,Parameters!$M$6,Calendrier!$C$25:$C$267,DX33))</f>
        <v>0</v>
      </c>
      <c r="RE33" s="59">
        <f>IF(DY33="","",COUNTIFS($D$25:$D$267,Parameters!$K$2,$E$25:$E$267,Parameters!$M$6,Calendrier!$C$25:$C$267,DY33)+ COUNTIFS($D$25:$D$267,Parameters!$K$4,$E$25:$E$267,Parameters!$M$6,Calendrier!$C$25:$C$267,DY33))</f>
        <v>0</v>
      </c>
      <c r="RF33" s="59" t="str">
        <f>IF(DZ33="","",COUNTIFS($D$25:$D$267,Parameters!$K$2,$E$25:$E$267,Parameters!$M$6,Calendrier!$C$25:$C$267,DZ33)+ COUNTIFS($D$25:$D$267,Parameters!$K$3,$E$25:$E$267,Parameters!$M$6,Calendrier!$C$25:$C$267,DZ33))</f>
        <v/>
      </c>
      <c r="RG33" s="59" t="str">
        <f>IF(EA33="","",COUNTIFS($D$25:$D$267,Parameters!$K$2,$E$25:$E$267,Parameters!$M$6,Calendrier!$C$25:$C$267,EA33)+ COUNTIFS($D$25:$D$267,Parameters!$K$4,$E$25:$E$267,Parameters!$M$6,Calendrier!$C$25:$C$267,EA33))</f>
        <v/>
      </c>
      <c r="RH33" s="59" t="str">
        <f>IF(EB33="","",COUNTIFS($D$25:$D$267,Parameters!$K$2,$E$25:$E$267,Parameters!$M$6,Calendrier!$C$25:$C$267,EB33)+ COUNTIFS($D$25:$D$267,Parameters!$K$3,$E$25:$E$267,Parameters!$M$6,Calendrier!$C$25:$C$267,EB33))</f>
        <v/>
      </c>
      <c r="RI33" s="59" t="str">
        <f>IF(EC33="","",COUNTIFS($D$25:$D$267,Parameters!$K$2,$E$25:$E$267,Parameters!$M$6,Calendrier!$C$25:$C$267,EC33)+ COUNTIFS($D$25:$D$267,Parameters!$K$4,$E$25:$E$267,Parameters!$M$6,Calendrier!$C$25:$C$267,EC33))</f>
        <v/>
      </c>
      <c r="RJ33" s="59" t="str">
        <f>IF(ED33="","",COUNTIFS($D$25:$D$267,Parameters!$K$2,$E$25:$E$267,Parameters!$M$6,Calendrier!$C$25:$C$267,ED33)+ COUNTIFS($D$25:$D$267,Parameters!$K$3,$E$25:$E$267,Parameters!$M$6,Calendrier!$C$25:$C$267,ED33))</f>
        <v/>
      </c>
      <c r="RK33" s="59" t="str">
        <f>IF(EE33="","",COUNTIFS($D$25:$D$267,Parameters!$K$2,$E$25:$E$267,Parameters!$M$6,Calendrier!$C$25:$C$267,EE33)+ COUNTIFS($D$25:$D$267,Parameters!$K$4,$E$25:$E$267,Parameters!$M$6,Calendrier!$C$25:$C$267,EE33))</f>
        <v/>
      </c>
      <c r="RL33" s="59" t="str">
        <f>IF(EF33="","",COUNTIFS($D$25:$D$267,Parameters!$K$2,$E$25:$E$267,Parameters!$M$6,Calendrier!$C$25:$C$267,EF33)+ COUNTIFS($D$25:$D$267,Parameters!$K$3,$E$25:$E$267,Parameters!$M$6,Calendrier!$C$25:$C$267,EF33))</f>
        <v/>
      </c>
      <c r="RM33" s="59" t="str">
        <f>IF(EG33="","",COUNTIFS($D$25:$D$267,Parameters!$K$2,$E$25:$E$267,Parameters!$M$6,Calendrier!$C$25:$C$267,EG33)+ COUNTIFS($D$25:$D$267,Parameters!$K$4,$E$25:$E$267,Parameters!$M$6,Calendrier!$C$25:$C$267,EG33))</f>
        <v/>
      </c>
      <c r="RN33" s="59" t="str">
        <f>IF(EH33="","",COUNTIFS($D$25:$D$267,Parameters!$K$2,$E$25:$E$267,Parameters!$M$6,Calendrier!$C$25:$C$267,EH33)+ COUNTIFS($D$25:$D$267,Parameters!$K$3,$E$25:$E$267,Parameters!$M$6,Calendrier!$C$25:$C$267,EH33))</f>
        <v/>
      </c>
      <c r="RO33" s="59" t="str">
        <f>IF(EI33="","",COUNTIFS($D$25:$D$267,Parameters!$K$2,$E$25:$E$267,Parameters!$M$6,Calendrier!$C$25:$C$267,EI33)+ COUNTIFS($D$25:$D$267,Parameters!$K$4,$E$25:$E$267,Parameters!$M$6,Calendrier!$C$25:$C$267,EI33))</f>
        <v/>
      </c>
      <c r="RP33" s="59" t="str">
        <f>IF(EJ33="","",COUNTIFS($D$25:$D$267,Parameters!$K$2,$E$25:$E$267,Parameters!$M$6,Calendrier!$C$25:$C$267,EJ33)+ COUNTIFS($D$25:$D$267,Parameters!$K$3,$E$25:$E$267,Parameters!$M$6,Calendrier!$C$25:$C$267,EJ33))</f>
        <v/>
      </c>
      <c r="RQ33" s="60" t="str">
        <f>IF(EK33="","",COUNTIFS($D$25:$D$267,Parameters!$K$2,$E$25:$E$267,Parameters!$M$6,Calendrier!$C$25:$C$267,EK33)+ COUNTIFS($D$25:$D$267,Parameters!$K$4,$E$25:$E$267,Parameters!$M$6,Calendrier!$C$25:$C$267,EK33))</f>
        <v/>
      </c>
      <c r="RT33" s="58" t="str">
        <f>IF(EN33="","",COUNTIFS($D$25:$D$267,Parameters!$K$2,$E$25:$E$267,Parameters!$M$6,Calendrier!$C$25:$C$267,EN33)+ COUNTIFS($D$25:$D$267,Parameters!$K$3,$E$25:$E$267,Parameters!$M$6,Calendrier!$C$25:$C$267,EN33))</f>
        <v/>
      </c>
      <c r="RU33" s="59" t="str">
        <f>IF(EO33="","",COUNTIFS($D$25:$D$267,Parameters!$K$2,$E$25:$E$267,Parameters!$M$6,Calendrier!$C$25:$C$267,EO33)+ COUNTIFS($D$25:$D$267,Parameters!$K$4,$E$25:$E$267,Parameters!$M$6,Calendrier!$C$25:$C$267,EO33))</f>
        <v/>
      </c>
      <c r="RV33" s="59" t="str">
        <f>IF(EP33="","",COUNTIFS($D$25:$D$267,Parameters!$K$2,$E$25:$E$267,Parameters!$M$6,Calendrier!$C$25:$C$267,EP33)+ COUNTIFS($D$25:$D$267,Parameters!$K$3,$E$25:$E$267,Parameters!$M$6,Calendrier!$C$25:$C$267,EP33))</f>
        <v/>
      </c>
      <c r="RW33" s="59" t="str">
        <f>IF(EQ33="","",COUNTIFS($D$25:$D$267,Parameters!$K$2,$E$25:$E$267,Parameters!$M$6,Calendrier!$C$25:$C$267,EQ33)+ COUNTIFS($D$25:$D$267,Parameters!$K$4,$E$25:$E$267,Parameters!$M$6,Calendrier!$C$25:$C$267,EQ33))</f>
        <v/>
      </c>
      <c r="RX33" s="59" t="str">
        <f>IF(ER33="","",COUNTIFS($D$25:$D$267,Parameters!$K$2,$E$25:$E$267,Parameters!$M$6,Calendrier!$C$25:$C$267,ER33)+ COUNTIFS($D$25:$D$267,Parameters!$K$3,$E$25:$E$267,Parameters!$M$6,Calendrier!$C$25:$C$267,ER33))</f>
        <v/>
      </c>
      <c r="RY33" s="59" t="str">
        <f>IF(ES33="","",COUNTIFS($D$25:$D$267,Parameters!$K$2,$E$25:$E$267,Parameters!$M$6,Calendrier!$C$25:$C$267,ES33)+ COUNTIFS($D$25:$D$267,Parameters!$K$4,$E$25:$E$267,Parameters!$M$6,Calendrier!$C$25:$C$267,ES33))</f>
        <v/>
      </c>
      <c r="RZ33" s="59" t="str">
        <f>IF(ET33="","",COUNTIFS($D$25:$D$267,Parameters!$K$2,$E$25:$E$267,Parameters!$M$6,Calendrier!$C$25:$C$267,ET33)+ COUNTIFS($D$25:$D$267,Parameters!$K$3,$E$25:$E$267,Parameters!$M$6,Calendrier!$C$25:$C$267,ET33))</f>
        <v/>
      </c>
      <c r="SA33" s="59" t="str">
        <f>IF(EU33="","",COUNTIFS($D$25:$D$267,Parameters!$K$2,$E$25:$E$267,Parameters!$M$6,Calendrier!$C$25:$C$267,EU33)+ COUNTIFS($D$25:$D$267,Parameters!$K$4,$E$25:$E$267,Parameters!$M$6,Calendrier!$C$25:$C$267,EU33))</f>
        <v/>
      </c>
      <c r="SB33" s="59" t="str">
        <f>IF(EV33="","",COUNTIFS($D$25:$D$267,Parameters!$K$2,$E$25:$E$267,Parameters!$M$6,Calendrier!$C$25:$C$267,EV33)+ COUNTIFS($D$25:$D$267,Parameters!$K$3,$E$25:$E$267,Parameters!$M$6,Calendrier!$C$25:$C$267,EV33))</f>
        <v/>
      </c>
      <c r="SC33" s="59" t="str">
        <f>IF(EW33="","",COUNTIFS($D$25:$D$267,Parameters!$K$2,$E$25:$E$267,Parameters!$M$6,Calendrier!$C$25:$C$267,EW33)+ COUNTIFS($D$25:$D$267,Parameters!$K$4,$E$25:$E$267,Parameters!$M$6,Calendrier!$C$25:$C$267,EW33))</f>
        <v/>
      </c>
      <c r="SD33" s="59" t="str">
        <f>IF(EX33="","",COUNTIFS($D$25:$D$267,Parameters!$K$2,$E$25:$E$267,Parameters!$M$6,Calendrier!$C$25:$C$267,EX33)+ COUNTIFS($D$25:$D$267,Parameters!$K$3,$E$25:$E$267,Parameters!$M$6,Calendrier!$C$25:$C$267,EX33))</f>
        <v/>
      </c>
      <c r="SE33" s="59" t="str">
        <f>IF(EY33="","",COUNTIFS($D$25:$D$267,Parameters!$K$2,$E$25:$E$267,Parameters!$M$6,Calendrier!$C$25:$C$267,EY33)+ COUNTIFS($D$25:$D$267,Parameters!$K$4,$E$25:$E$267,Parameters!$M$6,Calendrier!$C$25:$C$267,EY33))</f>
        <v/>
      </c>
      <c r="SF33" s="59" t="str">
        <f>IF(EZ33="","",COUNTIFS($D$25:$D$267,Parameters!$K$2,$E$25:$E$267,Parameters!$M$6,Calendrier!$C$25:$C$267,EZ33)+ COUNTIFS($D$25:$D$267,Parameters!$K$3,$E$25:$E$267,Parameters!$M$6,Calendrier!$C$25:$C$267,EZ33))</f>
        <v/>
      </c>
      <c r="SG33" s="60" t="str">
        <f>IF(FA33="","",COUNTIFS($D$25:$D$267,Parameters!$K$2,$E$25:$E$267,Parameters!$M$6,Calendrier!$C$25:$C$267,FA33)+ COUNTIFS($D$25:$D$267,Parameters!$K$4,$E$25:$E$267,Parameters!$M$6,Calendrier!$C$25:$C$267,FA33))</f>
        <v/>
      </c>
      <c r="SL33" s="58" t="str">
        <f>IF(DH33="","",COUNTIFS($D$25:$D$267,Parameters!$K$2,$E$25:$E$267,Parameters!$M$7,Calendrier!$C$25:$C$267,DH33)+ COUNTIFS($D$25:$D$267,Parameters!$K$3,$E$25:$E$267,Parameters!$M$7,Calendrier!$C$25:$C$267,DH33))</f>
        <v/>
      </c>
      <c r="SM33" s="59" t="str">
        <f>IF(DI33="","",COUNTIFS($D$25:$D$267,Parameters!$K$2,$E$25:$E$267,Parameters!$M$7,Calendrier!$C$25:$C$267,DI33)+ COUNTIFS($D$25:$D$267,Parameters!$K$4,$E$25:$E$267,Parameters!$M$7,Calendrier!$C$25:$C$267,DI33))</f>
        <v/>
      </c>
      <c r="SN33" s="59" t="str">
        <f>IF(DJ33="","",COUNTIFS($D$25:$D$267,Parameters!$K$2,$E$25:$E$267,Parameters!$M$7,Calendrier!$C$25:$C$267,DJ33)+ COUNTIFS($D$25:$D$267,Parameters!$K$3,$E$25:$E$267,Parameters!$M$7,Calendrier!$C$25:$C$267,DJ33))</f>
        <v/>
      </c>
      <c r="SO33" s="59" t="str">
        <f>IF(DK33="","",COUNTIFS($D$25:$D$267,Parameters!$K$2,$E$25:$E$267,Parameters!$M$7,Calendrier!$C$25:$C$267,DK33)+ COUNTIFS($D$25:$D$267,Parameters!$K$4,$E$25:$E$267,Parameters!$M$7,Calendrier!$C$25:$C$267,DK33))</f>
        <v/>
      </c>
      <c r="SP33" s="59" t="str">
        <f>IF(DL33="","",COUNTIFS($D$25:$D$267,Parameters!$K$2,$E$25:$E$267,Parameters!$M$7,Calendrier!$C$25:$C$267,DL33)+ COUNTIFS($D$25:$D$267,Parameters!$K$3,$E$25:$E$267,Parameters!$M$7,Calendrier!$C$25:$C$267,DL33))</f>
        <v/>
      </c>
      <c r="SQ33" s="59" t="str">
        <f>IF(DM33="","",COUNTIFS($D$25:$D$267,Parameters!$K$2,$E$25:$E$267,Parameters!$M$7,Calendrier!$C$25:$C$267,DM33)+ COUNTIFS($D$25:$D$267,Parameters!$K$4,$E$25:$E$267,Parameters!$M$7,Calendrier!$C$25:$C$267,DM33))</f>
        <v/>
      </c>
      <c r="SR33" s="59" t="str">
        <f>IF(DN33="","",COUNTIFS($D$25:$D$267,Parameters!$K$2,$E$25:$E$267,Parameters!$M$7,Calendrier!$C$25:$C$267,DN33)+ COUNTIFS($D$25:$D$267,Parameters!$K$3,$E$25:$E$267,Parameters!$M$7,Calendrier!$C$25:$C$267,DN33))</f>
        <v/>
      </c>
      <c r="SS33" s="59" t="str">
        <f>IF(DO33="","",COUNTIFS($D$25:$D$267,Parameters!$K$2,$E$25:$E$267,Parameters!$M$7,Calendrier!$C$25:$C$267,DO33)+ COUNTIFS($D$25:$D$267,Parameters!$K$4,$E$25:$E$267,Parameters!$M$7,Calendrier!$C$25:$C$267,DO33))</f>
        <v/>
      </c>
      <c r="ST33" s="59" t="str">
        <f>IF(DP33="","",COUNTIFS($D$25:$D$267,Parameters!$K$2,$E$25:$E$267,Parameters!$M$7,Calendrier!$C$25:$C$267,DP33)+ COUNTIFS($D$25:$D$267,Parameters!$K$3,$E$25:$E$267,Parameters!$M$7,Calendrier!$C$25:$C$267,DP33))</f>
        <v/>
      </c>
      <c r="SU33" s="59" t="str">
        <f>IF(DQ33="","",COUNTIFS($D$25:$D$267,Parameters!$K$2,$E$25:$E$267,Parameters!$M$7,Calendrier!$C$25:$C$267,DQ33)+ COUNTIFS($D$25:$D$267,Parameters!$K$4,$E$25:$E$267,Parameters!$M$7,Calendrier!$C$25:$C$267,DQ33))</f>
        <v/>
      </c>
      <c r="SV33" s="59" t="str">
        <f>IF(DR33="","",COUNTIFS($D$25:$D$267,Parameters!$K$2,$E$25:$E$267,Parameters!$M$7,Calendrier!$C$25:$C$267,DR33)+ COUNTIFS($D$25:$D$267,Parameters!$K$3,$E$25:$E$267,Parameters!$M$7,Calendrier!$C$25:$C$267,DR33))</f>
        <v/>
      </c>
      <c r="SW33" s="59" t="str">
        <f>IF(DS33="","",COUNTIFS($D$25:$D$267,Parameters!$K$2,$E$25:$E$267,Parameters!$M$7,Calendrier!$C$25:$C$267,DS33)+ COUNTIFS($D$25:$D$267,Parameters!$K$4,$E$25:$E$267,Parameters!$M$7,Calendrier!$C$25:$C$267,DS33))</f>
        <v/>
      </c>
      <c r="SX33" s="59" t="str">
        <f>IF(DT33="","",COUNTIFS($D$25:$D$267,Parameters!$K$2,$E$25:$E$267,Parameters!$M$7,Calendrier!$C$25:$C$267,DT33)+ COUNTIFS($D$25:$D$267,Parameters!$K$3,$E$25:$E$267,Parameters!$M$7,Calendrier!$C$25:$C$267,DT33))</f>
        <v/>
      </c>
      <c r="SY33" s="60" t="str">
        <f>IF(DU33="","",COUNTIFS($D$25:$D$267,Parameters!$K$2,$E$25:$E$267,Parameters!$M$7,Calendrier!$C$25:$C$267,DU33)+ COUNTIFS($D$25:$D$267,Parameters!$K$4,$E$25:$E$267,Parameters!$M$7,Calendrier!$C$25:$C$267,DU33))</f>
        <v/>
      </c>
      <c r="TB33" s="58">
        <f>IF(DX33="","",COUNTIFS($D$25:$D$267,Parameters!$K$2,$E$25:$E$267,Parameters!$M$7,Calendrier!$C$25:$C$267,DX33)+ COUNTIFS($D$25:$D$267,Parameters!$K$3,$E$25:$E$267,Parameters!$M$7,Calendrier!$C$25:$C$267,DX33))</f>
        <v>0</v>
      </c>
      <c r="TC33" s="59">
        <f>IF(DY33="","",COUNTIFS($D$25:$D$267,Parameters!$K$2,$E$25:$E$267,Parameters!$M$7,Calendrier!$C$25:$C$267,DY33)+ COUNTIFS($D$25:$D$267,Parameters!$K$4,$E$25:$E$267,Parameters!$M$7,Calendrier!$C$25:$C$267,DY33))</f>
        <v>0</v>
      </c>
      <c r="TD33" s="59" t="str">
        <f>IF(DZ33="","",COUNTIFS($D$25:$D$267,Parameters!$K$2,$E$25:$E$267,Parameters!$M$7,Calendrier!$C$25:$C$267,DZ33)+ COUNTIFS($D$25:$D$267,Parameters!$K$3,$E$25:$E$267,Parameters!$M$7,Calendrier!$C$25:$C$267,DZ33))</f>
        <v/>
      </c>
      <c r="TE33" s="59" t="str">
        <f>IF(EA33="","",COUNTIFS($D$25:$D$267,Parameters!$K$2,$E$25:$E$267,Parameters!$M$7,Calendrier!$C$25:$C$267,EA33)+ COUNTIFS($D$25:$D$267,Parameters!$K$4,$E$25:$E$267,Parameters!$M$7,Calendrier!$C$25:$C$267,EA33))</f>
        <v/>
      </c>
      <c r="TF33" s="59" t="str">
        <f>IF(EB33="","",COUNTIFS($D$25:$D$267,Parameters!$K$2,$E$25:$E$267,Parameters!$M$7,Calendrier!$C$25:$C$267,EB33)+ COUNTIFS($D$25:$D$267,Parameters!$K$3,$E$25:$E$267,Parameters!$M$7,Calendrier!$C$25:$C$267,EB33))</f>
        <v/>
      </c>
      <c r="TG33" s="59" t="str">
        <f>IF(EC33="","",COUNTIFS($D$25:$D$267,Parameters!$K$2,$E$25:$E$267,Parameters!$M$7,Calendrier!$C$25:$C$267,EC33)+ COUNTIFS($D$25:$D$267,Parameters!$K$4,$E$25:$E$267,Parameters!$M$7,Calendrier!$C$25:$C$267,EC33))</f>
        <v/>
      </c>
      <c r="TH33" s="59" t="str">
        <f>IF(ED33="","",COUNTIFS($D$25:$D$267,Parameters!$K$2,$E$25:$E$267,Parameters!$M$7,Calendrier!$C$25:$C$267,ED33)+ COUNTIFS($D$25:$D$267,Parameters!$K$3,$E$25:$E$267,Parameters!$M$7,Calendrier!$C$25:$C$267,ED33))</f>
        <v/>
      </c>
      <c r="TI33" s="59" t="str">
        <f>IF(EE33="","",COUNTIFS($D$25:$D$267,Parameters!$K$2,$E$25:$E$267,Parameters!$M$7,Calendrier!$C$25:$C$267,EE33)+ COUNTIFS($D$25:$D$267,Parameters!$K$4,$E$25:$E$267,Parameters!$M$7,Calendrier!$C$25:$C$267,EE33))</f>
        <v/>
      </c>
      <c r="TJ33" s="59" t="str">
        <f>IF(EF33="","",COUNTIFS($D$25:$D$267,Parameters!$K$2,$E$25:$E$267,Parameters!$M$7,Calendrier!$C$25:$C$267,EF33)+ COUNTIFS($D$25:$D$267,Parameters!$K$3,$E$25:$E$267,Parameters!$M$7,Calendrier!$C$25:$C$267,EF33))</f>
        <v/>
      </c>
      <c r="TK33" s="59" t="str">
        <f>IF(EG33="","",COUNTIFS($D$25:$D$267,Parameters!$K$2,$E$25:$E$267,Parameters!$M$7,Calendrier!$C$25:$C$267,EG33)+ COUNTIFS($D$25:$D$267,Parameters!$K$4,$E$25:$E$267,Parameters!$M$7,Calendrier!$C$25:$C$267,EG33))</f>
        <v/>
      </c>
      <c r="TL33" s="59" t="str">
        <f>IF(EH33="","",COUNTIFS($D$25:$D$267,Parameters!$K$2,$E$25:$E$267,Parameters!$M$7,Calendrier!$C$25:$C$267,EH33)+ COUNTIFS($D$25:$D$267,Parameters!$K$3,$E$25:$E$267,Parameters!$M$7,Calendrier!$C$25:$C$267,EH33))</f>
        <v/>
      </c>
      <c r="TM33" s="59" t="str">
        <f>IF(EI33="","",COUNTIFS($D$25:$D$267,Parameters!$K$2,$E$25:$E$267,Parameters!$M$7,Calendrier!$C$25:$C$267,EI33)+ COUNTIFS($D$25:$D$267,Parameters!$K$4,$E$25:$E$267,Parameters!$M$7,Calendrier!$C$25:$C$267,EI33))</f>
        <v/>
      </c>
      <c r="TN33" s="59" t="str">
        <f>IF(EJ33="","",COUNTIFS($D$25:$D$267,Parameters!$K$2,$E$25:$E$267,Parameters!$M$7,Calendrier!$C$25:$C$267,EJ33)+ COUNTIFS($D$25:$D$267,Parameters!$K$3,$E$25:$E$267,Parameters!$M$7,Calendrier!$C$25:$C$267,EJ33))</f>
        <v/>
      </c>
      <c r="TO33" s="60" t="str">
        <f>IF(EK33="","",COUNTIFS($D$25:$D$267,Parameters!$K$2,$E$25:$E$267,Parameters!$M$7,Calendrier!$C$25:$C$267,EK33)+ COUNTIFS($D$25:$D$267,Parameters!$K$4,$E$25:$E$267,Parameters!$M$7,Calendrier!$C$25:$C$267,EK33))</f>
        <v/>
      </c>
      <c r="TR33" s="58" t="str">
        <f>IF(EN33="","",COUNTIFS($D$25:$D$267,Parameters!$K$2,$E$25:$E$267,Parameters!$M$7,Calendrier!$C$25:$C$267,EN33)+ COUNTIFS($D$25:$D$267,Parameters!$K$3,$E$25:$E$267,Parameters!$M$7,Calendrier!$C$25:$C$267,EN33))</f>
        <v/>
      </c>
      <c r="TS33" s="59" t="str">
        <f>IF(EO33="","",COUNTIFS($D$25:$D$267,Parameters!$K$2,$E$25:$E$267,Parameters!$M$7,Calendrier!$C$25:$C$267,EO33)+ COUNTIFS($D$25:$D$267,Parameters!$K$4,$E$25:$E$267,Parameters!$M$7,Calendrier!$C$25:$C$267,EO33))</f>
        <v/>
      </c>
      <c r="TT33" s="59" t="str">
        <f>IF(EP33="","",COUNTIFS($D$25:$D$267,Parameters!$K$2,$E$25:$E$267,Parameters!$M$7,Calendrier!$C$25:$C$267,EP33)+ COUNTIFS($D$25:$D$267,Parameters!$K$3,$E$25:$E$267,Parameters!$M$7,Calendrier!$C$25:$C$267,EP33))</f>
        <v/>
      </c>
      <c r="TU33" s="59" t="str">
        <f>IF(EQ33="","",COUNTIFS($D$25:$D$267,Parameters!$K$2,$E$25:$E$267,Parameters!$M$7,Calendrier!$C$25:$C$267,EQ33)+ COUNTIFS($D$25:$D$267,Parameters!$K$4,$E$25:$E$267,Parameters!$M$7,Calendrier!$C$25:$C$267,EQ33))</f>
        <v/>
      </c>
      <c r="TV33" s="59" t="str">
        <f>IF(ER33="","",COUNTIFS($D$25:$D$267,Parameters!$K$2,$E$25:$E$267,Parameters!$M$7,Calendrier!$C$25:$C$267,ER33)+ COUNTIFS($D$25:$D$267,Parameters!$K$3,$E$25:$E$267,Parameters!$M$7,Calendrier!$C$25:$C$267,ER33))</f>
        <v/>
      </c>
      <c r="TW33" s="59" t="str">
        <f>IF(ES33="","",COUNTIFS($D$25:$D$267,Parameters!$K$2,$E$25:$E$267,Parameters!$M$7,Calendrier!$C$25:$C$267,ES33)+ COUNTIFS($D$25:$D$267,Parameters!$K$4,$E$25:$E$267,Parameters!$M$7,Calendrier!$C$25:$C$267,ES33))</f>
        <v/>
      </c>
      <c r="TX33" s="59" t="str">
        <f>IF(ET33="","",COUNTIFS($D$25:$D$267,Parameters!$K$2,$E$25:$E$267,Parameters!$M$7,Calendrier!$C$25:$C$267,ET33)+ COUNTIFS($D$25:$D$267,Parameters!$K$3,$E$25:$E$267,Parameters!$M$7,Calendrier!$C$25:$C$267,ET33))</f>
        <v/>
      </c>
      <c r="TY33" s="59" t="str">
        <f>IF(EU33="","",COUNTIFS($D$25:$D$267,Parameters!$K$2,$E$25:$E$267,Parameters!$M$7,Calendrier!$C$25:$C$267,EU33)+ COUNTIFS($D$25:$D$267,Parameters!$K$4,$E$25:$E$267,Parameters!$M$7,Calendrier!$C$25:$C$267,EU33))</f>
        <v/>
      </c>
      <c r="TZ33" s="59" t="str">
        <f>IF(EV33="","",COUNTIFS($D$25:$D$267,Parameters!$K$2,$E$25:$E$267,Parameters!$M$7,Calendrier!$C$25:$C$267,EV33)+ COUNTIFS($D$25:$D$267,Parameters!$K$3,$E$25:$E$267,Parameters!$M$7,Calendrier!$C$25:$C$267,EV33))</f>
        <v/>
      </c>
      <c r="UA33" s="59" t="str">
        <f>IF(EW33="","",COUNTIFS($D$25:$D$267,Parameters!$K$2,$E$25:$E$267,Parameters!$M$7,Calendrier!$C$25:$C$267,EW33)+ COUNTIFS($D$25:$D$267,Parameters!$K$4,$E$25:$E$267,Parameters!$M$7,Calendrier!$C$25:$C$267,EW33))</f>
        <v/>
      </c>
      <c r="UB33" s="59" t="str">
        <f>IF(EX33="","",COUNTIFS($D$25:$D$267,Parameters!$K$2,$E$25:$E$267,Parameters!$M$7,Calendrier!$C$25:$C$267,EX33)+ COUNTIFS($D$25:$D$267,Parameters!$K$3,$E$25:$E$267,Parameters!$M$7,Calendrier!$C$25:$C$267,EX33))</f>
        <v/>
      </c>
      <c r="UC33" s="59" t="str">
        <f>IF(EY33="","",COUNTIFS($D$25:$D$267,Parameters!$K$2,$E$25:$E$267,Parameters!$M$7,Calendrier!$C$25:$C$267,EY33)+ COUNTIFS($D$25:$D$267,Parameters!$K$4,$E$25:$E$267,Parameters!$M$7,Calendrier!$C$25:$C$267,EY33))</f>
        <v/>
      </c>
      <c r="UD33" s="59" t="str">
        <f>IF(EZ33="","",COUNTIFS($D$25:$D$267,Parameters!$K$2,$E$25:$E$267,Parameters!$M$7,Calendrier!$C$25:$C$267,EZ33)+ COUNTIFS($D$25:$D$267,Parameters!$K$3,$E$25:$E$267,Parameters!$M$7,Calendrier!$C$25:$C$267,EZ33))</f>
        <v/>
      </c>
      <c r="UE33" s="60" t="str">
        <f>IF(FA33="","",COUNTIFS($D$25:$D$267,Parameters!$K$2,$E$25:$E$267,Parameters!$M$7,Calendrier!$C$25:$C$267,FA33)+ COUNTIFS($D$25:$D$267,Parameters!$K$4,$E$25:$E$267,Parameters!$M$7,Calendrier!$C$25:$C$267,FA33))</f>
        <v/>
      </c>
    </row>
    <row r="34" spans="2:551" x14ac:dyDescent="0.3">
      <c r="B34" s="73">
        <f t="shared" si="317"/>
        <v>2025</v>
      </c>
      <c r="C34" s="27">
        <v>45835</v>
      </c>
      <c r="D34" s="30" t="s">
        <v>30</v>
      </c>
      <c r="E34" s="30" t="s">
        <v>90</v>
      </c>
      <c r="F34" s="61"/>
      <c r="G34" s="77"/>
      <c r="K34" s="31"/>
      <c r="Z34" s="31"/>
      <c r="AA34" s="31"/>
      <c r="AP34" s="31"/>
      <c r="AQ34" s="31"/>
      <c r="BF34" s="31"/>
      <c r="BG34" s="31"/>
      <c r="BJ34" s="42"/>
      <c r="DG34" s="42"/>
      <c r="FE34" s="11"/>
      <c r="GW34" s="12"/>
      <c r="HB34" s="11"/>
      <c r="IT34" s="12"/>
      <c r="IY34" s="11"/>
      <c r="KQ34" s="12"/>
      <c r="KV34" s="11"/>
      <c r="MN34" s="12"/>
      <c r="MS34" s="11"/>
      <c r="OK34" s="12"/>
      <c r="OP34" s="11"/>
      <c r="QH34" s="12"/>
      <c r="QN34" s="11"/>
      <c r="SF34" s="12"/>
      <c r="SL34" s="11"/>
      <c r="UD34" s="12"/>
    </row>
    <row r="35" spans="2:551" ht="13.2" customHeight="1" x14ac:dyDescent="0.35">
      <c r="B35" s="73">
        <f t="shared" si="317"/>
        <v>2025</v>
      </c>
      <c r="C35" s="27">
        <v>45838</v>
      </c>
      <c r="D35" s="30" t="s">
        <v>30</v>
      </c>
      <c r="E35" s="30" t="s">
        <v>36</v>
      </c>
      <c r="F35" s="61"/>
      <c r="G35" s="77"/>
      <c r="K35" s="31">
        <v>10</v>
      </c>
      <c r="L35" s="87" t="str">
        <f>TEXT(DATE($K$2,K35,1),"mmmm")</f>
        <v>octobre</v>
      </c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31"/>
      <c r="AA35" s="31">
        <v>11</v>
      </c>
      <c r="AB35" s="87" t="str">
        <f>TEXT(DATE($K$2,AA35,1),"mmmm")</f>
        <v>novembre</v>
      </c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31"/>
      <c r="AQ35" s="31">
        <v>12</v>
      </c>
      <c r="AR35" s="87" t="str">
        <f>TEXT(DATE($K$2,AQ35,1),"mmmm")</f>
        <v>décembre</v>
      </c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31"/>
      <c r="BG35" s="31"/>
      <c r="BJ35" s="42">
        <v>10</v>
      </c>
      <c r="BK35" s="6" t="s">
        <v>65</v>
      </c>
      <c r="BZ35" s="6">
        <v>11</v>
      </c>
      <c r="CA35" s="6" t="s">
        <v>66</v>
      </c>
      <c r="CP35" s="6">
        <v>12</v>
      </c>
      <c r="CQ35" s="6" t="s">
        <v>67</v>
      </c>
      <c r="DG35" s="42">
        <v>10</v>
      </c>
      <c r="DH35" s="6" t="s">
        <v>65</v>
      </c>
      <c r="DW35" s="6">
        <v>11</v>
      </c>
      <c r="DX35" s="6" t="s">
        <v>66</v>
      </c>
      <c r="EM35" s="6">
        <v>12</v>
      </c>
      <c r="EN35" s="6" t="s">
        <v>67</v>
      </c>
      <c r="FE35" s="11" t="s">
        <v>65</v>
      </c>
      <c r="FT35" s="6">
        <v>11</v>
      </c>
      <c r="FU35" s="6" t="s">
        <v>66</v>
      </c>
      <c r="GJ35" s="6">
        <v>12</v>
      </c>
      <c r="GK35" s="6" t="s">
        <v>67</v>
      </c>
      <c r="GW35" s="12"/>
      <c r="HB35" s="11" t="s">
        <v>65</v>
      </c>
      <c r="HQ35" s="6">
        <v>11</v>
      </c>
      <c r="HR35" s="6" t="s">
        <v>66</v>
      </c>
      <c r="IG35" s="6">
        <v>12</v>
      </c>
      <c r="IH35" s="6" t="s">
        <v>67</v>
      </c>
      <c r="IT35" s="12"/>
      <c r="IY35" s="11" t="s">
        <v>65</v>
      </c>
      <c r="JN35" s="6">
        <v>11</v>
      </c>
      <c r="JO35" s="6" t="s">
        <v>66</v>
      </c>
      <c r="KD35" s="6">
        <v>12</v>
      </c>
      <c r="KE35" s="6" t="s">
        <v>67</v>
      </c>
      <c r="KQ35" s="12"/>
      <c r="KV35" s="11" t="s">
        <v>65</v>
      </c>
      <c r="LK35" s="6">
        <v>11</v>
      </c>
      <c r="LL35" s="6" t="s">
        <v>66</v>
      </c>
      <c r="MA35" s="6">
        <v>12</v>
      </c>
      <c r="MB35" s="6" t="s">
        <v>67</v>
      </c>
      <c r="MN35" s="12"/>
      <c r="MS35" s="11" t="s">
        <v>65</v>
      </c>
      <c r="NH35" s="6">
        <v>11</v>
      </c>
      <c r="NI35" s="6" t="s">
        <v>66</v>
      </c>
      <c r="NX35" s="6">
        <v>12</v>
      </c>
      <c r="NY35" s="6" t="s">
        <v>67</v>
      </c>
      <c r="OK35" s="12"/>
      <c r="OP35" s="11" t="s">
        <v>65</v>
      </c>
      <c r="PE35" s="6">
        <v>11</v>
      </c>
      <c r="PF35" s="6" t="s">
        <v>66</v>
      </c>
      <c r="PU35" s="6">
        <v>12</v>
      </c>
      <c r="PV35" s="6" t="s">
        <v>67</v>
      </c>
      <c r="QH35" s="12"/>
      <c r="QN35" s="11" t="s">
        <v>65</v>
      </c>
      <c r="RC35" s="6">
        <v>11</v>
      </c>
      <c r="RD35" s="6" t="s">
        <v>66</v>
      </c>
      <c r="RS35" s="6">
        <v>12</v>
      </c>
      <c r="RT35" s="6" t="s">
        <v>67</v>
      </c>
      <c r="SF35" s="12"/>
      <c r="SL35" s="11" t="s">
        <v>65</v>
      </c>
      <c r="TA35" s="6">
        <v>11</v>
      </c>
      <c r="TB35" s="6" t="s">
        <v>66</v>
      </c>
      <c r="TQ35" s="6">
        <v>12</v>
      </c>
      <c r="TR35" s="6" t="s">
        <v>67</v>
      </c>
      <c r="UD35" s="12"/>
    </row>
    <row r="36" spans="2:551" ht="15" thickBot="1" x14ac:dyDescent="0.35">
      <c r="B36" s="73">
        <f t="shared" si="317"/>
        <v>2025</v>
      </c>
      <c r="C36" s="27">
        <v>45839</v>
      </c>
      <c r="D36" s="30" t="s">
        <v>30</v>
      </c>
      <c r="E36" s="30" t="s">
        <v>36</v>
      </c>
      <c r="F36" s="61"/>
      <c r="G36" s="77"/>
      <c r="K36" s="31">
        <f>WEEKDAY(DATE($K$2,K35,1),Parameters!$A$2)</f>
        <v>4</v>
      </c>
      <c r="L36" s="17" t="str">
        <f>TEXT(2,"jjj")</f>
        <v>lun</v>
      </c>
      <c r="M36" s="18"/>
      <c r="N36" s="18" t="str">
        <f>TEXT(3,"jjj")</f>
        <v>mar</v>
      </c>
      <c r="O36" s="18"/>
      <c r="P36" s="18" t="str">
        <f>TEXT(4,"jjj")</f>
        <v>mer</v>
      </c>
      <c r="Q36" s="18"/>
      <c r="R36" s="18" t="str">
        <f>TEXT(5,"jjj")</f>
        <v>jeu</v>
      </c>
      <c r="S36" s="18"/>
      <c r="T36" s="18" t="str">
        <f>TEXT(6,"jjj")</f>
        <v>ven</v>
      </c>
      <c r="U36" s="18"/>
      <c r="V36" s="18" t="str">
        <f>TEXT(7,"jjj")</f>
        <v>sam</v>
      </c>
      <c r="W36" s="18"/>
      <c r="X36" s="18" t="str">
        <f>TEXT(8,"jjj")</f>
        <v>dim</v>
      </c>
      <c r="Y36" s="24"/>
      <c r="Z36" s="33">
        <f>DAY(DATE($K$2,K35+1,1)-1)</f>
        <v>31</v>
      </c>
      <c r="AA36" s="31">
        <f>WEEKDAY(DATE($K$2,AA35,1),Parameters!$A$2)</f>
        <v>7</v>
      </c>
      <c r="AB36" s="17" t="str">
        <f>TEXT(2,"jjj")</f>
        <v>lun</v>
      </c>
      <c r="AC36" s="18"/>
      <c r="AD36" s="18" t="str">
        <f>TEXT(3,"jjj")</f>
        <v>mar</v>
      </c>
      <c r="AE36" s="18"/>
      <c r="AF36" s="18" t="str">
        <f>TEXT(4,"jjj")</f>
        <v>mer</v>
      </c>
      <c r="AG36" s="18"/>
      <c r="AH36" s="18" t="str">
        <f>TEXT(5,"jjj")</f>
        <v>jeu</v>
      </c>
      <c r="AI36" s="18"/>
      <c r="AJ36" s="18" t="str">
        <f>TEXT(6,"jjj")</f>
        <v>ven</v>
      </c>
      <c r="AK36" s="18"/>
      <c r="AL36" s="18" t="str">
        <f>TEXT(7,"jjj")</f>
        <v>sam</v>
      </c>
      <c r="AM36" s="18"/>
      <c r="AN36" s="18" t="str">
        <f>TEXT(8,"jjj")</f>
        <v>dim</v>
      </c>
      <c r="AO36" s="24"/>
      <c r="AP36" s="33">
        <f>DAY(DATE($K$2,AA35+1,1)-1)</f>
        <v>30</v>
      </c>
      <c r="AQ36" s="31">
        <f>WEEKDAY(DATE($K$2,AQ35,1),Parameters!$A$2)</f>
        <v>2</v>
      </c>
      <c r="AR36" s="17" t="str">
        <f>TEXT(2,"jjj")</f>
        <v>lun</v>
      </c>
      <c r="AS36" s="18"/>
      <c r="AT36" s="18" t="str">
        <f>TEXT(3,"jjj")</f>
        <v>mar</v>
      </c>
      <c r="AU36" s="18"/>
      <c r="AV36" s="18" t="str">
        <f>TEXT(4,"jjj")</f>
        <v>mer</v>
      </c>
      <c r="AW36" s="18"/>
      <c r="AX36" s="18" t="str">
        <f>TEXT(5,"jjj")</f>
        <v>jeu</v>
      </c>
      <c r="AY36" s="18"/>
      <c r="AZ36" s="18" t="str">
        <f>TEXT(6,"jjj")</f>
        <v>ven</v>
      </c>
      <c r="BA36" s="18"/>
      <c r="BB36" s="18" t="str">
        <f>TEXT(7,"jjj")</f>
        <v>sam</v>
      </c>
      <c r="BC36" s="18"/>
      <c r="BD36" s="18" t="str">
        <f>TEXT(8,"jjj")</f>
        <v>dim</v>
      </c>
      <c r="BE36" s="24"/>
      <c r="BF36" s="33">
        <f>DAY(DATE($K$2,AQ35+1,1)-1)</f>
        <v>31</v>
      </c>
      <c r="BG36" s="33"/>
      <c r="BJ36" s="42">
        <v>6</v>
      </c>
      <c r="BK36" s="6" t="s">
        <v>52</v>
      </c>
      <c r="BM36" s="6" t="s">
        <v>53</v>
      </c>
      <c r="BO36" s="6" t="s">
        <v>54</v>
      </c>
      <c r="BQ36" s="6" t="s">
        <v>55</v>
      </c>
      <c r="BS36" s="6" t="s">
        <v>56</v>
      </c>
      <c r="BU36" s="6" t="s">
        <v>57</v>
      </c>
      <c r="BW36" s="6" t="s">
        <v>58</v>
      </c>
      <c r="BY36" s="6">
        <v>31</v>
      </c>
      <c r="BZ36" s="6">
        <v>2</v>
      </c>
      <c r="CA36" s="6" t="s">
        <v>52</v>
      </c>
      <c r="CC36" s="6" t="s">
        <v>53</v>
      </c>
      <c r="CE36" s="6" t="s">
        <v>54</v>
      </c>
      <c r="CG36" s="6" t="s">
        <v>55</v>
      </c>
      <c r="CI36" s="6" t="s">
        <v>56</v>
      </c>
      <c r="CK36" s="6" t="s">
        <v>57</v>
      </c>
      <c r="CM36" s="6" t="s">
        <v>58</v>
      </c>
      <c r="CO36" s="6">
        <v>30</v>
      </c>
      <c r="CP36" s="6">
        <v>4</v>
      </c>
      <c r="CQ36" s="6" t="s">
        <v>52</v>
      </c>
      <c r="CS36" s="6" t="s">
        <v>53</v>
      </c>
      <c r="CU36" s="6" t="s">
        <v>54</v>
      </c>
      <c r="CW36" s="6" t="s">
        <v>55</v>
      </c>
      <c r="CY36" s="6" t="s">
        <v>56</v>
      </c>
      <c r="DA36" s="6" t="s">
        <v>57</v>
      </c>
      <c r="DC36" s="6" t="s">
        <v>58</v>
      </c>
      <c r="DG36" s="42">
        <v>6</v>
      </c>
      <c r="DH36" s="6" t="s">
        <v>52</v>
      </c>
      <c r="DJ36" s="6" t="s">
        <v>53</v>
      </c>
      <c r="DL36" s="6" t="s">
        <v>54</v>
      </c>
      <c r="DN36" s="6" t="s">
        <v>55</v>
      </c>
      <c r="DP36" s="6" t="s">
        <v>56</v>
      </c>
      <c r="DR36" s="6" t="s">
        <v>57</v>
      </c>
      <c r="DT36" s="6" t="s">
        <v>58</v>
      </c>
      <c r="DV36" s="6">
        <v>31</v>
      </c>
      <c r="DW36" s="6">
        <v>2</v>
      </c>
      <c r="DX36" s="6" t="s">
        <v>52</v>
      </c>
      <c r="DZ36" s="6" t="s">
        <v>53</v>
      </c>
      <c r="EB36" s="6" t="s">
        <v>54</v>
      </c>
      <c r="ED36" s="6" t="s">
        <v>55</v>
      </c>
      <c r="EF36" s="6" t="s">
        <v>56</v>
      </c>
      <c r="EH36" s="6" t="s">
        <v>57</v>
      </c>
      <c r="EJ36" s="6" t="s">
        <v>58</v>
      </c>
      <c r="EL36" s="6">
        <v>30</v>
      </c>
      <c r="EM36" s="6">
        <v>4</v>
      </c>
      <c r="EN36" s="6" t="s">
        <v>52</v>
      </c>
      <c r="EP36" s="6" t="s">
        <v>53</v>
      </c>
      <c r="ER36" s="6" t="s">
        <v>54</v>
      </c>
      <c r="ET36" s="6" t="s">
        <v>55</v>
      </c>
      <c r="EV36" s="6" t="s">
        <v>56</v>
      </c>
      <c r="EX36" s="6" t="s">
        <v>57</v>
      </c>
      <c r="EZ36" s="6" t="s">
        <v>58</v>
      </c>
      <c r="FE36" s="11" t="s">
        <v>52</v>
      </c>
      <c r="FG36" s="6" t="s">
        <v>53</v>
      </c>
      <c r="FI36" s="6" t="s">
        <v>54</v>
      </c>
      <c r="FK36" s="6" t="s">
        <v>55</v>
      </c>
      <c r="FM36" s="6" t="s">
        <v>56</v>
      </c>
      <c r="FO36" s="6" t="s">
        <v>57</v>
      </c>
      <c r="FQ36" s="6" t="s">
        <v>58</v>
      </c>
      <c r="FS36" s="6">
        <v>31</v>
      </c>
      <c r="FT36" s="6">
        <v>2</v>
      </c>
      <c r="FU36" s="6" t="s">
        <v>52</v>
      </c>
      <c r="FW36" s="6" t="s">
        <v>53</v>
      </c>
      <c r="FY36" s="6" t="s">
        <v>54</v>
      </c>
      <c r="GA36" s="6" t="s">
        <v>55</v>
      </c>
      <c r="GC36" s="6" t="s">
        <v>56</v>
      </c>
      <c r="GE36" s="6" t="s">
        <v>57</v>
      </c>
      <c r="GG36" s="6" t="s">
        <v>58</v>
      </c>
      <c r="GI36" s="6">
        <v>30</v>
      </c>
      <c r="GJ36" s="6">
        <v>4</v>
      </c>
      <c r="GK36" s="6" t="s">
        <v>52</v>
      </c>
      <c r="GM36" s="6" t="s">
        <v>53</v>
      </c>
      <c r="GO36" s="6" t="s">
        <v>54</v>
      </c>
      <c r="GQ36" s="6" t="s">
        <v>55</v>
      </c>
      <c r="GS36" s="6" t="s">
        <v>56</v>
      </c>
      <c r="GU36" s="6" t="s">
        <v>57</v>
      </c>
      <c r="GW36" s="12" t="s">
        <v>58</v>
      </c>
      <c r="HB36" s="11" t="s">
        <v>52</v>
      </c>
      <c r="HD36" s="6" t="s">
        <v>53</v>
      </c>
      <c r="HF36" s="6" t="s">
        <v>54</v>
      </c>
      <c r="HH36" s="6" t="s">
        <v>55</v>
      </c>
      <c r="HJ36" s="6" t="s">
        <v>56</v>
      </c>
      <c r="HL36" s="6" t="s">
        <v>57</v>
      </c>
      <c r="HN36" s="6" t="s">
        <v>58</v>
      </c>
      <c r="HP36" s="6">
        <v>31</v>
      </c>
      <c r="HQ36" s="6">
        <v>2</v>
      </c>
      <c r="HR36" s="6" t="s">
        <v>52</v>
      </c>
      <c r="HT36" s="6" t="s">
        <v>53</v>
      </c>
      <c r="HV36" s="6" t="s">
        <v>54</v>
      </c>
      <c r="HX36" s="6" t="s">
        <v>55</v>
      </c>
      <c r="HZ36" s="6" t="s">
        <v>56</v>
      </c>
      <c r="IB36" s="6" t="s">
        <v>57</v>
      </c>
      <c r="ID36" s="6" t="s">
        <v>58</v>
      </c>
      <c r="IF36" s="6">
        <v>30</v>
      </c>
      <c r="IG36" s="6">
        <v>4</v>
      </c>
      <c r="IH36" s="6" t="s">
        <v>52</v>
      </c>
      <c r="IJ36" s="6" t="s">
        <v>53</v>
      </c>
      <c r="IL36" s="6" t="s">
        <v>54</v>
      </c>
      <c r="IN36" s="6" t="s">
        <v>55</v>
      </c>
      <c r="IP36" s="6" t="s">
        <v>56</v>
      </c>
      <c r="IR36" s="6" t="s">
        <v>57</v>
      </c>
      <c r="IT36" s="12" t="s">
        <v>58</v>
      </c>
      <c r="IY36" s="11" t="s">
        <v>52</v>
      </c>
      <c r="JA36" s="6" t="s">
        <v>53</v>
      </c>
      <c r="JC36" s="6" t="s">
        <v>54</v>
      </c>
      <c r="JE36" s="6" t="s">
        <v>55</v>
      </c>
      <c r="JG36" s="6" t="s">
        <v>56</v>
      </c>
      <c r="JI36" s="6" t="s">
        <v>57</v>
      </c>
      <c r="JK36" s="6" t="s">
        <v>58</v>
      </c>
      <c r="JM36" s="6">
        <v>31</v>
      </c>
      <c r="JN36" s="6">
        <v>2</v>
      </c>
      <c r="JO36" s="6" t="s">
        <v>52</v>
      </c>
      <c r="JQ36" s="6" t="s">
        <v>53</v>
      </c>
      <c r="JS36" s="6" t="s">
        <v>54</v>
      </c>
      <c r="JU36" s="6" t="s">
        <v>55</v>
      </c>
      <c r="JW36" s="6" t="s">
        <v>56</v>
      </c>
      <c r="JY36" s="6" t="s">
        <v>57</v>
      </c>
      <c r="KA36" s="6" t="s">
        <v>58</v>
      </c>
      <c r="KC36" s="6">
        <v>30</v>
      </c>
      <c r="KD36" s="6">
        <v>4</v>
      </c>
      <c r="KE36" s="6" t="s">
        <v>52</v>
      </c>
      <c r="KG36" s="6" t="s">
        <v>53</v>
      </c>
      <c r="KI36" s="6" t="s">
        <v>54</v>
      </c>
      <c r="KK36" s="6" t="s">
        <v>55</v>
      </c>
      <c r="KM36" s="6" t="s">
        <v>56</v>
      </c>
      <c r="KO36" s="6" t="s">
        <v>57</v>
      </c>
      <c r="KQ36" s="12" t="s">
        <v>58</v>
      </c>
      <c r="KV36" s="11" t="s">
        <v>52</v>
      </c>
      <c r="KX36" s="6" t="s">
        <v>53</v>
      </c>
      <c r="KZ36" s="6" t="s">
        <v>54</v>
      </c>
      <c r="LB36" s="6" t="s">
        <v>55</v>
      </c>
      <c r="LD36" s="6" t="s">
        <v>56</v>
      </c>
      <c r="LF36" s="6" t="s">
        <v>57</v>
      </c>
      <c r="LH36" s="6" t="s">
        <v>58</v>
      </c>
      <c r="LJ36" s="6">
        <v>31</v>
      </c>
      <c r="LK36" s="6">
        <v>2</v>
      </c>
      <c r="LL36" s="6" t="s">
        <v>52</v>
      </c>
      <c r="LN36" s="6" t="s">
        <v>53</v>
      </c>
      <c r="LP36" s="6" t="s">
        <v>54</v>
      </c>
      <c r="LR36" s="6" t="s">
        <v>55</v>
      </c>
      <c r="LT36" s="6" t="s">
        <v>56</v>
      </c>
      <c r="LV36" s="6" t="s">
        <v>57</v>
      </c>
      <c r="LX36" s="6" t="s">
        <v>58</v>
      </c>
      <c r="LZ36" s="6">
        <v>30</v>
      </c>
      <c r="MA36" s="6">
        <v>4</v>
      </c>
      <c r="MB36" s="6" t="s">
        <v>52</v>
      </c>
      <c r="MD36" s="6" t="s">
        <v>53</v>
      </c>
      <c r="MF36" s="6" t="s">
        <v>54</v>
      </c>
      <c r="MH36" s="6" t="s">
        <v>55</v>
      </c>
      <c r="MJ36" s="6" t="s">
        <v>56</v>
      </c>
      <c r="ML36" s="6" t="s">
        <v>57</v>
      </c>
      <c r="MN36" s="12" t="s">
        <v>58</v>
      </c>
      <c r="MS36" s="11" t="s">
        <v>52</v>
      </c>
      <c r="MU36" s="6" t="s">
        <v>53</v>
      </c>
      <c r="MW36" s="6" t="s">
        <v>54</v>
      </c>
      <c r="MY36" s="6" t="s">
        <v>55</v>
      </c>
      <c r="NA36" s="6" t="s">
        <v>56</v>
      </c>
      <c r="NC36" s="6" t="s">
        <v>57</v>
      </c>
      <c r="NE36" s="6" t="s">
        <v>58</v>
      </c>
      <c r="NG36" s="6">
        <v>31</v>
      </c>
      <c r="NH36" s="6">
        <v>2</v>
      </c>
      <c r="NI36" s="6" t="s">
        <v>52</v>
      </c>
      <c r="NK36" s="6" t="s">
        <v>53</v>
      </c>
      <c r="NM36" s="6" t="s">
        <v>54</v>
      </c>
      <c r="NO36" s="6" t="s">
        <v>55</v>
      </c>
      <c r="NQ36" s="6" t="s">
        <v>56</v>
      </c>
      <c r="NS36" s="6" t="s">
        <v>57</v>
      </c>
      <c r="NU36" s="6" t="s">
        <v>58</v>
      </c>
      <c r="NW36" s="6">
        <v>30</v>
      </c>
      <c r="NX36" s="6">
        <v>4</v>
      </c>
      <c r="NY36" s="6" t="s">
        <v>52</v>
      </c>
      <c r="OA36" s="6" t="s">
        <v>53</v>
      </c>
      <c r="OC36" s="6" t="s">
        <v>54</v>
      </c>
      <c r="OE36" s="6" t="s">
        <v>55</v>
      </c>
      <c r="OG36" s="6" t="s">
        <v>56</v>
      </c>
      <c r="OI36" s="6" t="s">
        <v>57</v>
      </c>
      <c r="OK36" s="12" t="s">
        <v>58</v>
      </c>
      <c r="OP36" s="11" t="s">
        <v>52</v>
      </c>
      <c r="OR36" s="6" t="s">
        <v>53</v>
      </c>
      <c r="OT36" s="6" t="s">
        <v>54</v>
      </c>
      <c r="OV36" s="6" t="s">
        <v>55</v>
      </c>
      <c r="OX36" s="6" t="s">
        <v>56</v>
      </c>
      <c r="OZ36" s="6" t="s">
        <v>57</v>
      </c>
      <c r="PB36" s="6" t="s">
        <v>58</v>
      </c>
      <c r="PD36" s="6">
        <v>31</v>
      </c>
      <c r="PE36" s="6">
        <v>2</v>
      </c>
      <c r="PF36" s="6" t="s">
        <v>52</v>
      </c>
      <c r="PH36" s="6" t="s">
        <v>53</v>
      </c>
      <c r="PJ36" s="6" t="s">
        <v>54</v>
      </c>
      <c r="PL36" s="6" t="s">
        <v>55</v>
      </c>
      <c r="PN36" s="6" t="s">
        <v>56</v>
      </c>
      <c r="PP36" s="6" t="s">
        <v>57</v>
      </c>
      <c r="PR36" s="6" t="s">
        <v>58</v>
      </c>
      <c r="PT36" s="6">
        <v>30</v>
      </c>
      <c r="PU36" s="6">
        <v>4</v>
      </c>
      <c r="PV36" s="6" t="s">
        <v>52</v>
      </c>
      <c r="PX36" s="6" t="s">
        <v>53</v>
      </c>
      <c r="PZ36" s="6" t="s">
        <v>54</v>
      </c>
      <c r="QB36" s="6" t="s">
        <v>55</v>
      </c>
      <c r="QD36" s="6" t="s">
        <v>56</v>
      </c>
      <c r="QF36" s="6" t="s">
        <v>57</v>
      </c>
      <c r="QH36" s="12" t="s">
        <v>58</v>
      </c>
      <c r="QN36" s="11" t="s">
        <v>52</v>
      </c>
      <c r="QP36" s="6" t="s">
        <v>53</v>
      </c>
      <c r="QR36" s="6" t="s">
        <v>54</v>
      </c>
      <c r="QT36" s="6" t="s">
        <v>55</v>
      </c>
      <c r="QV36" s="6" t="s">
        <v>56</v>
      </c>
      <c r="QX36" s="6" t="s">
        <v>57</v>
      </c>
      <c r="QZ36" s="6" t="s">
        <v>58</v>
      </c>
      <c r="RB36" s="6">
        <v>31</v>
      </c>
      <c r="RC36" s="6">
        <v>2</v>
      </c>
      <c r="RD36" s="6" t="s">
        <v>52</v>
      </c>
      <c r="RF36" s="6" t="s">
        <v>53</v>
      </c>
      <c r="RH36" s="6" t="s">
        <v>54</v>
      </c>
      <c r="RJ36" s="6" t="s">
        <v>55</v>
      </c>
      <c r="RL36" s="6" t="s">
        <v>56</v>
      </c>
      <c r="RN36" s="6" t="s">
        <v>57</v>
      </c>
      <c r="RP36" s="6" t="s">
        <v>58</v>
      </c>
      <c r="RR36" s="6">
        <v>30</v>
      </c>
      <c r="RS36" s="6">
        <v>4</v>
      </c>
      <c r="RT36" s="6" t="s">
        <v>52</v>
      </c>
      <c r="RV36" s="6" t="s">
        <v>53</v>
      </c>
      <c r="RX36" s="6" t="s">
        <v>54</v>
      </c>
      <c r="RZ36" s="6" t="s">
        <v>55</v>
      </c>
      <c r="SB36" s="6" t="s">
        <v>56</v>
      </c>
      <c r="SD36" s="6" t="s">
        <v>57</v>
      </c>
      <c r="SF36" s="12" t="s">
        <v>58</v>
      </c>
      <c r="SL36" s="11" t="s">
        <v>52</v>
      </c>
      <c r="SN36" s="6" t="s">
        <v>53</v>
      </c>
      <c r="SP36" s="6" t="s">
        <v>54</v>
      </c>
      <c r="SR36" s="6" t="s">
        <v>55</v>
      </c>
      <c r="ST36" s="6" t="s">
        <v>56</v>
      </c>
      <c r="SV36" s="6" t="s">
        <v>57</v>
      </c>
      <c r="SX36" s="6" t="s">
        <v>58</v>
      </c>
      <c r="SZ36" s="6">
        <v>31</v>
      </c>
      <c r="TA36" s="6">
        <v>2</v>
      </c>
      <c r="TB36" s="6" t="s">
        <v>52</v>
      </c>
      <c r="TD36" s="6" t="s">
        <v>53</v>
      </c>
      <c r="TF36" s="6" t="s">
        <v>54</v>
      </c>
      <c r="TH36" s="6" t="s">
        <v>55</v>
      </c>
      <c r="TJ36" s="6" t="s">
        <v>56</v>
      </c>
      <c r="TL36" s="6" t="s">
        <v>57</v>
      </c>
      <c r="TN36" s="6" t="s">
        <v>58</v>
      </c>
      <c r="TP36" s="6">
        <v>30</v>
      </c>
      <c r="TQ36" s="6">
        <v>4</v>
      </c>
      <c r="TR36" s="6" t="s">
        <v>52</v>
      </c>
      <c r="TT36" s="6" t="s">
        <v>53</v>
      </c>
      <c r="TV36" s="6" t="s">
        <v>54</v>
      </c>
      <c r="TX36" s="6" t="s">
        <v>55</v>
      </c>
      <c r="TZ36" s="6" t="s">
        <v>56</v>
      </c>
      <c r="UB36" s="6" t="s">
        <v>57</v>
      </c>
      <c r="UD36" s="12" t="s">
        <v>58</v>
      </c>
    </row>
    <row r="37" spans="2:551" x14ac:dyDescent="0.3">
      <c r="B37" s="73">
        <f t="shared" si="317"/>
        <v>2025</v>
      </c>
      <c r="C37" s="27">
        <v>45840</v>
      </c>
      <c r="D37" s="30" t="s">
        <v>30</v>
      </c>
      <c r="E37" s="30" t="s">
        <v>36</v>
      </c>
      <c r="F37" s="61"/>
      <c r="G37" s="77"/>
      <c r="K37" s="31"/>
      <c r="L37" s="22" t="str">
        <f>IF($K36=L$6,1,IF(J37&lt;&gt;"",J37+1,""))</f>
        <v/>
      </c>
      <c r="M37" s="23"/>
      <c r="N37" s="22" t="str">
        <f>IF($K36=N$6,1,IF(L37&lt;&gt;"",L37+1,""))</f>
        <v/>
      </c>
      <c r="O37" s="23"/>
      <c r="P37" s="22" t="str">
        <f>IF($K36=P$6,1,IF(N37&lt;&gt;"",N37+1,""))</f>
        <v/>
      </c>
      <c r="Q37" s="23"/>
      <c r="R37" s="22">
        <f>IF($K36=R$6,1,IF(P37&lt;&gt;"",P37+1,""))</f>
        <v>1</v>
      </c>
      <c r="S37" s="23"/>
      <c r="T37" s="22">
        <f>IF($K36=T$6,1,IF(R37&lt;&gt;"",R37+1,""))</f>
        <v>2</v>
      </c>
      <c r="U37" s="23"/>
      <c r="V37" s="22">
        <f>IF($K36=V$6,1,IF(T37&lt;&gt;"",T37+1,""))</f>
        <v>3</v>
      </c>
      <c r="W37" s="23"/>
      <c r="X37" s="22">
        <f>IF($K36=X$6,1,IF(V37&lt;&gt;"",V37+1,""))</f>
        <v>4</v>
      </c>
      <c r="Y37" s="23"/>
      <c r="Z37" s="31"/>
      <c r="AA37" s="31"/>
      <c r="AB37" s="22" t="str">
        <f>IF($AA$36=AB$6,1,IF(Z37&lt;&gt;"",Z37+1,""))</f>
        <v/>
      </c>
      <c r="AC37" s="23"/>
      <c r="AD37" s="22" t="str">
        <f>IF($AA$36=AD$6,1,IF(AB37&lt;&gt;"",AB37+1,""))</f>
        <v/>
      </c>
      <c r="AE37" s="23"/>
      <c r="AF37" s="22" t="str">
        <f>IF($AA$36=AF$6,1,IF(AD37&lt;&gt;"",AD37+1,""))</f>
        <v/>
      </c>
      <c r="AG37" s="23"/>
      <c r="AH37" s="22" t="str">
        <f>IF($AA$36=AH$6,1,IF(AF37&lt;&gt;"",AF37+1,""))</f>
        <v/>
      </c>
      <c r="AI37" s="23"/>
      <c r="AJ37" s="22" t="str">
        <f>IF($AA$36=AJ$6,1,IF(AH37&lt;&gt;"",AH37+1,""))</f>
        <v/>
      </c>
      <c r="AK37" s="23"/>
      <c r="AL37" s="22" t="str">
        <f>IF($AA$36=AL$6,1,IF(AJ37&lt;&gt;"",AJ37+1,""))</f>
        <v/>
      </c>
      <c r="AM37" s="23"/>
      <c r="AN37" s="22">
        <f>IF($AA$36=AN$6,1,IF(AL37&lt;&gt;"",AL37+1,""))</f>
        <v>1</v>
      </c>
      <c r="AO37" s="23"/>
      <c r="AP37" s="31"/>
      <c r="AQ37" s="31"/>
      <c r="AR37" s="22" t="str">
        <f>IF($AQ$36=AR$6,1,IF(AP37&lt;&gt;"",AP37+1,""))</f>
        <v/>
      </c>
      <c r="AS37" s="23"/>
      <c r="AT37" s="22">
        <f>IF($AQ$36=AT$6,1,IF(AR37&lt;&gt;"",AR37+1,""))</f>
        <v>1</v>
      </c>
      <c r="AU37" s="23"/>
      <c r="AV37" s="22">
        <f>IF($AQ$36=AV$6,1,IF(AT37&lt;&gt;"",AT37+1,""))</f>
        <v>2</v>
      </c>
      <c r="AW37" s="23"/>
      <c r="AX37" s="22">
        <f>IF($AQ$36=AX$6,1,IF(AV37&lt;&gt;"",AV37+1,""))</f>
        <v>3</v>
      </c>
      <c r="AY37" s="23"/>
      <c r="AZ37" s="22">
        <f>IF($AQ$36=AZ$6,1,IF(AX37&lt;&gt;"",AX37+1,""))</f>
        <v>4</v>
      </c>
      <c r="BA37" s="23"/>
      <c r="BB37" s="22">
        <f>IF($AQ$36=BB$6,1,IF(AZ37&lt;&gt;"",AZ37+1,""))</f>
        <v>5</v>
      </c>
      <c r="BC37" s="23"/>
      <c r="BD37" s="22">
        <f>IF($AQ$36=BD$6,1,IF(BB37&lt;&gt;"",BB37+1,""))</f>
        <v>6</v>
      </c>
      <c r="BE37" s="23"/>
      <c r="BF37" s="31"/>
      <c r="BG37" s="31"/>
      <c r="BJ37" s="42"/>
      <c r="BK37" s="6">
        <v>10</v>
      </c>
      <c r="BL37" s="6">
        <v>10</v>
      </c>
      <c r="BM37" s="6">
        <v>10</v>
      </c>
      <c r="BN37" s="6">
        <v>10</v>
      </c>
      <c r="BO37" s="6">
        <v>10</v>
      </c>
      <c r="BP37" s="6">
        <v>10</v>
      </c>
      <c r="BQ37" s="6">
        <v>10</v>
      </c>
      <c r="BR37" s="6">
        <v>10</v>
      </c>
      <c r="BS37" s="6">
        <v>10</v>
      </c>
      <c r="BT37" s="6">
        <v>10</v>
      </c>
      <c r="BU37" s="6">
        <v>10</v>
      </c>
      <c r="BV37" s="6">
        <v>10</v>
      </c>
      <c r="BW37" s="6">
        <v>10</v>
      </c>
      <c r="CA37" s="6">
        <v>11</v>
      </c>
      <c r="CB37" s="6">
        <v>11</v>
      </c>
      <c r="CC37" s="6">
        <v>11</v>
      </c>
      <c r="CD37" s="6">
        <v>11</v>
      </c>
      <c r="CE37" s="6">
        <v>11</v>
      </c>
      <c r="CF37" s="6">
        <v>11</v>
      </c>
      <c r="CG37" s="6">
        <v>11</v>
      </c>
      <c r="CH37" s="6">
        <v>11</v>
      </c>
      <c r="CI37" s="6">
        <v>11</v>
      </c>
      <c r="CJ37" s="6">
        <v>11</v>
      </c>
      <c r="CK37" s="6">
        <v>11</v>
      </c>
      <c r="CL37" s="6">
        <v>11</v>
      </c>
      <c r="CM37" s="6">
        <v>11</v>
      </c>
      <c r="CQ37" s="6">
        <v>12</v>
      </c>
      <c r="CR37" s="6">
        <v>12</v>
      </c>
      <c r="CS37" s="6">
        <v>12</v>
      </c>
      <c r="CT37" s="6">
        <v>12</v>
      </c>
      <c r="CU37" s="6">
        <v>12</v>
      </c>
      <c r="CV37" s="6">
        <v>12</v>
      </c>
      <c r="CW37" s="6">
        <v>12</v>
      </c>
      <c r="CX37" s="6">
        <v>12</v>
      </c>
      <c r="CY37" s="6">
        <v>12</v>
      </c>
      <c r="CZ37" s="6">
        <v>12</v>
      </c>
      <c r="DA37" s="6">
        <v>12</v>
      </c>
      <c r="DB37" s="6">
        <v>12</v>
      </c>
      <c r="DC37" s="6">
        <v>12</v>
      </c>
      <c r="DG37" s="42"/>
      <c r="DH37" s="51" t="str">
        <f>IF(L37="","",DATE($K$2,BK37,L37))</f>
        <v/>
      </c>
      <c r="DI37" s="52" t="str">
        <f>DH37</f>
        <v/>
      </c>
      <c r="DJ37" s="52" t="str">
        <f t="shared" ref="DJ37:DJ42" si="468">IF(N37="","",DATE($K$2,BM37,N37))</f>
        <v/>
      </c>
      <c r="DK37" s="52" t="str">
        <f t="shared" ref="DK37" si="469">DJ37</f>
        <v/>
      </c>
      <c r="DL37" s="52" t="str">
        <f t="shared" ref="DL37:DL42" si="470">IF(P37="","",DATE($K$2,BO37,P37))</f>
        <v/>
      </c>
      <c r="DM37" s="52" t="str">
        <f t="shared" ref="DM37" si="471">DL37</f>
        <v/>
      </c>
      <c r="DN37" s="52">
        <f t="shared" ref="DN37:DN42" si="472">IF(R37="","",DATE($K$2,BQ37,R37))</f>
        <v>46296</v>
      </c>
      <c r="DO37" s="52">
        <f t="shared" ref="DO37" si="473">DN37</f>
        <v>46296</v>
      </c>
      <c r="DP37" s="52">
        <f t="shared" ref="DP37:DP42" si="474">IF(T37="","",DATE($K$2,BS37,T37))</f>
        <v>46297</v>
      </c>
      <c r="DQ37" s="52">
        <f t="shared" ref="DQ37" si="475">DP37</f>
        <v>46297</v>
      </c>
      <c r="DR37" s="52">
        <f t="shared" ref="DR37:DR42" si="476">IF(V37="","",DATE($K$2,BU37,V37))</f>
        <v>46298</v>
      </c>
      <c r="DS37" s="52">
        <f t="shared" ref="DS37" si="477">DR37</f>
        <v>46298</v>
      </c>
      <c r="DT37" s="52">
        <f t="shared" ref="DT37:DT42" si="478">IF(X37="","",DATE($K$2,BW37,X37))</f>
        <v>46299</v>
      </c>
      <c r="DU37" s="53">
        <f t="shared" ref="DU37" si="479">DT37</f>
        <v>46299</v>
      </c>
      <c r="DX37" s="51" t="str">
        <f>IF(AB37="","",DATE($K$2,CA37,AB37))</f>
        <v/>
      </c>
      <c r="DY37" s="52" t="str">
        <f>DX37</f>
        <v/>
      </c>
      <c r="DZ37" s="52" t="str">
        <f t="shared" ref="DZ37:DZ42" si="480">IF(AD37="","",DATE($K$2,CC37,AD37))</f>
        <v/>
      </c>
      <c r="EA37" s="52" t="str">
        <f t="shared" ref="EA37" si="481">DZ37</f>
        <v/>
      </c>
      <c r="EB37" s="52" t="str">
        <f t="shared" ref="EB37:EB42" si="482">IF(AF37="","",DATE($K$2,CE37,AF37))</f>
        <v/>
      </c>
      <c r="EC37" s="52" t="str">
        <f t="shared" ref="EC37" si="483">EB37</f>
        <v/>
      </c>
      <c r="ED37" s="52" t="str">
        <f t="shared" ref="ED37:ED42" si="484">IF(AH37="","",DATE($K$2,CG37,AH37))</f>
        <v/>
      </c>
      <c r="EE37" s="52" t="str">
        <f t="shared" ref="EE37" si="485">ED37</f>
        <v/>
      </c>
      <c r="EF37" s="52" t="str">
        <f t="shared" ref="EF37:EF42" si="486">IF(AJ37="","",DATE($K$2,CI37,AJ37))</f>
        <v/>
      </c>
      <c r="EG37" s="52" t="str">
        <f t="shared" ref="EG37" si="487">EF37</f>
        <v/>
      </c>
      <c r="EH37" s="52" t="str">
        <f t="shared" ref="EH37:EH42" si="488">IF(AL37="","",DATE($K$2,CK37,AL37))</f>
        <v/>
      </c>
      <c r="EI37" s="52" t="str">
        <f t="shared" ref="EI37" si="489">EH37</f>
        <v/>
      </c>
      <c r="EJ37" s="52">
        <f t="shared" ref="EJ37:EJ42" si="490">IF(AN37="","",DATE($K$2,CM37,AN37))</f>
        <v>46327</v>
      </c>
      <c r="EK37" s="53">
        <f t="shared" ref="EK37:EK42" si="491">EJ37</f>
        <v>46327</v>
      </c>
      <c r="EN37" s="51" t="str">
        <f>IF(AR37="","",DATE($K$2,CQ37,AR37))</f>
        <v/>
      </c>
      <c r="EO37" s="52" t="str">
        <f>EN37</f>
        <v/>
      </c>
      <c r="EP37" s="52">
        <f t="shared" ref="EP37:EP42" si="492">IF(AT37="","",DATE($K$2,CS37,AT37))</f>
        <v>46357</v>
      </c>
      <c r="EQ37" s="52">
        <f t="shared" ref="EQ37" si="493">EP37</f>
        <v>46357</v>
      </c>
      <c r="ER37" s="52">
        <f t="shared" ref="ER37:ER42" si="494">IF(AV37="","",DATE($K$2,CU37,AV37))</f>
        <v>46358</v>
      </c>
      <c r="ES37" s="52">
        <f t="shared" ref="ES37" si="495">ER37</f>
        <v>46358</v>
      </c>
      <c r="ET37" s="52">
        <f t="shared" ref="ET37:ET42" si="496">IF(AX37="","",DATE($K$2,CW37,AX37))</f>
        <v>46359</v>
      </c>
      <c r="EU37" s="52">
        <f t="shared" ref="EU37" si="497">ET37</f>
        <v>46359</v>
      </c>
      <c r="EV37" s="52">
        <f t="shared" ref="EV37:EV42" si="498">IF(AZ37="","",DATE($K$2,CY37,AZ37))</f>
        <v>46360</v>
      </c>
      <c r="EW37" s="52">
        <f t="shared" ref="EW37" si="499">EV37</f>
        <v>46360</v>
      </c>
      <c r="EX37" s="52">
        <f t="shared" ref="EX37:EX42" si="500">IF(BB37="","",DATE($K$2,DA37,BB37))</f>
        <v>46361</v>
      </c>
      <c r="EY37" s="52">
        <f t="shared" ref="EY37" si="501">EX37</f>
        <v>46361</v>
      </c>
      <c r="EZ37" s="52">
        <f t="shared" ref="EZ37:EZ42" si="502">IF(BD37="","",DATE($K$2,DC37,BD37))</f>
        <v>46362</v>
      </c>
      <c r="FA37" s="53">
        <f t="shared" ref="FA37:FA42" si="503">EZ37</f>
        <v>46362</v>
      </c>
      <c r="FE37" s="54">
        <f>COUNTIFS(Parameters!$S:$S,$D$4,Parameters!$Q:$Q,DH37)</f>
        <v>0</v>
      </c>
      <c r="FF37" s="55">
        <f>COUNTIFS(Parameters!$S:$S,$D$4,Parameters!$Q:$Q,DI37)</f>
        <v>0</v>
      </c>
      <c r="FG37" s="55">
        <f>COUNTIFS(Parameters!$S:$S,$D$4,Parameters!$Q:$Q,DJ37)</f>
        <v>0</v>
      </c>
      <c r="FH37" s="55">
        <f>COUNTIFS(Parameters!$S:$S,$D$4,Parameters!$Q:$Q,DK37)</f>
        <v>0</v>
      </c>
      <c r="FI37" s="55">
        <f>COUNTIFS(Parameters!$S:$S,$D$4,Parameters!$Q:$Q,DL37)</f>
        <v>0</v>
      </c>
      <c r="FJ37" s="55">
        <f>COUNTIFS(Parameters!$S:$S,$D$4,Parameters!$Q:$Q,DM37)</f>
        <v>0</v>
      </c>
      <c r="FK37" s="55">
        <f>COUNTIFS(Parameters!$S:$S,$D$4,Parameters!$Q:$Q,DN37)</f>
        <v>0</v>
      </c>
      <c r="FL37" s="55">
        <f>COUNTIFS(Parameters!$S:$S,$D$4,Parameters!$Q:$Q,DO37)</f>
        <v>0</v>
      </c>
      <c r="FM37" s="55">
        <f>COUNTIFS(Parameters!$S:$S,$D$4,Parameters!$Q:$Q,DP37)</f>
        <v>0</v>
      </c>
      <c r="FN37" s="55">
        <f>COUNTIFS(Parameters!$S:$S,$D$4,Parameters!$Q:$Q,DQ37)</f>
        <v>0</v>
      </c>
      <c r="FO37" s="55">
        <f>COUNTIFS(Parameters!$S:$S,$D$4,Parameters!$Q:$Q,DR37)</f>
        <v>0</v>
      </c>
      <c r="FP37" s="55">
        <f>COUNTIFS(Parameters!$S:$S,$D$4,Parameters!$Q:$Q,DS37)</f>
        <v>0</v>
      </c>
      <c r="FQ37" s="55">
        <f>COUNTIFS(Parameters!$S:$S,$D$4,Parameters!$Q:$Q,DT37)</f>
        <v>0</v>
      </c>
      <c r="FR37" s="56">
        <f>COUNTIFS(Parameters!$S:$S,$D$4,Parameters!$Q:$Q,DU37)</f>
        <v>0</v>
      </c>
      <c r="FU37" s="54">
        <f>COUNTIFS(Parameters!$S:$S,$D$4,Parameters!$Q:$Q,DX37)</f>
        <v>0</v>
      </c>
      <c r="FV37" s="55">
        <f>COUNTIFS(Parameters!$S:$S,$D$4,Parameters!$Q:$Q,DY37)</f>
        <v>0</v>
      </c>
      <c r="FW37" s="55">
        <f>COUNTIFS(Parameters!$S:$S,$D$4,Parameters!$Q:$Q,DZ37)</f>
        <v>0</v>
      </c>
      <c r="FX37" s="55">
        <f>COUNTIFS(Parameters!$S:$S,$D$4,Parameters!$Q:$Q,EA37)</f>
        <v>0</v>
      </c>
      <c r="FY37" s="55">
        <f>COUNTIFS(Parameters!$S:$S,$D$4,Parameters!$Q:$Q,EB37)</f>
        <v>0</v>
      </c>
      <c r="FZ37" s="55">
        <f>COUNTIFS(Parameters!$S:$S,$D$4,Parameters!$Q:$Q,EC37)</f>
        <v>0</v>
      </c>
      <c r="GA37" s="55">
        <f>COUNTIFS(Parameters!$S:$S,$D$4,Parameters!$Q:$Q,ED37)</f>
        <v>0</v>
      </c>
      <c r="GB37" s="55">
        <f>COUNTIFS(Parameters!$S:$S,$D$4,Parameters!$Q:$Q,EE37)</f>
        <v>0</v>
      </c>
      <c r="GC37" s="55">
        <f>COUNTIFS(Parameters!$S:$S,$D$4,Parameters!$Q:$Q,EF37)</f>
        <v>0</v>
      </c>
      <c r="GD37" s="55">
        <f>COUNTIFS(Parameters!$S:$S,$D$4,Parameters!$Q:$Q,EG37)</f>
        <v>0</v>
      </c>
      <c r="GE37" s="55">
        <f>COUNTIFS(Parameters!$S:$S,$D$4,Parameters!$Q:$Q,EH37)</f>
        <v>0</v>
      </c>
      <c r="GF37" s="55">
        <f>COUNTIFS(Parameters!$S:$S,$D$4,Parameters!$Q:$Q,EI37)</f>
        <v>0</v>
      </c>
      <c r="GG37" s="55">
        <f>COUNTIFS(Parameters!$S:$S,$D$4,Parameters!$Q:$Q,EJ37)</f>
        <v>0</v>
      </c>
      <c r="GH37" s="56">
        <f>COUNTIFS(Parameters!$S:$S,$D$4,Parameters!$Q:$Q,EK37)</f>
        <v>0</v>
      </c>
      <c r="GK37" s="54">
        <f>COUNTIFS(Parameters!$S:$S,$D$4,Parameters!$Q:$Q,EN37)</f>
        <v>0</v>
      </c>
      <c r="GL37" s="55">
        <f>COUNTIFS(Parameters!$S:$S,$D$4,Parameters!$Q:$Q,EO37)</f>
        <v>0</v>
      </c>
      <c r="GM37" s="55">
        <f>COUNTIFS(Parameters!$S:$S,$D$4,Parameters!$Q:$Q,EP37)</f>
        <v>0</v>
      </c>
      <c r="GN37" s="55">
        <f>COUNTIFS(Parameters!$S:$S,$D$4,Parameters!$Q:$Q,EQ37)</f>
        <v>0</v>
      </c>
      <c r="GO37" s="55">
        <f>COUNTIFS(Parameters!$S:$S,$D$4,Parameters!$Q:$Q,ER37)</f>
        <v>0</v>
      </c>
      <c r="GP37" s="55">
        <f>COUNTIFS(Parameters!$S:$S,$D$4,Parameters!$Q:$Q,ES37)</f>
        <v>0</v>
      </c>
      <c r="GQ37" s="55">
        <f>COUNTIFS(Parameters!$S:$S,$D$4,Parameters!$Q:$Q,ET37)</f>
        <v>0</v>
      </c>
      <c r="GR37" s="55">
        <f>COUNTIFS(Parameters!$S:$S,$D$4,Parameters!$Q:$Q,EU37)</f>
        <v>0</v>
      </c>
      <c r="GS37" s="55">
        <f>COUNTIFS(Parameters!$S:$S,$D$4,Parameters!$Q:$Q,EV37)</f>
        <v>0</v>
      </c>
      <c r="GT37" s="55">
        <f>COUNTIFS(Parameters!$S:$S,$D$4,Parameters!$Q:$Q,EW37)</f>
        <v>0</v>
      </c>
      <c r="GU37" s="55">
        <f>COUNTIFS(Parameters!$S:$S,$D$4,Parameters!$Q:$Q,EX37)</f>
        <v>0</v>
      </c>
      <c r="GV37" s="55">
        <f>COUNTIFS(Parameters!$S:$S,$D$4,Parameters!$Q:$Q,EY37)</f>
        <v>0</v>
      </c>
      <c r="GW37" s="55">
        <f>COUNTIFS(Parameters!$S:$S,$D$4,Parameters!$Q:$Q,EZ37)</f>
        <v>0</v>
      </c>
      <c r="GX37" s="56">
        <f>COUNTIFS(Parameters!$S:$S,$D$4,Parameters!$Q:$Q,FA37)</f>
        <v>0</v>
      </c>
      <c r="HB37" s="54" t="str">
        <f>IF(DH37="","",COUNTIFS($D$25:$D$267,Parameters!$K$2,$E$25:$E$267,Parameters!$M$2,Calendrier!$C$25:$C$267,DH37)+ COUNTIFS($D$25:$D$267,Parameters!$K$3,$E$25:$E$267,Parameters!$M$2,Calendrier!$C$25:$C$267,DH37))</f>
        <v/>
      </c>
      <c r="HC37" s="55" t="str">
        <f>IF(DI37="","",COUNTIFS($D$25:$D$267,Parameters!$K$2,$E$25:$E$267,Parameters!$M$2,Calendrier!$C$25:$C$267,DI37)+ COUNTIFS($D$25:$D$267,Parameters!$K$4,$E$25:$E$267,Parameters!$M$2,Calendrier!$C$25:$C$267,DI37))</f>
        <v/>
      </c>
      <c r="HD37" s="55" t="str">
        <f>IF(DJ37="","",COUNTIFS($D$25:$D$267,Parameters!$K$2,$E$25:$E$267,Parameters!$M$2,Calendrier!$C$25:$C$267,DJ37)+ COUNTIFS($D$25:$D$267,Parameters!$K$3,$E$25:$E$267,Parameters!$M$2,Calendrier!$C$25:$C$267,DJ37))</f>
        <v/>
      </c>
      <c r="HE37" s="55" t="str">
        <f>IF(DK37="","",COUNTIFS($D$25:$D$267,Parameters!$K$2,$E$25:$E$267,Parameters!$M$2,Calendrier!$C$25:$C$267,DK37)+ COUNTIFS($D$25:$D$267,Parameters!$K$4,$E$25:$E$267,Parameters!$M$2,Calendrier!$C$25:$C$267,DK37))</f>
        <v/>
      </c>
      <c r="HF37" s="55" t="str">
        <f>IF(DL37="","",COUNTIFS($D$25:$D$267,Parameters!$K$2,$E$25:$E$267,Parameters!$M$2,Calendrier!$C$25:$C$267,DL37)+ COUNTIFS($D$25:$D$267,Parameters!$K$3,$E$25:$E$267,Parameters!$M$2,Calendrier!$C$25:$C$267,DL37))</f>
        <v/>
      </c>
      <c r="HG37" s="55" t="str">
        <f>IF(DM37="","",COUNTIFS($D$25:$D$267,Parameters!$K$2,$E$25:$E$267,Parameters!$M$2,Calendrier!$C$25:$C$267,DM37)+ COUNTIFS($D$25:$D$267,Parameters!$K$4,$E$25:$E$267,Parameters!$M$2,Calendrier!$C$25:$C$267,DM37))</f>
        <v/>
      </c>
      <c r="HH37" s="55">
        <f>IF(DN37="","",COUNTIFS($D$25:$D$267,Parameters!$K$2,$E$25:$E$267,Parameters!$M$2,Calendrier!$C$25:$C$267,DN37)+ COUNTIFS($D$25:$D$267,Parameters!$K$3,$E$25:$E$267,Parameters!$M$2,Calendrier!$C$25:$C$267,DN37))</f>
        <v>0</v>
      </c>
      <c r="HI37" s="55">
        <f>IF(DO37="","",COUNTIFS($D$25:$D$267,Parameters!$K$2,$E$25:$E$267,Parameters!$M$2,Calendrier!$C$25:$C$267,DO37)+ COUNTIFS($D$25:$D$267,Parameters!$K$4,$E$25:$E$267,Parameters!$M$2,Calendrier!$C$25:$C$267,DO37))</f>
        <v>0</v>
      </c>
      <c r="HJ37" s="55">
        <f>IF(DP37="","",COUNTIFS($D$25:$D$267,Parameters!$K$2,$E$25:$E$267,Parameters!$M$2,Calendrier!$C$25:$C$267,DP37)+ COUNTIFS($D$25:$D$267,Parameters!$K$3,$E$25:$E$267,Parameters!$M$2,Calendrier!$C$25:$C$267,DP37))</f>
        <v>0</v>
      </c>
      <c r="HK37" s="55">
        <f>IF(DQ37="","",COUNTIFS($D$25:$D$267,Parameters!$K$2,$E$25:$E$267,Parameters!$M$2,Calendrier!$C$25:$C$267,DQ37)+ COUNTIFS($D$25:$D$267,Parameters!$K$4,$E$25:$E$267,Parameters!$M$2,Calendrier!$C$25:$C$267,DQ37))</f>
        <v>0</v>
      </c>
      <c r="HL37" s="55">
        <f>IF(DR37="","",COUNTIFS($D$25:$D$267,Parameters!$K$2,$E$25:$E$267,Parameters!$M$2,Calendrier!$C$25:$C$267,DR37)+ COUNTIFS($D$25:$D$267,Parameters!$K$3,$E$25:$E$267,Parameters!$M$2,Calendrier!$C$25:$C$267,DR37))</f>
        <v>0</v>
      </c>
      <c r="HM37" s="55">
        <f>IF(DS37="","",COUNTIFS($D$25:$D$267,Parameters!$K$2,$E$25:$E$267,Parameters!$M$2,Calendrier!$C$25:$C$267,DS37)+ COUNTIFS($D$25:$D$267,Parameters!$K$4,$E$25:$E$267,Parameters!$M$2,Calendrier!$C$25:$C$267,DS37))</f>
        <v>0</v>
      </c>
      <c r="HN37" s="55">
        <f>IF(DT37="","",COUNTIFS($D$25:$D$267,Parameters!$K$2,$E$25:$E$267,Parameters!$M$2,Calendrier!$C$25:$C$267,DT37)+ COUNTIFS($D$25:$D$267,Parameters!$K$3,$E$25:$E$267,Parameters!$M$2,Calendrier!$C$25:$C$267,DT37))</f>
        <v>0</v>
      </c>
      <c r="HO37" s="56">
        <f>IF(DU37="","",COUNTIFS($D$25:$D$267,Parameters!$K$2,$E$25:$E$267,Parameters!$M$2,Calendrier!$C$25:$C$267,DU37)+ COUNTIFS($D$25:$D$267,Parameters!$K$4,$E$25:$E$267,Parameters!$M$2,Calendrier!$C$25:$C$267,DU37))</f>
        <v>0</v>
      </c>
      <c r="HR37" s="54" t="str">
        <f>IF(DX37="","",COUNTIFS($D$25:$D$267,Parameters!$K$2,$E$25:$E$267,Parameters!$M$2,Calendrier!$C$25:$C$267,DX37)+ COUNTIFS($D$25:$D$267,Parameters!$K$3,$E$25:$E$267,Parameters!$M$2,Calendrier!$C$25:$C$267,DX37))</f>
        <v/>
      </c>
      <c r="HS37" s="55" t="str">
        <f>IF(DY37="","",COUNTIFS($D$25:$D$267,Parameters!$K$2,$E$25:$E$267,Parameters!$M$2,Calendrier!$C$25:$C$267,DY37)+ COUNTIFS($D$25:$D$267,Parameters!$K$4,$E$25:$E$267,Parameters!$M$2,Calendrier!$C$25:$C$267,DY37))</f>
        <v/>
      </c>
      <c r="HT37" s="55" t="str">
        <f>IF(DZ37="","",COUNTIFS($D$25:$D$267,Parameters!$K$2,$E$25:$E$267,Parameters!$M$2,Calendrier!$C$25:$C$267,DZ37)+ COUNTIFS($D$25:$D$267,Parameters!$K$3,$E$25:$E$267,Parameters!$M$2,Calendrier!$C$25:$C$267,DZ37))</f>
        <v/>
      </c>
      <c r="HU37" s="55" t="str">
        <f>IF(EA37="","",COUNTIFS($D$25:$D$267,Parameters!$K$2,$E$25:$E$267,Parameters!$M$2,Calendrier!$C$25:$C$267,EA37)+ COUNTIFS($D$25:$D$267,Parameters!$K$4,$E$25:$E$267,Parameters!$M$2,Calendrier!$C$25:$C$267,EA37))</f>
        <v/>
      </c>
      <c r="HV37" s="55" t="str">
        <f>IF(EB37="","",COUNTIFS($D$25:$D$267,Parameters!$K$2,$E$25:$E$267,Parameters!$M$2,Calendrier!$C$25:$C$267,EB37)+ COUNTIFS($D$25:$D$267,Parameters!$K$3,$E$25:$E$267,Parameters!$M$2,Calendrier!$C$25:$C$267,EB37))</f>
        <v/>
      </c>
      <c r="HW37" s="55" t="str">
        <f>IF(EC37="","",COUNTIFS($D$25:$D$267,Parameters!$K$2,$E$25:$E$267,Parameters!$M$2,Calendrier!$C$25:$C$267,EC37)+ COUNTIFS($D$25:$D$267,Parameters!$K$4,$E$25:$E$267,Parameters!$M$2,Calendrier!$C$25:$C$267,EC37))</f>
        <v/>
      </c>
      <c r="HX37" s="55" t="str">
        <f>IF(ED37="","",COUNTIFS($D$25:$D$267,Parameters!$K$2,$E$25:$E$267,Parameters!$M$2,Calendrier!$C$25:$C$267,ED37)+ COUNTIFS($D$25:$D$267,Parameters!$K$3,$E$25:$E$267,Parameters!$M$2,Calendrier!$C$25:$C$267,ED37))</f>
        <v/>
      </c>
      <c r="HY37" s="55" t="str">
        <f>IF(EE37="","",COUNTIFS($D$25:$D$267,Parameters!$K$2,$E$25:$E$267,Parameters!$M$2,Calendrier!$C$25:$C$267,EE37)+ COUNTIFS($D$25:$D$267,Parameters!$K$4,$E$25:$E$267,Parameters!$M$2,Calendrier!$C$25:$C$267,EE37))</f>
        <v/>
      </c>
      <c r="HZ37" s="55" t="str">
        <f>IF(EF37="","",COUNTIFS($D$25:$D$267,Parameters!$K$2,$E$25:$E$267,Parameters!$M$2,Calendrier!$C$25:$C$267,EF37)+ COUNTIFS($D$25:$D$267,Parameters!$K$3,$E$25:$E$267,Parameters!$M$2,Calendrier!$C$25:$C$267,EF37))</f>
        <v/>
      </c>
      <c r="IA37" s="55" t="str">
        <f>IF(EG37="","",COUNTIFS($D$25:$D$267,Parameters!$K$2,$E$25:$E$267,Parameters!$M$2,Calendrier!$C$25:$C$267,EG37)+ COUNTIFS($D$25:$D$267,Parameters!$K$4,$E$25:$E$267,Parameters!$M$2,Calendrier!$C$25:$C$267,EG37))</f>
        <v/>
      </c>
      <c r="IB37" s="55" t="str">
        <f>IF(EH37="","",COUNTIFS($D$25:$D$267,Parameters!$K$2,$E$25:$E$267,Parameters!$M$2,Calendrier!$C$25:$C$267,EH37)+ COUNTIFS($D$25:$D$267,Parameters!$K$3,$E$25:$E$267,Parameters!$M$2,Calendrier!$C$25:$C$267,EH37))</f>
        <v/>
      </c>
      <c r="IC37" s="55" t="str">
        <f>IF(EI37="","",COUNTIFS($D$25:$D$267,Parameters!$K$2,$E$25:$E$267,Parameters!$M$2,Calendrier!$C$25:$C$267,EI37)+ COUNTIFS($D$25:$D$267,Parameters!$K$4,$E$25:$E$267,Parameters!$M$2,Calendrier!$C$25:$C$267,EI37))</f>
        <v/>
      </c>
      <c r="ID37" s="55">
        <f>IF(EJ37="","",COUNTIFS($D$25:$D$267,Parameters!$K$2,$E$25:$E$267,Parameters!$M$2,Calendrier!$C$25:$C$267,EJ37)+ COUNTIFS($D$25:$D$267,Parameters!$K$3,$E$25:$E$267,Parameters!$M$2,Calendrier!$C$25:$C$267,EJ37))</f>
        <v>0</v>
      </c>
      <c r="IE37" s="56">
        <f>IF(EK37="","",COUNTIFS($D$25:$D$267,Parameters!$K$2,$E$25:$E$267,Parameters!$M$2,Calendrier!$C$25:$C$267,EK37)+ COUNTIFS($D$25:$D$267,Parameters!$K$4,$E$25:$E$267,Parameters!$M$2,Calendrier!$C$25:$C$267,EK37))</f>
        <v>0</v>
      </c>
      <c r="IH37" s="54" t="str">
        <f>IF(EN37="","",COUNTIFS($D$25:$D$267,Parameters!$K$2,$E$25:$E$267,Parameters!$M$2,Calendrier!$C$25:$C$267,EN37)+ COUNTIFS($D$25:$D$267,Parameters!$K$3,$E$25:$E$267,Parameters!$M$2,Calendrier!$C$25:$C$267,EN37))</f>
        <v/>
      </c>
      <c r="II37" s="55" t="str">
        <f>IF(EO37="","",COUNTIFS($D$25:$D$267,Parameters!$K$2,$E$25:$E$267,Parameters!$M$2,Calendrier!$C$25:$C$267,EO37)+ COUNTIFS($D$25:$D$267,Parameters!$K$4,$E$25:$E$267,Parameters!$M$2,Calendrier!$C$25:$C$267,EO37))</f>
        <v/>
      </c>
      <c r="IJ37" s="55">
        <f>IF(EP37="","",COUNTIFS($D$25:$D$267,Parameters!$K$2,$E$25:$E$267,Parameters!$M$2,Calendrier!$C$25:$C$267,EP37)+ COUNTIFS($D$25:$D$267,Parameters!$K$3,$E$25:$E$267,Parameters!$M$2,Calendrier!$C$25:$C$267,EP37))</f>
        <v>0</v>
      </c>
      <c r="IK37" s="55">
        <f>IF(EQ37="","",COUNTIFS($D$25:$D$267,Parameters!$K$2,$E$25:$E$267,Parameters!$M$2,Calendrier!$C$25:$C$267,EQ37)+ COUNTIFS($D$25:$D$267,Parameters!$K$4,$E$25:$E$267,Parameters!$M$2,Calendrier!$C$25:$C$267,EQ37))</f>
        <v>0</v>
      </c>
      <c r="IL37" s="55">
        <f>IF(ER37="","",COUNTIFS($D$25:$D$267,Parameters!$K$2,$E$25:$E$267,Parameters!$M$2,Calendrier!$C$25:$C$267,ER37)+ COUNTIFS($D$25:$D$267,Parameters!$K$3,$E$25:$E$267,Parameters!$M$2,Calendrier!$C$25:$C$267,ER37))</f>
        <v>0</v>
      </c>
      <c r="IM37" s="55">
        <f>IF(ES37="","",COUNTIFS($D$25:$D$267,Parameters!$K$2,$E$25:$E$267,Parameters!$M$2,Calendrier!$C$25:$C$267,ES37)+ COUNTIFS($D$25:$D$267,Parameters!$K$4,$E$25:$E$267,Parameters!$M$2,Calendrier!$C$25:$C$267,ES37))</f>
        <v>0</v>
      </c>
      <c r="IN37" s="55">
        <f>IF(ET37="","",COUNTIFS($D$25:$D$267,Parameters!$K$2,$E$25:$E$267,Parameters!$M$2,Calendrier!$C$25:$C$267,ET37)+ COUNTIFS($D$25:$D$267,Parameters!$K$3,$E$25:$E$267,Parameters!$M$2,Calendrier!$C$25:$C$267,ET37))</f>
        <v>0</v>
      </c>
      <c r="IO37" s="55">
        <f>IF(EU37="","",COUNTIFS($D$25:$D$267,Parameters!$K$2,$E$25:$E$267,Parameters!$M$2,Calendrier!$C$25:$C$267,EU37)+ COUNTIFS($D$25:$D$267,Parameters!$K$4,$E$25:$E$267,Parameters!$M$2,Calendrier!$C$25:$C$267,EU37))</f>
        <v>0</v>
      </c>
      <c r="IP37" s="55">
        <f>IF(EV37="","",COUNTIFS($D$25:$D$267,Parameters!$K$2,$E$25:$E$267,Parameters!$M$2,Calendrier!$C$25:$C$267,EV37)+ COUNTIFS($D$25:$D$267,Parameters!$K$3,$E$25:$E$267,Parameters!$M$2,Calendrier!$C$25:$C$267,EV37))</f>
        <v>0</v>
      </c>
      <c r="IQ37" s="55">
        <f>IF(EW37="","",COUNTIFS($D$25:$D$267,Parameters!$K$2,$E$25:$E$267,Parameters!$M$2,Calendrier!$C$25:$C$267,EW37)+ COUNTIFS($D$25:$D$267,Parameters!$K$4,$E$25:$E$267,Parameters!$M$2,Calendrier!$C$25:$C$267,EW37))</f>
        <v>0</v>
      </c>
      <c r="IR37" s="55">
        <f>IF(EX37="","",COUNTIFS($D$25:$D$267,Parameters!$K$2,$E$25:$E$267,Parameters!$M$2,Calendrier!$C$25:$C$267,EX37)+ COUNTIFS($D$25:$D$267,Parameters!$K$3,$E$25:$E$267,Parameters!$M$2,Calendrier!$C$25:$C$267,EX37))</f>
        <v>0</v>
      </c>
      <c r="IS37" s="55">
        <f>IF(EY37="","",COUNTIFS($D$25:$D$267,Parameters!$K$2,$E$25:$E$267,Parameters!$M$2,Calendrier!$C$25:$C$267,EY37)+ COUNTIFS($D$25:$D$267,Parameters!$K$4,$E$25:$E$267,Parameters!$M$2,Calendrier!$C$25:$C$267,EY37))</f>
        <v>0</v>
      </c>
      <c r="IT37" s="55">
        <f>IF(EZ37="","",COUNTIFS($D$25:$D$267,Parameters!$K$2,$E$25:$E$267,Parameters!$M$2,Calendrier!$C$25:$C$267,EZ37)+ COUNTIFS($D$25:$D$267,Parameters!$K$3,$E$25:$E$267,Parameters!$M$2,Calendrier!$C$25:$C$267,EZ37))</f>
        <v>0</v>
      </c>
      <c r="IU37" s="56">
        <f>IF(FA37="","",COUNTIFS($D$25:$D$267,Parameters!$K$2,$E$25:$E$267,Parameters!$M$2,Calendrier!$C$25:$C$267,FA37)+ COUNTIFS($D$25:$D$267,Parameters!$K$4,$E$25:$E$267,Parameters!$M$2,Calendrier!$C$25:$C$267,FA37))</f>
        <v>0</v>
      </c>
      <c r="IY37" s="54" t="str">
        <f>IF(DH37="","",COUNTIFS($D$25:$D$267,Parameters!$K$2,$E$25:$E$267,Parameters!$M$3,Calendrier!$C$25:$C$267,DH37)+ COUNTIFS($D$25:$D$267,Parameters!$K$3,$E$25:$E$267,Parameters!$M$3,Calendrier!$C$25:$C$267,DH37))</f>
        <v/>
      </c>
      <c r="IZ37" s="55" t="str">
        <f>IF(DI37="","",COUNTIFS($D$25:$D$267,Parameters!$K$2,$E$25:$E$267,Parameters!$M$3,Calendrier!$C$25:$C$267,DI37)+ COUNTIFS($D$25:$D$267,Parameters!$K$4,$E$25:$E$267,Parameters!$M$3,Calendrier!$C$25:$C$267,DI37))</f>
        <v/>
      </c>
      <c r="JA37" s="55" t="str">
        <f>IF(DJ37="","",COUNTIFS($D$25:$D$267,Parameters!$K$2,$E$25:$E$267,Parameters!$M$3,Calendrier!$C$25:$C$267,DJ37)+ COUNTIFS($D$25:$D$267,Parameters!$K$3,$E$25:$E$267,Parameters!$M$3,Calendrier!$C$25:$C$267,DJ37))</f>
        <v/>
      </c>
      <c r="JB37" s="55" t="str">
        <f>IF(DK37="","",COUNTIFS($D$25:$D$267,Parameters!$K$2,$E$25:$E$267,Parameters!$M$3,Calendrier!$C$25:$C$267,DK37)+ COUNTIFS($D$25:$D$267,Parameters!$K$4,$E$25:$E$267,Parameters!$M$3,Calendrier!$C$25:$C$267,DK37))</f>
        <v/>
      </c>
      <c r="JC37" s="55" t="str">
        <f>IF(DL37="","",COUNTIFS($D$25:$D$267,Parameters!$K$2,$E$25:$E$267,Parameters!$M$3,Calendrier!$C$25:$C$267,DL37)+ COUNTIFS($D$25:$D$267,Parameters!$K$3,$E$25:$E$267,Parameters!$M$3,Calendrier!$C$25:$C$267,DL37))</f>
        <v/>
      </c>
      <c r="JD37" s="55" t="str">
        <f>IF(DM37="","",COUNTIFS($D$25:$D$267,Parameters!$K$2,$E$25:$E$267,Parameters!$M$3,Calendrier!$C$25:$C$267,DM37)+ COUNTIFS($D$25:$D$267,Parameters!$K$4,$E$25:$E$267,Parameters!$M$3,Calendrier!$C$25:$C$267,DM37))</f>
        <v/>
      </c>
      <c r="JE37" s="55">
        <f>IF(DN37="","",COUNTIFS($D$25:$D$267,Parameters!$K$2,$E$25:$E$267,Parameters!$M$3,Calendrier!$C$25:$C$267,DN37)+ COUNTIFS($D$25:$D$267,Parameters!$K$3,$E$25:$E$267,Parameters!$M$3,Calendrier!$C$25:$C$267,DN37))</f>
        <v>0</v>
      </c>
      <c r="JF37" s="55">
        <f>IF(DO37="","",COUNTIFS($D$25:$D$267,Parameters!$K$2,$E$25:$E$267,Parameters!$M$3,Calendrier!$C$25:$C$267,DO37)+ COUNTIFS($D$25:$D$267,Parameters!$K$4,$E$25:$E$267,Parameters!$M$3,Calendrier!$C$25:$C$267,DO37))</f>
        <v>0</v>
      </c>
      <c r="JG37" s="55">
        <f>IF(DP37="","",COUNTIFS($D$25:$D$267,Parameters!$K$2,$E$25:$E$267,Parameters!$M$3,Calendrier!$C$25:$C$267,DP37)+ COUNTIFS($D$25:$D$267,Parameters!$K$3,$E$25:$E$267,Parameters!$M$3,Calendrier!$C$25:$C$267,DP37))</f>
        <v>0</v>
      </c>
      <c r="JH37" s="55">
        <f>IF(DQ37="","",COUNTIFS($D$25:$D$267,Parameters!$K$2,$E$25:$E$267,Parameters!$M$3,Calendrier!$C$25:$C$267,DQ37)+ COUNTIFS($D$25:$D$267,Parameters!$K$4,$E$25:$E$267,Parameters!$M$3,Calendrier!$C$25:$C$267,DQ37))</f>
        <v>0</v>
      </c>
      <c r="JI37" s="55">
        <f>IF(DR37="","",COUNTIFS($D$25:$D$267,Parameters!$K$2,$E$25:$E$267,Parameters!$M$3,Calendrier!$C$25:$C$267,DR37)+ COUNTIFS($D$25:$D$267,Parameters!$K$3,$E$25:$E$267,Parameters!$M$3,Calendrier!$C$25:$C$267,DR37))</f>
        <v>0</v>
      </c>
      <c r="JJ37" s="55">
        <f>IF(DS37="","",COUNTIFS($D$25:$D$267,Parameters!$K$2,$E$25:$E$267,Parameters!$M$3,Calendrier!$C$25:$C$267,DS37)+ COUNTIFS($D$25:$D$267,Parameters!$K$4,$E$25:$E$267,Parameters!$M$3,Calendrier!$C$25:$C$267,DS37))</f>
        <v>0</v>
      </c>
      <c r="JK37" s="55">
        <f>IF(DT37="","",COUNTIFS($D$25:$D$267,Parameters!$K$2,$E$25:$E$267,Parameters!$M$3,Calendrier!$C$25:$C$267,DT37)+ COUNTIFS($D$25:$D$267,Parameters!$K$3,$E$25:$E$267,Parameters!$M$3,Calendrier!$C$25:$C$267,DT37))</f>
        <v>0</v>
      </c>
      <c r="JL37" s="56">
        <f>IF(DU37="","",COUNTIFS($D$25:$D$267,Parameters!$K$2,$E$25:$E$267,Parameters!$M$3,Calendrier!$C$25:$C$267,DU37)+ COUNTIFS($D$25:$D$267,Parameters!$K$4,$E$25:$E$267,Parameters!$M$3,Calendrier!$C$25:$C$267,DU37))</f>
        <v>0</v>
      </c>
      <c r="JO37" s="54" t="str">
        <f>IF(DX37="","",COUNTIFS($D$25:$D$267,Parameters!$K$2,$E$25:$E$267,Parameters!$M$3,Calendrier!$C$25:$C$267,DX37)+ COUNTIFS($D$25:$D$267,Parameters!$K$3,$E$25:$E$267,Parameters!$M$3,Calendrier!$C$25:$C$267,DX37))</f>
        <v/>
      </c>
      <c r="JP37" s="55" t="str">
        <f>IF(DY37="","",COUNTIFS($D$25:$D$267,Parameters!$K$2,$E$25:$E$267,Parameters!$M$3,Calendrier!$C$25:$C$267,DY37)+ COUNTIFS($D$25:$D$267,Parameters!$K$4,$E$25:$E$267,Parameters!$M$3,Calendrier!$C$25:$C$267,DY37))</f>
        <v/>
      </c>
      <c r="JQ37" s="55" t="str">
        <f>IF(DZ37="","",COUNTIFS($D$25:$D$267,Parameters!$K$2,$E$25:$E$267,Parameters!$M$3,Calendrier!$C$25:$C$267,DZ37)+ COUNTIFS($D$25:$D$267,Parameters!$K$3,$E$25:$E$267,Parameters!$M$3,Calendrier!$C$25:$C$267,DZ37))</f>
        <v/>
      </c>
      <c r="JR37" s="55" t="str">
        <f>IF(EA37="","",COUNTIFS($D$25:$D$267,Parameters!$K$2,$E$25:$E$267,Parameters!$M$3,Calendrier!$C$25:$C$267,EA37)+ COUNTIFS($D$25:$D$267,Parameters!$K$4,$E$25:$E$267,Parameters!$M$3,Calendrier!$C$25:$C$267,EA37))</f>
        <v/>
      </c>
      <c r="JS37" s="55" t="str">
        <f>IF(EB37="","",COUNTIFS($D$25:$D$267,Parameters!$K$2,$E$25:$E$267,Parameters!$M$3,Calendrier!$C$25:$C$267,EB37)+ COUNTIFS($D$25:$D$267,Parameters!$K$3,$E$25:$E$267,Parameters!$M$3,Calendrier!$C$25:$C$267,EB37))</f>
        <v/>
      </c>
      <c r="JT37" s="55" t="str">
        <f>IF(EC37="","",COUNTIFS($D$25:$D$267,Parameters!$K$2,$E$25:$E$267,Parameters!$M$3,Calendrier!$C$25:$C$267,EC37)+ COUNTIFS($D$25:$D$267,Parameters!$K$4,$E$25:$E$267,Parameters!$M$3,Calendrier!$C$25:$C$267,EC37))</f>
        <v/>
      </c>
      <c r="JU37" s="55" t="str">
        <f>IF(ED37="","",COUNTIFS($D$25:$D$267,Parameters!$K$2,$E$25:$E$267,Parameters!$M$3,Calendrier!$C$25:$C$267,ED37)+ COUNTIFS($D$25:$D$267,Parameters!$K$3,$E$25:$E$267,Parameters!$M$3,Calendrier!$C$25:$C$267,ED37))</f>
        <v/>
      </c>
      <c r="JV37" s="55" t="str">
        <f>IF(EE37="","",COUNTIFS($D$25:$D$267,Parameters!$K$2,$E$25:$E$267,Parameters!$M$3,Calendrier!$C$25:$C$267,EE37)+ COUNTIFS($D$25:$D$267,Parameters!$K$4,$E$25:$E$267,Parameters!$M$3,Calendrier!$C$25:$C$267,EE37))</f>
        <v/>
      </c>
      <c r="JW37" s="55" t="str">
        <f>IF(EF37="","",COUNTIFS($D$25:$D$267,Parameters!$K$2,$E$25:$E$267,Parameters!$M$3,Calendrier!$C$25:$C$267,EF37)+ COUNTIFS($D$25:$D$267,Parameters!$K$3,$E$25:$E$267,Parameters!$M$3,Calendrier!$C$25:$C$267,EF37))</f>
        <v/>
      </c>
      <c r="JX37" s="55" t="str">
        <f>IF(EG37="","",COUNTIFS($D$25:$D$267,Parameters!$K$2,$E$25:$E$267,Parameters!$M$3,Calendrier!$C$25:$C$267,EG37)+ COUNTIFS($D$25:$D$267,Parameters!$K$4,$E$25:$E$267,Parameters!$M$3,Calendrier!$C$25:$C$267,EG37))</f>
        <v/>
      </c>
      <c r="JY37" s="55" t="str">
        <f>IF(EH37="","",COUNTIFS($D$25:$D$267,Parameters!$K$2,$E$25:$E$267,Parameters!$M$3,Calendrier!$C$25:$C$267,EH37)+ COUNTIFS($D$25:$D$267,Parameters!$K$3,$E$25:$E$267,Parameters!$M$3,Calendrier!$C$25:$C$267,EH37))</f>
        <v/>
      </c>
      <c r="JZ37" s="55" t="str">
        <f>IF(EI37="","",COUNTIFS($D$25:$D$267,Parameters!$K$2,$E$25:$E$267,Parameters!$M$3,Calendrier!$C$25:$C$267,EI37)+ COUNTIFS($D$25:$D$267,Parameters!$K$4,$E$25:$E$267,Parameters!$M$3,Calendrier!$C$25:$C$267,EI37))</f>
        <v/>
      </c>
      <c r="KA37" s="55">
        <f>IF(EJ37="","",COUNTIFS($D$25:$D$267,Parameters!$K$2,$E$25:$E$267,Parameters!$M$3,Calendrier!$C$25:$C$267,EJ37)+ COUNTIFS($D$25:$D$267,Parameters!$K$3,$E$25:$E$267,Parameters!$M$3,Calendrier!$C$25:$C$267,EJ37))</f>
        <v>0</v>
      </c>
      <c r="KB37" s="56">
        <f>IF(EK37="","",COUNTIFS($D$25:$D$267,Parameters!$K$2,$E$25:$E$267,Parameters!$M$3,Calendrier!$C$25:$C$267,EK37)+ COUNTIFS($D$25:$D$267,Parameters!$K$4,$E$25:$E$267,Parameters!$M$3,Calendrier!$C$25:$C$267,EK37))</f>
        <v>0</v>
      </c>
      <c r="KE37" s="54" t="str">
        <f>IF(EN37="","",COUNTIFS($D$25:$D$267,Parameters!$K$2,$E$25:$E$267,Parameters!$M$3,Calendrier!$C$25:$C$267,EN37)+ COUNTIFS($D$25:$D$267,Parameters!$K$3,$E$25:$E$267,Parameters!$M$3,Calendrier!$C$25:$C$267,EN37))</f>
        <v/>
      </c>
      <c r="KF37" s="55" t="str">
        <f>IF(EO37="","",COUNTIFS($D$25:$D$267,Parameters!$K$2,$E$25:$E$267,Parameters!$M$3,Calendrier!$C$25:$C$267,EO37)+ COUNTIFS($D$25:$D$267,Parameters!$K$4,$E$25:$E$267,Parameters!$M$3,Calendrier!$C$25:$C$267,EO37))</f>
        <v/>
      </c>
      <c r="KG37" s="55">
        <f>IF(EP37="","",COUNTIFS($D$25:$D$267,Parameters!$K$2,$E$25:$E$267,Parameters!$M$3,Calendrier!$C$25:$C$267,EP37)+ COUNTIFS($D$25:$D$267,Parameters!$K$3,$E$25:$E$267,Parameters!$M$3,Calendrier!$C$25:$C$267,EP37))</f>
        <v>0</v>
      </c>
      <c r="KH37" s="55">
        <f>IF(EQ37="","",COUNTIFS($D$25:$D$267,Parameters!$K$2,$E$25:$E$267,Parameters!$M$3,Calendrier!$C$25:$C$267,EQ37)+ COUNTIFS($D$25:$D$267,Parameters!$K$4,$E$25:$E$267,Parameters!$M$3,Calendrier!$C$25:$C$267,EQ37))</f>
        <v>0</v>
      </c>
      <c r="KI37" s="55">
        <f>IF(ER37="","",COUNTIFS($D$25:$D$267,Parameters!$K$2,$E$25:$E$267,Parameters!$M$3,Calendrier!$C$25:$C$267,ER37)+ COUNTIFS($D$25:$D$267,Parameters!$K$3,$E$25:$E$267,Parameters!$M$3,Calendrier!$C$25:$C$267,ER37))</f>
        <v>0</v>
      </c>
      <c r="KJ37" s="55">
        <f>IF(ES37="","",COUNTIFS($D$25:$D$267,Parameters!$K$2,$E$25:$E$267,Parameters!$M$3,Calendrier!$C$25:$C$267,ES37)+ COUNTIFS($D$25:$D$267,Parameters!$K$4,$E$25:$E$267,Parameters!$M$3,Calendrier!$C$25:$C$267,ES37))</f>
        <v>0</v>
      </c>
      <c r="KK37" s="55">
        <f>IF(ET37="","",COUNTIFS($D$25:$D$267,Parameters!$K$2,$E$25:$E$267,Parameters!$M$3,Calendrier!$C$25:$C$267,ET37)+ COUNTIFS($D$25:$D$267,Parameters!$K$3,$E$25:$E$267,Parameters!$M$3,Calendrier!$C$25:$C$267,ET37))</f>
        <v>0</v>
      </c>
      <c r="KL37" s="55">
        <f>IF(EU37="","",COUNTIFS($D$25:$D$267,Parameters!$K$2,$E$25:$E$267,Parameters!$M$3,Calendrier!$C$25:$C$267,EU37)+ COUNTIFS($D$25:$D$267,Parameters!$K$4,$E$25:$E$267,Parameters!$M$3,Calendrier!$C$25:$C$267,EU37))</f>
        <v>0</v>
      </c>
      <c r="KM37" s="55">
        <f>IF(EV37="","",COUNTIFS($D$25:$D$267,Parameters!$K$2,$E$25:$E$267,Parameters!$M$3,Calendrier!$C$25:$C$267,EV37)+ COUNTIFS($D$25:$D$267,Parameters!$K$3,$E$25:$E$267,Parameters!$M$3,Calendrier!$C$25:$C$267,EV37))</f>
        <v>0</v>
      </c>
      <c r="KN37" s="55">
        <f>IF(EW37="","",COUNTIFS($D$25:$D$267,Parameters!$K$2,$E$25:$E$267,Parameters!$M$3,Calendrier!$C$25:$C$267,EW37)+ COUNTIFS($D$25:$D$267,Parameters!$K$4,$E$25:$E$267,Parameters!$M$3,Calendrier!$C$25:$C$267,EW37))</f>
        <v>0</v>
      </c>
      <c r="KO37" s="55">
        <f>IF(EX37="","",COUNTIFS($D$25:$D$267,Parameters!$K$2,$E$25:$E$267,Parameters!$M$3,Calendrier!$C$25:$C$267,EX37)+ COUNTIFS($D$25:$D$267,Parameters!$K$3,$E$25:$E$267,Parameters!$M$3,Calendrier!$C$25:$C$267,EX37))</f>
        <v>0</v>
      </c>
      <c r="KP37" s="55">
        <f>IF(EY37="","",COUNTIFS($D$25:$D$267,Parameters!$K$2,$E$25:$E$267,Parameters!$M$3,Calendrier!$C$25:$C$267,EY37)+ COUNTIFS($D$25:$D$267,Parameters!$K$4,$E$25:$E$267,Parameters!$M$3,Calendrier!$C$25:$C$267,EY37))</f>
        <v>0</v>
      </c>
      <c r="KQ37" s="55">
        <f>IF(EZ37="","",COUNTIFS($D$25:$D$267,Parameters!$K$2,$E$25:$E$267,Parameters!$M$3,Calendrier!$C$25:$C$267,EZ37)+ COUNTIFS($D$25:$D$267,Parameters!$K$3,$E$25:$E$267,Parameters!$M$3,Calendrier!$C$25:$C$267,EZ37))</f>
        <v>0</v>
      </c>
      <c r="KR37" s="56">
        <f>IF(FA37="","",COUNTIFS($D$25:$D$267,Parameters!$K$2,$E$25:$E$267,Parameters!$M$3,Calendrier!$C$25:$C$267,FA37)+ COUNTIFS($D$25:$D$267,Parameters!$K$4,$E$25:$E$267,Parameters!$M$3,Calendrier!$C$25:$C$267,FA37))</f>
        <v>0</v>
      </c>
      <c r="KV37" s="54" t="str">
        <f>IF(DH37="","",COUNTIFS($D$25:$D$267,Parameters!$K$2,$E$25:$E$267,Parameters!$M$4,Calendrier!$C$25:$C$267,DH37)+ COUNTIFS($D$25:$D$267,Parameters!$K$3,$E$25:$E$267,Parameters!$M$4,Calendrier!$C$25:$C$267,DH37))</f>
        <v/>
      </c>
      <c r="KW37" s="55" t="str">
        <f>IF(DI37="","",COUNTIFS($D$25:$D$267,Parameters!$K$2,$E$25:$E$267,Parameters!$M$4,Calendrier!$C$25:$C$267,DI37)+ COUNTIFS($D$25:$D$267,Parameters!$K$4,$E$25:$E$267,Parameters!$M$4,Calendrier!$C$25:$C$267,DI37))</f>
        <v/>
      </c>
      <c r="KX37" s="55" t="str">
        <f>IF(DJ37="","",COUNTIFS($D$25:$D$267,Parameters!$K$2,$E$25:$E$267,Parameters!$M$4,Calendrier!$C$25:$C$267,DJ37)+ COUNTIFS($D$25:$D$267,Parameters!$K$3,$E$25:$E$267,Parameters!$M$4,Calendrier!$C$25:$C$267,DJ37))</f>
        <v/>
      </c>
      <c r="KY37" s="55" t="str">
        <f>IF(DK37="","",COUNTIFS($D$25:$D$267,Parameters!$K$2,$E$25:$E$267,Parameters!$M$4,Calendrier!$C$25:$C$267,DK37)+ COUNTIFS($D$25:$D$267,Parameters!$K$4,$E$25:$E$267,Parameters!$M$4,Calendrier!$C$25:$C$267,DK37))</f>
        <v/>
      </c>
      <c r="KZ37" s="55" t="str">
        <f>IF(DL37="","",COUNTIFS($D$25:$D$267,Parameters!$K$2,$E$25:$E$267,Parameters!$M$4,Calendrier!$C$25:$C$267,DL37)+ COUNTIFS($D$25:$D$267,Parameters!$K$3,$E$25:$E$267,Parameters!$M$4,Calendrier!$C$25:$C$267,DL37))</f>
        <v/>
      </c>
      <c r="LA37" s="55" t="str">
        <f>IF(DM37="","",COUNTIFS($D$25:$D$267,Parameters!$K$2,$E$25:$E$267,Parameters!$M$4,Calendrier!$C$25:$C$267,DM37)+ COUNTIFS($D$25:$D$267,Parameters!$K$4,$E$25:$E$267,Parameters!$M$4,Calendrier!$C$25:$C$267,DM37))</f>
        <v/>
      </c>
      <c r="LB37" s="55">
        <f>IF(DN37="","",COUNTIFS($D$25:$D$267,Parameters!$K$2,$E$25:$E$267,Parameters!$M$4,Calendrier!$C$25:$C$267,DN37)+ COUNTIFS($D$25:$D$267,Parameters!$K$3,$E$25:$E$267,Parameters!$M$4,Calendrier!$C$25:$C$267,DN37))</f>
        <v>0</v>
      </c>
      <c r="LC37" s="55">
        <f>IF(DO37="","",COUNTIFS($D$25:$D$267,Parameters!$K$2,$E$25:$E$267,Parameters!$M$4,Calendrier!$C$25:$C$267,DO37)+ COUNTIFS($D$25:$D$267,Parameters!$K$4,$E$25:$E$267,Parameters!$M$4,Calendrier!$C$25:$C$267,DO37))</f>
        <v>0</v>
      </c>
      <c r="LD37" s="55">
        <f>IF(DP37="","",COUNTIFS($D$25:$D$267,Parameters!$K$2,$E$25:$E$267,Parameters!$M$4,Calendrier!$C$25:$C$267,DP37)+ COUNTIFS($D$25:$D$267,Parameters!$K$3,$E$25:$E$267,Parameters!$M$4,Calendrier!$C$25:$C$267,DP37))</f>
        <v>0</v>
      </c>
      <c r="LE37" s="55">
        <f>IF(DQ37="","",COUNTIFS($D$25:$D$267,Parameters!$K$2,$E$25:$E$267,Parameters!$M$4,Calendrier!$C$25:$C$267,DQ37)+ COUNTIFS($D$25:$D$267,Parameters!$K$4,$E$25:$E$267,Parameters!$M$4,Calendrier!$C$25:$C$267,DQ37))</f>
        <v>0</v>
      </c>
      <c r="LF37" s="55">
        <f>IF(DR37="","",COUNTIFS($D$25:$D$267,Parameters!$K$2,$E$25:$E$267,Parameters!$M$4,Calendrier!$C$25:$C$267,DR37)+ COUNTIFS($D$25:$D$267,Parameters!$K$3,$E$25:$E$267,Parameters!$M$4,Calendrier!$C$25:$C$267,DR37))</f>
        <v>0</v>
      </c>
      <c r="LG37" s="55">
        <f>IF(DS37="","",COUNTIFS($D$25:$D$267,Parameters!$K$2,$E$25:$E$267,Parameters!$M$4,Calendrier!$C$25:$C$267,DS37)+ COUNTIFS($D$25:$D$267,Parameters!$K$4,$E$25:$E$267,Parameters!$M$4,Calendrier!$C$25:$C$267,DS37))</f>
        <v>0</v>
      </c>
      <c r="LH37" s="55">
        <f>IF(DT37="","",COUNTIFS($D$25:$D$267,Parameters!$K$2,$E$25:$E$267,Parameters!$M$4,Calendrier!$C$25:$C$267,DT37)+ COUNTIFS($D$25:$D$267,Parameters!$K$3,$E$25:$E$267,Parameters!$M$4,Calendrier!$C$25:$C$267,DT37))</f>
        <v>0</v>
      </c>
      <c r="LI37" s="56">
        <f>IF(DU37="","",COUNTIFS($D$25:$D$267,Parameters!$K$2,$E$25:$E$267,Parameters!$M$4,Calendrier!$C$25:$C$267,DU37)+ COUNTIFS($D$25:$D$267,Parameters!$K$4,$E$25:$E$267,Parameters!$M$4,Calendrier!$C$25:$C$267,DU37))</f>
        <v>0</v>
      </c>
      <c r="LL37" s="54" t="str">
        <f>IF(DX37="","",COUNTIFS($D$25:$D$267,Parameters!$K$2,$E$25:$E$267,Parameters!$M$4,Calendrier!$C$25:$C$267,DX37)+ COUNTIFS($D$25:$D$267,Parameters!$K$3,$E$25:$E$267,Parameters!$M$4,Calendrier!$C$25:$C$267,DX37))</f>
        <v/>
      </c>
      <c r="LM37" s="55" t="str">
        <f>IF(DY37="","",COUNTIFS($D$25:$D$267,Parameters!$K$2,$E$25:$E$267,Parameters!$M$4,Calendrier!$C$25:$C$267,DY37)+ COUNTIFS($D$25:$D$267,Parameters!$K$4,$E$25:$E$267,Parameters!$M$4,Calendrier!$C$25:$C$267,DY37))</f>
        <v/>
      </c>
      <c r="LN37" s="55" t="str">
        <f>IF(DZ37="","",COUNTIFS($D$25:$D$267,Parameters!$K$2,$E$25:$E$267,Parameters!$M$4,Calendrier!$C$25:$C$267,DZ37)+ COUNTIFS($D$25:$D$267,Parameters!$K$3,$E$25:$E$267,Parameters!$M$4,Calendrier!$C$25:$C$267,DZ37))</f>
        <v/>
      </c>
      <c r="LO37" s="55" t="str">
        <f>IF(EA37="","",COUNTIFS($D$25:$D$267,Parameters!$K$2,$E$25:$E$267,Parameters!$M$4,Calendrier!$C$25:$C$267,EA37)+ COUNTIFS($D$25:$D$267,Parameters!$K$4,$E$25:$E$267,Parameters!$M$4,Calendrier!$C$25:$C$267,EA37))</f>
        <v/>
      </c>
      <c r="LP37" s="55" t="str">
        <f>IF(EB37="","",COUNTIFS($D$25:$D$267,Parameters!$K$2,$E$25:$E$267,Parameters!$M$4,Calendrier!$C$25:$C$267,EB37)+ COUNTIFS($D$25:$D$267,Parameters!$K$3,$E$25:$E$267,Parameters!$M$4,Calendrier!$C$25:$C$267,EB37))</f>
        <v/>
      </c>
      <c r="LQ37" s="55" t="str">
        <f>IF(EC37="","",COUNTIFS($D$25:$D$267,Parameters!$K$2,$E$25:$E$267,Parameters!$M$4,Calendrier!$C$25:$C$267,EC37)+ COUNTIFS($D$25:$D$267,Parameters!$K$4,$E$25:$E$267,Parameters!$M$4,Calendrier!$C$25:$C$267,EC37))</f>
        <v/>
      </c>
      <c r="LR37" s="55" t="str">
        <f>IF(ED37="","",COUNTIFS($D$25:$D$267,Parameters!$K$2,$E$25:$E$267,Parameters!$M$4,Calendrier!$C$25:$C$267,ED37)+ COUNTIFS($D$25:$D$267,Parameters!$K$3,$E$25:$E$267,Parameters!$M$4,Calendrier!$C$25:$C$267,ED37))</f>
        <v/>
      </c>
      <c r="LS37" s="55" t="str">
        <f>IF(EE37="","",COUNTIFS($D$25:$D$267,Parameters!$K$2,$E$25:$E$267,Parameters!$M$4,Calendrier!$C$25:$C$267,EE37)+ COUNTIFS($D$25:$D$267,Parameters!$K$4,$E$25:$E$267,Parameters!$M$4,Calendrier!$C$25:$C$267,EE37))</f>
        <v/>
      </c>
      <c r="LT37" s="55" t="str">
        <f>IF(EF37="","",COUNTIFS($D$25:$D$267,Parameters!$K$2,$E$25:$E$267,Parameters!$M$4,Calendrier!$C$25:$C$267,EF37)+ COUNTIFS($D$25:$D$267,Parameters!$K$3,$E$25:$E$267,Parameters!$M$4,Calendrier!$C$25:$C$267,EF37))</f>
        <v/>
      </c>
      <c r="LU37" s="55" t="str">
        <f>IF(EG37="","",COUNTIFS($D$25:$D$267,Parameters!$K$2,$E$25:$E$267,Parameters!$M$4,Calendrier!$C$25:$C$267,EG37)+ COUNTIFS($D$25:$D$267,Parameters!$K$4,$E$25:$E$267,Parameters!$M$4,Calendrier!$C$25:$C$267,EG37))</f>
        <v/>
      </c>
      <c r="LV37" s="55" t="str">
        <f>IF(EH37="","",COUNTIFS($D$25:$D$267,Parameters!$K$2,$E$25:$E$267,Parameters!$M$4,Calendrier!$C$25:$C$267,EH37)+ COUNTIFS($D$25:$D$267,Parameters!$K$3,$E$25:$E$267,Parameters!$M$4,Calendrier!$C$25:$C$267,EH37))</f>
        <v/>
      </c>
      <c r="LW37" s="55" t="str">
        <f>IF(EI37="","",COUNTIFS($D$25:$D$267,Parameters!$K$2,$E$25:$E$267,Parameters!$M$4,Calendrier!$C$25:$C$267,EI37)+ COUNTIFS($D$25:$D$267,Parameters!$K$4,$E$25:$E$267,Parameters!$M$4,Calendrier!$C$25:$C$267,EI37))</f>
        <v/>
      </c>
      <c r="LX37" s="55">
        <f>IF(EJ37="","",COUNTIFS($D$25:$D$267,Parameters!$K$2,$E$25:$E$267,Parameters!$M$4,Calendrier!$C$25:$C$267,EJ37)+ COUNTIFS($D$25:$D$267,Parameters!$K$3,$E$25:$E$267,Parameters!$M$4,Calendrier!$C$25:$C$267,EJ37))</f>
        <v>0</v>
      </c>
      <c r="LY37" s="56">
        <f>IF(EK37="","",COUNTIFS($D$25:$D$267,Parameters!$K$2,$E$25:$E$267,Parameters!$M$4,Calendrier!$C$25:$C$267,EK37)+ COUNTIFS($D$25:$D$267,Parameters!$K$4,$E$25:$E$267,Parameters!$M$4,Calendrier!$C$25:$C$267,EK37))</f>
        <v>0</v>
      </c>
      <c r="MB37" s="54" t="str">
        <f>IF(EN37="","",COUNTIFS($D$25:$D$267,Parameters!$K$2,$E$25:$E$267,Parameters!$M$4,Calendrier!$C$25:$C$267,EN37)+ COUNTIFS($D$25:$D$267,Parameters!$K$3,$E$25:$E$267,Parameters!$M$4,Calendrier!$C$25:$C$267,EN37))</f>
        <v/>
      </c>
      <c r="MC37" s="55" t="str">
        <f>IF(EO37="","",COUNTIFS($D$25:$D$267,Parameters!$K$2,$E$25:$E$267,Parameters!$M$4,Calendrier!$C$25:$C$267,EO37)+ COUNTIFS($D$25:$D$267,Parameters!$K$4,$E$25:$E$267,Parameters!$M$4,Calendrier!$C$25:$C$267,EO37))</f>
        <v/>
      </c>
      <c r="MD37" s="55">
        <f>IF(EP37="","",COUNTIFS($D$25:$D$267,Parameters!$K$2,$E$25:$E$267,Parameters!$M$4,Calendrier!$C$25:$C$267,EP37)+ COUNTIFS($D$25:$D$267,Parameters!$K$3,$E$25:$E$267,Parameters!$M$4,Calendrier!$C$25:$C$267,EP37))</f>
        <v>0</v>
      </c>
      <c r="ME37" s="55">
        <f>IF(EQ37="","",COUNTIFS($D$25:$D$267,Parameters!$K$2,$E$25:$E$267,Parameters!$M$4,Calendrier!$C$25:$C$267,EQ37)+ COUNTIFS($D$25:$D$267,Parameters!$K$4,$E$25:$E$267,Parameters!$M$4,Calendrier!$C$25:$C$267,EQ37))</f>
        <v>0</v>
      </c>
      <c r="MF37" s="55">
        <f>IF(ER37="","",COUNTIFS($D$25:$D$267,Parameters!$K$2,$E$25:$E$267,Parameters!$M$4,Calendrier!$C$25:$C$267,ER37)+ COUNTIFS($D$25:$D$267,Parameters!$K$3,$E$25:$E$267,Parameters!$M$4,Calendrier!$C$25:$C$267,ER37))</f>
        <v>0</v>
      </c>
      <c r="MG37" s="55">
        <f>IF(ES37="","",COUNTIFS($D$25:$D$267,Parameters!$K$2,$E$25:$E$267,Parameters!$M$4,Calendrier!$C$25:$C$267,ES37)+ COUNTIFS($D$25:$D$267,Parameters!$K$4,$E$25:$E$267,Parameters!$M$4,Calendrier!$C$25:$C$267,ES37))</f>
        <v>0</v>
      </c>
      <c r="MH37" s="55">
        <f>IF(ET37="","",COUNTIFS($D$25:$D$267,Parameters!$K$2,$E$25:$E$267,Parameters!$M$4,Calendrier!$C$25:$C$267,ET37)+ COUNTIFS($D$25:$D$267,Parameters!$K$3,$E$25:$E$267,Parameters!$M$4,Calendrier!$C$25:$C$267,ET37))</f>
        <v>0</v>
      </c>
      <c r="MI37" s="55">
        <f>IF(EU37="","",COUNTIFS($D$25:$D$267,Parameters!$K$2,$E$25:$E$267,Parameters!$M$4,Calendrier!$C$25:$C$267,EU37)+ COUNTIFS($D$25:$D$267,Parameters!$K$4,$E$25:$E$267,Parameters!$M$4,Calendrier!$C$25:$C$267,EU37))</f>
        <v>0</v>
      </c>
      <c r="MJ37" s="55">
        <f>IF(EV37="","",COUNTIFS($D$25:$D$267,Parameters!$K$2,$E$25:$E$267,Parameters!$M$4,Calendrier!$C$25:$C$267,EV37)+ COUNTIFS($D$25:$D$267,Parameters!$K$3,$E$25:$E$267,Parameters!$M$4,Calendrier!$C$25:$C$267,EV37))</f>
        <v>0</v>
      </c>
      <c r="MK37" s="55">
        <f>IF(EW37="","",COUNTIFS($D$25:$D$267,Parameters!$K$2,$E$25:$E$267,Parameters!$M$4,Calendrier!$C$25:$C$267,EW37)+ COUNTIFS($D$25:$D$267,Parameters!$K$4,$E$25:$E$267,Parameters!$M$4,Calendrier!$C$25:$C$267,EW37))</f>
        <v>0</v>
      </c>
      <c r="ML37" s="55">
        <f>IF(EX37="","",COUNTIFS($D$25:$D$267,Parameters!$K$2,$E$25:$E$267,Parameters!$M$4,Calendrier!$C$25:$C$267,EX37)+ COUNTIFS($D$25:$D$267,Parameters!$K$3,$E$25:$E$267,Parameters!$M$4,Calendrier!$C$25:$C$267,EX37))</f>
        <v>0</v>
      </c>
      <c r="MM37" s="55">
        <f>IF(EY37="","",COUNTIFS($D$25:$D$267,Parameters!$K$2,$E$25:$E$267,Parameters!$M$4,Calendrier!$C$25:$C$267,EY37)+ COUNTIFS($D$25:$D$267,Parameters!$K$4,$E$25:$E$267,Parameters!$M$4,Calendrier!$C$25:$C$267,EY37))</f>
        <v>0</v>
      </c>
      <c r="MN37" s="55">
        <f>IF(EZ37="","",COUNTIFS($D$25:$D$267,Parameters!$K$2,$E$25:$E$267,Parameters!$M$4,Calendrier!$C$25:$C$267,EZ37)+ COUNTIFS($D$25:$D$267,Parameters!$K$3,$E$25:$E$267,Parameters!$M$4,Calendrier!$C$25:$C$267,EZ37))</f>
        <v>0</v>
      </c>
      <c r="MO37" s="56">
        <f>IF(FA37="","",COUNTIFS($D$25:$D$267,Parameters!$K$2,$E$25:$E$267,Parameters!$M$4,Calendrier!$C$25:$C$267,FA37)+ COUNTIFS($D$25:$D$267,Parameters!$K$4,$E$25:$E$267,Parameters!$M$4,Calendrier!$C$25:$C$267,FA37))</f>
        <v>0</v>
      </c>
      <c r="MS37" s="54" t="str">
        <f>IF(DH37="","",COUNTIFS($D$25:$D$267,Parameters!$K$2,$E$25:$E$267,Parameters!$M$5,Calendrier!$C$25:$C$267,DH37)+ COUNTIFS($D$25:$D$267,Parameters!$K$3,$E$25:$E$267,Parameters!$M$5,Calendrier!$C$25:$C$267,DH37))</f>
        <v/>
      </c>
      <c r="MT37" s="55" t="str">
        <f>IF(DI37="","",COUNTIFS($D$25:$D$267,Parameters!$K$2,$E$25:$E$267,Parameters!$M$5,Calendrier!$C$25:$C$267,DI37)+ COUNTIFS($D$25:$D$267,Parameters!$K$4,$E$25:$E$267,Parameters!$M$5,Calendrier!$C$25:$C$267,DI37))</f>
        <v/>
      </c>
      <c r="MU37" s="55" t="str">
        <f>IF(DJ37="","",COUNTIFS($D$25:$D$267,Parameters!$K$2,$E$25:$E$267,Parameters!$M$5,Calendrier!$C$25:$C$267,DJ37)+ COUNTIFS($D$25:$D$267,Parameters!$K$3,$E$25:$E$267,Parameters!$M$5,Calendrier!$C$25:$C$267,DJ37))</f>
        <v/>
      </c>
      <c r="MV37" s="55" t="str">
        <f>IF(DK37="","",COUNTIFS($D$25:$D$267,Parameters!$K$2,$E$25:$E$267,Parameters!$M$5,Calendrier!$C$25:$C$267,DK37)+ COUNTIFS($D$25:$D$267,Parameters!$K$4,$E$25:$E$267,Parameters!$M$5,Calendrier!$C$25:$C$267,DK37))</f>
        <v/>
      </c>
      <c r="MW37" s="55" t="str">
        <f>IF(DL37="","",COUNTIFS($D$25:$D$267,Parameters!$K$2,$E$25:$E$267,Parameters!$M$5,Calendrier!$C$25:$C$267,DL37)+ COUNTIFS($D$25:$D$267,Parameters!$K$3,$E$25:$E$267,Parameters!$M$5,Calendrier!$C$25:$C$267,DL37))</f>
        <v/>
      </c>
      <c r="MX37" s="55" t="str">
        <f>IF(DM37="","",COUNTIFS($D$25:$D$267,Parameters!$K$2,$E$25:$E$267,Parameters!$M$5,Calendrier!$C$25:$C$267,DM37)+ COUNTIFS($D$25:$D$267,Parameters!$K$4,$E$25:$E$267,Parameters!$M$5,Calendrier!$C$25:$C$267,DM37))</f>
        <v/>
      </c>
      <c r="MY37" s="55">
        <f>IF(DN37="","",COUNTIFS($D$25:$D$267,Parameters!$K$2,$E$25:$E$267,Parameters!$M$5,Calendrier!$C$25:$C$267,DN37)+ COUNTIFS($D$25:$D$267,Parameters!$K$3,$E$25:$E$267,Parameters!$M$5,Calendrier!$C$25:$C$267,DN37))</f>
        <v>0</v>
      </c>
      <c r="MZ37" s="55">
        <f>IF(DO37="","",COUNTIFS($D$25:$D$267,Parameters!$K$2,$E$25:$E$267,Parameters!$M$5,Calendrier!$C$25:$C$267,DO37)+ COUNTIFS($D$25:$D$267,Parameters!$K$4,$E$25:$E$267,Parameters!$M$5,Calendrier!$C$25:$C$267,DO37))</f>
        <v>0</v>
      </c>
      <c r="NA37" s="55">
        <f>IF(DP37="","",COUNTIFS($D$25:$D$267,Parameters!$K$2,$E$25:$E$267,Parameters!$M$5,Calendrier!$C$25:$C$267,DP37)+ COUNTIFS($D$25:$D$267,Parameters!$K$3,$E$25:$E$267,Parameters!$M$5,Calendrier!$C$25:$C$267,DP37))</f>
        <v>0</v>
      </c>
      <c r="NB37" s="55">
        <f>IF(DQ37="","",COUNTIFS($D$25:$D$267,Parameters!$K$2,$E$25:$E$267,Parameters!$M$5,Calendrier!$C$25:$C$267,DQ37)+ COUNTIFS($D$25:$D$267,Parameters!$K$4,$E$25:$E$267,Parameters!$M$5,Calendrier!$C$25:$C$267,DQ37))</f>
        <v>0</v>
      </c>
      <c r="NC37" s="55">
        <f>IF(DR37="","",COUNTIFS($D$25:$D$267,Parameters!$K$2,$E$25:$E$267,Parameters!$M$5,Calendrier!$C$25:$C$267,DR37)+ COUNTIFS($D$25:$D$267,Parameters!$K$3,$E$25:$E$267,Parameters!$M$5,Calendrier!$C$25:$C$267,DR37))</f>
        <v>0</v>
      </c>
      <c r="ND37" s="55">
        <f>IF(DS37="","",COUNTIFS($D$25:$D$267,Parameters!$K$2,$E$25:$E$267,Parameters!$M$5,Calendrier!$C$25:$C$267,DS37)+ COUNTIFS($D$25:$D$267,Parameters!$K$4,$E$25:$E$267,Parameters!$M$5,Calendrier!$C$25:$C$267,DS37))</f>
        <v>0</v>
      </c>
      <c r="NE37" s="55">
        <f>IF(DT37="","",COUNTIFS($D$25:$D$267,Parameters!$K$2,$E$25:$E$267,Parameters!$M$5,Calendrier!$C$25:$C$267,DT37)+ COUNTIFS($D$25:$D$267,Parameters!$K$3,$E$25:$E$267,Parameters!$M$5,Calendrier!$C$25:$C$267,DT37))</f>
        <v>0</v>
      </c>
      <c r="NF37" s="56">
        <f>IF(DU37="","",COUNTIFS($D$25:$D$267,Parameters!$K$2,$E$25:$E$267,Parameters!$M$5,Calendrier!$C$25:$C$267,DU37)+ COUNTIFS($D$25:$D$267,Parameters!$K$4,$E$25:$E$267,Parameters!$M$5,Calendrier!$C$25:$C$267,DU37))</f>
        <v>0</v>
      </c>
      <c r="NI37" s="54" t="str">
        <f>IF(DX37="","",COUNTIFS($D$25:$D$267,Parameters!$K$2,$E$25:$E$267,Parameters!$M$5,Calendrier!$C$25:$C$267,DX37)+ COUNTIFS($D$25:$D$267,Parameters!$K$3,$E$25:$E$267,Parameters!$M$5,Calendrier!$C$25:$C$267,DX37))</f>
        <v/>
      </c>
      <c r="NJ37" s="55" t="str">
        <f>IF(DY37="","",COUNTIFS($D$25:$D$267,Parameters!$K$2,$E$25:$E$267,Parameters!$M$5,Calendrier!$C$25:$C$267,DY37)+ COUNTIFS($D$25:$D$267,Parameters!$K$4,$E$25:$E$267,Parameters!$M$5,Calendrier!$C$25:$C$267,DY37))</f>
        <v/>
      </c>
      <c r="NK37" s="55" t="str">
        <f>IF(DZ37="","",COUNTIFS($D$25:$D$267,Parameters!$K$2,$E$25:$E$267,Parameters!$M$5,Calendrier!$C$25:$C$267,DZ37)+ COUNTIFS($D$25:$D$267,Parameters!$K$3,$E$25:$E$267,Parameters!$M$5,Calendrier!$C$25:$C$267,DZ37))</f>
        <v/>
      </c>
      <c r="NL37" s="55" t="str">
        <f>IF(EA37="","",COUNTIFS($D$25:$D$267,Parameters!$K$2,$E$25:$E$267,Parameters!$M$5,Calendrier!$C$25:$C$267,EA37)+ COUNTIFS($D$25:$D$267,Parameters!$K$4,$E$25:$E$267,Parameters!$M$5,Calendrier!$C$25:$C$267,EA37))</f>
        <v/>
      </c>
      <c r="NM37" s="55" t="str">
        <f>IF(EB37="","",COUNTIFS($D$25:$D$267,Parameters!$K$2,$E$25:$E$267,Parameters!$M$5,Calendrier!$C$25:$C$267,EB37)+ COUNTIFS($D$25:$D$267,Parameters!$K$3,$E$25:$E$267,Parameters!$M$5,Calendrier!$C$25:$C$267,EB37))</f>
        <v/>
      </c>
      <c r="NN37" s="55" t="str">
        <f>IF(EC37="","",COUNTIFS($D$25:$D$267,Parameters!$K$2,$E$25:$E$267,Parameters!$M$5,Calendrier!$C$25:$C$267,EC37)+ COUNTIFS($D$25:$D$267,Parameters!$K$4,$E$25:$E$267,Parameters!$M$5,Calendrier!$C$25:$C$267,EC37))</f>
        <v/>
      </c>
      <c r="NO37" s="55" t="str">
        <f>IF(ED37="","",COUNTIFS($D$25:$D$267,Parameters!$K$2,$E$25:$E$267,Parameters!$M$5,Calendrier!$C$25:$C$267,ED37)+ COUNTIFS($D$25:$D$267,Parameters!$K$3,$E$25:$E$267,Parameters!$M$5,Calendrier!$C$25:$C$267,ED37))</f>
        <v/>
      </c>
      <c r="NP37" s="55" t="str">
        <f>IF(EE37="","",COUNTIFS($D$25:$D$267,Parameters!$K$2,$E$25:$E$267,Parameters!$M$5,Calendrier!$C$25:$C$267,EE37)+ COUNTIFS($D$25:$D$267,Parameters!$K$4,$E$25:$E$267,Parameters!$M$5,Calendrier!$C$25:$C$267,EE37))</f>
        <v/>
      </c>
      <c r="NQ37" s="55" t="str">
        <f>IF(EF37="","",COUNTIFS($D$25:$D$267,Parameters!$K$2,$E$25:$E$267,Parameters!$M$5,Calendrier!$C$25:$C$267,EF37)+ COUNTIFS($D$25:$D$267,Parameters!$K$3,$E$25:$E$267,Parameters!$M$5,Calendrier!$C$25:$C$267,EF37))</f>
        <v/>
      </c>
      <c r="NR37" s="55" t="str">
        <f>IF(EG37="","",COUNTIFS($D$25:$D$267,Parameters!$K$2,$E$25:$E$267,Parameters!$M$5,Calendrier!$C$25:$C$267,EG37)+ COUNTIFS($D$25:$D$267,Parameters!$K$4,$E$25:$E$267,Parameters!$M$5,Calendrier!$C$25:$C$267,EG37))</f>
        <v/>
      </c>
      <c r="NS37" s="55" t="str">
        <f>IF(EH37="","",COUNTIFS($D$25:$D$267,Parameters!$K$2,$E$25:$E$267,Parameters!$M$5,Calendrier!$C$25:$C$267,EH37)+ COUNTIFS($D$25:$D$267,Parameters!$K$3,$E$25:$E$267,Parameters!$M$5,Calendrier!$C$25:$C$267,EH37))</f>
        <v/>
      </c>
      <c r="NT37" s="55" t="str">
        <f>IF(EI37="","",COUNTIFS($D$25:$D$267,Parameters!$K$2,$E$25:$E$267,Parameters!$M$5,Calendrier!$C$25:$C$267,EI37)+ COUNTIFS($D$25:$D$267,Parameters!$K$4,$E$25:$E$267,Parameters!$M$5,Calendrier!$C$25:$C$267,EI37))</f>
        <v/>
      </c>
      <c r="NU37" s="55">
        <f>IF(EJ37="","",COUNTIFS($D$25:$D$267,Parameters!$K$2,$E$25:$E$267,Parameters!$M$5,Calendrier!$C$25:$C$267,EJ37)+ COUNTIFS($D$25:$D$267,Parameters!$K$3,$E$25:$E$267,Parameters!$M$5,Calendrier!$C$25:$C$267,EJ37))</f>
        <v>0</v>
      </c>
      <c r="NV37" s="56">
        <f>IF(EK37="","",COUNTIFS($D$25:$D$267,Parameters!$K$2,$E$25:$E$267,Parameters!$M$5,Calendrier!$C$25:$C$267,EK37)+ COUNTIFS($D$25:$D$267,Parameters!$K$4,$E$25:$E$267,Parameters!$M$5,Calendrier!$C$25:$C$267,EK37))</f>
        <v>0</v>
      </c>
      <c r="NY37" s="54" t="str">
        <f>IF(EN37="","",COUNTIFS($D$25:$D$267,Parameters!$K$2,$E$25:$E$267,Parameters!$M$5,Calendrier!$C$25:$C$267,EN37)+ COUNTIFS($D$25:$D$267,Parameters!$K$3,$E$25:$E$267,Parameters!$M$5,Calendrier!$C$25:$C$267,EN37))</f>
        <v/>
      </c>
      <c r="NZ37" s="55" t="str">
        <f>IF(EO37="","",COUNTIFS($D$25:$D$267,Parameters!$K$2,$E$25:$E$267,Parameters!$M$5,Calendrier!$C$25:$C$267,EO37)+ COUNTIFS($D$25:$D$267,Parameters!$K$4,$E$25:$E$267,Parameters!$M$5,Calendrier!$C$25:$C$267,EO37))</f>
        <v/>
      </c>
      <c r="OA37" s="55">
        <f>IF(EP37="","",COUNTIFS($D$25:$D$267,Parameters!$K$2,$E$25:$E$267,Parameters!$M$5,Calendrier!$C$25:$C$267,EP37)+ COUNTIFS($D$25:$D$267,Parameters!$K$3,$E$25:$E$267,Parameters!$M$5,Calendrier!$C$25:$C$267,EP37))</f>
        <v>0</v>
      </c>
      <c r="OB37" s="55">
        <f>IF(EQ37="","",COUNTIFS($D$25:$D$267,Parameters!$K$2,$E$25:$E$267,Parameters!$M$5,Calendrier!$C$25:$C$267,EQ37)+ COUNTIFS($D$25:$D$267,Parameters!$K$4,$E$25:$E$267,Parameters!$M$5,Calendrier!$C$25:$C$267,EQ37))</f>
        <v>0</v>
      </c>
      <c r="OC37" s="55">
        <f>IF(ER37="","",COUNTIFS($D$25:$D$267,Parameters!$K$2,$E$25:$E$267,Parameters!$M$5,Calendrier!$C$25:$C$267,ER37)+ COUNTIFS($D$25:$D$267,Parameters!$K$3,$E$25:$E$267,Parameters!$M$5,Calendrier!$C$25:$C$267,ER37))</f>
        <v>0</v>
      </c>
      <c r="OD37" s="55">
        <f>IF(ES37="","",COUNTIFS($D$25:$D$267,Parameters!$K$2,$E$25:$E$267,Parameters!$M$5,Calendrier!$C$25:$C$267,ES37)+ COUNTIFS($D$25:$D$267,Parameters!$K$4,$E$25:$E$267,Parameters!$M$5,Calendrier!$C$25:$C$267,ES37))</f>
        <v>0</v>
      </c>
      <c r="OE37" s="55">
        <f>IF(ET37="","",COUNTIFS($D$25:$D$267,Parameters!$K$2,$E$25:$E$267,Parameters!$M$5,Calendrier!$C$25:$C$267,ET37)+ COUNTIFS($D$25:$D$267,Parameters!$K$3,$E$25:$E$267,Parameters!$M$5,Calendrier!$C$25:$C$267,ET37))</f>
        <v>0</v>
      </c>
      <c r="OF37" s="55">
        <f>IF(EU37="","",COUNTIFS($D$25:$D$267,Parameters!$K$2,$E$25:$E$267,Parameters!$M$5,Calendrier!$C$25:$C$267,EU37)+ COUNTIFS($D$25:$D$267,Parameters!$K$4,$E$25:$E$267,Parameters!$M$5,Calendrier!$C$25:$C$267,EU37))</f>
        <v>0</v>
      </c>
      <c r="OG37" s="55">
        <f>IF(EV37="","",COUNTIFS($D$25:$D$267,Parameters!$K$2,$E$25:$E$267,Parameters!$M$5,Calendrier!$C$25:$C$267,EV37)+ COUNTIFS($D$25:$D$267,Parameters!$K$3,$E$25:$E$267,Parameters!$M$5,Calendrier!$C$25:$C$267,EV37))</f>
        <v>0</v>
      </c>
      <c r="OH37" s="55">
        <f>IF(EW37="","",COUNTIFS($D$25:$D$267,Parameters!$K$2,$E$25:$E$267,Parameters!$M$5,Calendrier!$C$25:$C$267,EW37)+ COUNTIFS($D$25:$D$267,Parameters!$K$4,$E$25:$E$267,Parameters!$M$5,Calendrier!$C$25:$C$267,EW37))</f>
        <v>0</v>
      </c>
      <c r="OI37" s="55">
        <f>IF(EX37="","",COUNTIFS($D$25:$D$267,Parameters!$K$2,$E$25:$E$267,Parameters!$M$5,Calendrier!$C$25:$C$267,EX37)+ COUNTIFS($D$25:$D$267,Parameters!$K$3,$E$25:$E$267,Parameters!$M$5,Calendrier!$C$25:$C$267,EX37))</f>
        <v>0</v>
      </c>
      <c r="OJ37" s="55">
        <f>IF(EY37="","",COUNTIFS($D$25:$D$267,Parameters!$K$2,$E$25:$E$267,Parameters!$M$5,Calendrier!$C$25:$C$267,EY37)+ COUNTIFS($D$25:$D$267,Parameters!$K$4,$E$25:$E$267,Parameters!$M$5,Calendrier!$C$25:$C$267,EY37))</f>
        <v>0</v>
      </c>
      <c r="OK37" s="55">
        <f>IF(EZ37="","",COUNTIFS($D$25:$D$267,Parameters!$K$2,$E$25:$E$267,Parameters!$M$5,Calendrier!$C$25:$C$267,EZ37)+ COUNTIFS($D$25:$D$267,Parameters!$K$3,$E$25:$E$267,Parameters!$M$5,Calendrier!$C$25:$C$267,EZ37))</f>
        <v>0</v>
      </c>
      <c r="OL37" s="56">
        <f>IF(FA37="","",COUNTIFS($D$25:$D$267,Parameters!$K$2,$E$25:$E$267,Parameters!$M$5,Calendrier!$C$25:$C$267,FA37)+ COUNTIFS($D$25:$D$267,Parameters!$K$4,$E$25:$E$267,Parameters!$M$5,Calendrier!$C$25:$C$267,FA37))</f>
        <v>0</v>
      </c>
      <c r="OP37" s="54" t="str">
        <f>IF(DH37="","",COUNTIFS(Parameters!$Y:$Y,$BF$4,Parameters!$X:$X,DH37))</f>
        <v/>
      </c>
      <c r="OQ37" s="55" t="str">
        <f>IF(DI37="","",COUNTIFS(Parameters!$Y:$Y,$BF$4,Parameters!$X:$X,DI37))</f>
        <v/>
      </c>
      <c r="OR37" s="55" t="str">
        <f>IF(DJ37="","",COUNTIFS(Parameters!$Y:$Y,$BF$4,Parameters!$X:$X,DJ37))</f>
        <v/>
      </c>
      <c r="OS37" s="55" t="str">
        <f>IF(DK37="","",COUNTIFS(Parameters!$Y:$Y,$BF$4,Parameters!$X:$X,DK37))</f>
        <v/>
      </c>
      <c r="OT37" s="55" t="str">
        <f>IF(DL37="","",COUNTIFS(Parameters!$Y:$Y,$BF$4,Parameters!$X:$X,DL37))</f>
        <v/>
      </c>
      <c r="OU37" s="55" t="str">
        <f>IF(DM37="","",COUNTIFS(Parameters!$Y:$Y,$BF$4,Parameters!$X:$X,DM37))</f>
        <v/>
      </c>
      <c r="OV37" s="55">
        <f>IF(DN37="","",COUNTIFS(Parameters!$Y:$Y,$BF$4,Parameters!$X:$X,DN37))</f>
        <v>0</v>
      </c>
      <c r="OW37" s="55">
        <f>IF(DO37="","",COUNTIFS(Parameters!$Y:$Y,$BF$4,Parameters!$X:$X,DO37))</f>
        <v>0</v>
      </c>
      <c r="OX37" s="55">
        <f>IF(DP37="","",COUNTIFS(Parameters!$Y:$Y,$BF$4,Parameters!$X:$X,DP37))</f>
        <v>0</v>
      </c>
      <c r="OY37" s="55">
        <f>IF(DQ37="","",COUNTIFS(Parameters!$Y:$Y,$BF$4,Parameters!$X:$X,DQ37))</f>
        <v>0</v>
      </c>
      <c r="OZ37" s="55">
        <f>IF(DR37="","",COUNTIFS(Parameters!$Y:$Y,$BF$4,Parameters!$X:$X,DR37))</f>
        <v>0</v>
      </c>
      <c r="PA37" s="55">
        <f>IF(DS37="","",COUNTIFS(Parameters!$Y:$Y,$BF$4,Parameters!$X:$X,DS37))</f>
        <v>0</v>
      </c>
      <c r="PB37" s="55">
        <f>IF(DT37="","",COUNTIFS(Parameters!$Y:$Y,$BF$4,Parameters!$X:$X,DT37))</f>
        <v>0</v>
      </c>
      <c r="PC37" s="56">
        <f>IF(DU37="","",COUNTIFS(Parameters!$Y:$Y,$BF$4,Parameters!$X:$X,DU37))</f>
        <v>0</v>
      </c>
      <c r="PF37" s="54" t="str">
        <f>IF(DX37="","",COUNTIFS(Parameters!$Y:$Y,$BF$4,Parameters!$X:$X,DX37))</f>
        <v/>
      </c>
      <c r="PG37" s="55" t="str">
        <f>IF(DY37="","",COUNTIFS(Parameters!$Y:$Y,$BF$4,Parameters!$X:$X,DY37))</f>
        <v/>
      </c>
      <c r="PH37" s="55" t="str">
        <f>IF(DZ37="","",COUNTIFS(Parameters!$Y:$Y,$BF$4,Parameters!$X:$X,DZ37))</f>
        <v/>
      </c>
      <c r="PI37" s="55" t="str">
        <f>IF(EA37="","",COUNTIFS(Parameters!$Y:$Y,$BF$4,Parameters!$X:$X,EA37))</f>
        <v/>
      </c>
      <c r="PJ37" s="55" t="str">
        <f>IF(EB37="","",COUNTIFS(Parameters!$Y:$Y,$BF$4,Parameters!$X:$X,EB37))</f>
        <v/>
      </c>
      <c r="PK37" s="55" t="str">
        <f>IF(EC37="","",COUNTIFS(Parameters!$Y:$Y,$BF$4,Parameters!$X:$X,EC37))</f>
        <v/>
      </c>
      <c r="PL37" s="55" t="str">
        <f>IF(ED37="","",COUNTIFS(Parameters!$Y:$Y,$BF$4,Parameters!$X:$X,ED37))</f>
        <v/>
      </c>
      <c r="PM37" s="55" t="str">
        <f>IF(EE37="","",COUNTIFS(Parameters!$Y:$Y,$BF$4,Parameters!$X:$X,EE37))</f>
        <v/>
      </c>
      <c r="PN37" s="55" t="str">
        <f>IF(EF37="","",COUNTIFS(Parameters!$Y:$Y,$BF$4,Parameters!$X:$X,EF37))</f>
        <v/>
      </c>
      <c r="PO37" s="55" t="str">
        <f>IF(EG37="","",COUNTIFS(Parameters!$Y:$Y,$BF$4,Parameters!$X:$X,EG37))</f>
        <v/>
      </c>
      <c r="PP37" s="55" t="str">
        <f>IF(EH37="","",COUNTIFS(Parameters!$Y:$Y,$BF$4,Parameters!$X:$X,EH37))</f>
        <v/>
      </c>
      <c r="PQ37" s="55" t="str">
        <f>IF(EI37="","",COUNTIFS(Parameters!$Y:$Y,$BF$4,Parameters!$X:$X,EI37))</f>
        <v/>
      </c>
      <c r="PR37" s="55">
        <f>IF(EJ37="","",COUNTIFS(Parameters!$Y:$Y,$BF$4,Parameters!$X:$X,EJ37))</f>
        <v>0</v>
      </c>
      <c r="PS37" s="56">
        <f>IF(EK37="","",COUNTIFS(Parameters!$Y:$Y,$BF$4,Parameters!$X:$X,EK37))</f>
        <v>0</v>
      </c>
      <c r="PV37" s="54" t="str">
        <f>IF(EN37="","",COUNTIFS(Parameters!$Y:$Y,$BF$4,Parameters!$X:$X,EN37))</f>
        <v/>
      </c>
      <c r="PW37" s="55" t="str">
        <f>IF(EO37="","",COUNTIFS(Parameters!$Y:$Y,$BF$4,Parameters!$X:$X,EO37))</f>
        <v/>
      </c>
      <c r="PX37" s="55">
        <f>IF(EP37="","",COUNTIFS(Parameters!$Y:$Y,$BF$4,Parameters!$X:$X,EP37))</f>
        <v>0</v>
      </c>
      <c r="PY37" s="55">
        <f>IF(EQ37="","",COUNTIFS(Parameters!$Y:$Y,$BF$4,Parameters!$X:$X,EQ37))</f>
        <v>0</v>
      </c>
      <c r="PZ37" s="55">
        <f>IF(ER37="","",COUNTIFS(Parameters!$Y:$Y,$BF$4,Parameters!$X:$X,ER37))</f>
        <v>0</v>
      </c>
      <c r="QA37" s="55">
        <f>IF(ES37="","",COUNTIFS(Parameters!$Y:$Y,$BF$4,Parameters!$X:$X,ES37))</f>
        <v>0</v>
      </c>
      <c r="QB37" s="55">
        <f>IF(ET37="","",COUNTIFS(Parameters!$Y:$Y,$BF$4,Parameters!$X:$X,ET37))</f>
        <v>0</v>
      </c>
      <c r="QC37" s="55">
        <f>IF(EU37="","",COUNTIFS(Parameters!$Y:$Y,$BF$4,Parameters!$X:$X,EU37))</f>
        <v>0</v>
      </c>
      <c r="QD37" s="55">
        <f>IF(EV37="","",COUNTIFS(Parameters!$Y:$Y,$BF$4,Parameters!$X:$X,EV37))</f>
        <v>0</v>
      </c>
      <c r="QE37" s="55">
        <f>IF(EW37="","",COUNTIFS(Parameters!$Y:$Y,$BF$4,Parameters!$X:$X,EW37))</f>
        <v>0</v>
      </c>
      <c r="QF37" s="55">
        <f>IF(EX37="","",COUNTIFS(Parameters!$Y:$Y,$BF$4,Parameters!$X:$X,EX37))</f>
        <v>0</v>
      </c>
      <c r="QG37" s="55">
        <f>IF(EY37="","",COUNTIFS(Parameters!$Y:$Y,$BF$4,Parameters!$X:$X,EY37))</f>
        <v>0</v>
      </c>
      <c r="QH37" s="55">
        <f>IF(EZ37="","",COUNTIFS(Parameters!$Y:$Y,$BF$4,Parameters!$X:$X,EZ37))</f>
        <v>0</v>
      </c>
      <c r="QI37" s="56">
        <f>IF(FA37="","",COUNTIFS(Parameters!$Y:$Y,$BF$4,Parameters!$X:$X,FA37))</f>
        <v>0</v>
      </c>
      <c r="QN37" s="54" t="str">
        <f>IF(DH37="","",COUNTIFS($D$25:$D$267,Parameters!$K$2,$E$25:$E$267,Parameters!$M$6,Calendrier!$C$25:$C$267,DH37)+ COUNTIFS($D$25:$D$267,Parameters!$K$3,$E$25:$E$267,Parameters!$M$6,Calendrier!$C$25:$C$267,DH37))</f>
        <v/>
      </c>
      <c r="QO37" s="55" t="str">
        <f>IF(DI37="","",COUNTIFS($D$25:$D$267,Parameters!$K$2,$E$25:$E$267,Parameters!$M$6,Calendrier!$C$25:$C$267,DI37)+ COUNTIFS($D$25:$D$267,Parameters!$K$4,$E$25:$E$267,Parameters!$M$6,Calendrier!$C$25:$C$267,DI37))</f>
        <v/>
      </c>
      <c r="QP37" s="55" t="str">
        <f>IF(DJ37="","",COUNTIFS($D$25:$D$267,Parameters!$K$2,$E$25:$E$267,Parameters!$M$6,Calendrier!$C$25:$C$267,DJ37)+ COUNTIFS($D$25:$D$267,Parameters!$K$3,$E$25:$E$267,Parameters!$M$6,Calendrier!$C$25:$C$267,DJ37))</f>
        <v/>
      </c>
      <c r="QQ37" s="55" t="str">
        <f>IF(DK37="","",COUNTIFS($D$25:$D$267,Parameters!$K$2,$E$25:$E$267,Parameters!$M$6,Calendrier!$C$25:$C$267,DK37)+ COUNTIFS($D$25:$D$267,Parameters!$K$4,$E$25:$E$267,Parameters!$M$6,Calendrier!$C$25:$C$267,DK37))</f>
        <v/>
      </c>
      <c r="QR37" s="55" t="str">
        <f>IF(DL37="","",COUNTIFS($D$25:$D$267,Parameters!$K$2,$E$25:$E$267,Parameters!$M$6,Calendrier!$C$25:$C$267,DL37)+ COUNTIFS($D$25:$D$267,Parameters!$K$3,$E$25:$E$267,Parameters!$M$6,Calendrier!$C$25:$C$267,DL37))</f>
        <v/>
      </c>
      <c r="QS37" s="55" t="str">
        <f>IF(DM37="","",COUNTIFS($D$25:$D$267,Parameters!$K$2,$E$25:$E$267,Parameters!$M$6,Calendrier!$C$25:$C$267,DM37)+ COUNTIFS($D$25:$D$267,Parameters!$K$4,$E$25:$E$267,Parameters!$M$6,Calendrier!$C$25:$C$267,DM37))</f>
        <v/>
      </c>
      <c r="QT37" s="55">
        <f>IF(DN37="","",COUNTIFS($D$25:$D$267,Parameters!$K$2,$E$25:$E$267,Parameters!$M$6,Calendrier!$C$25:$C$267,DN37)+ COUNTIFS($D$25:$D$267,Parameters!$K$3,$E$25:$E$267,Parameters!$M$6,Calendrier!$C$25:$C$267,DN37))</f>
        <v>0</v>
      </c>
      <c r="QU37" s="55">
        <f>IF(DO37="","",COUNTIFS($D$25:$D$267,Parameters!$K$2,$E$25:$E$267,Parameters!$M$6,Calendrier!$C$25:$C$267,DO37)+ COUNTIFS($D$25:$D$267,Parameters!$K$4,$E$25:$E$267,Parameters!$M$6,Calendrier!$C$25:$C$267,DO37))</f>
        <v>0</v>
      </c>
      <c r="QV37" s="55">
        <f>IF(DP37="","",COUNTIFS($D$25:$D$267,Parameters!$K$2,$E$25:$E$267,Parameters!$M$6,Calendrier!$C$25:$C$267,DP37)+ COUNTIFS($D$25:$D$267,Parameters!$K$3,$E$25:$E$267,Parameters!$M$6,Calendrier!$C$25:$C$267,DP37))</f>
        <v>0</v>
      </c>
      <c r="QW37" s="55">
        <f>IF(DQ37="","",COUNTIFS($D$25:$D$267,Parameters!$K$2,$E$25:$E$267,Parameters!$M$6,Calendrier!$C$25:$C$267,DQ37)+ COUNTIFS($D$25:$D$267,Parameters!$K$4,$E$25:$E$267,Parameters!$M$6,Calendrier!$C$25:$C$267,DQ37))</f>
        <v>0</v>
      </c>
      <c r="QX37" s="55">
        <f>IF(DR37="","",COUNTIFS($D$25:$D$267,Parameters!$K$2,$E$25:$E$267,Parameters!$M$6,Calendrier!$C$25:$C$267,DR37)+ COUNTIFS($D$25:$D$267,Parameters!$K$3,$E$25:$E$267,Parameters!$M$6,Calendrier!$C$25:$C$267,DR37))</f>
        <v>0</v>
      </c>
      <c r="QY37" s="55">
        <f>IF(DS37="","",COUNTIFS($D$25:$D$267,Parameters!$K$2,$E$25:$E$267,Parameters!$M$6,Calendrier!$C$25:$C$267,DS37)+ COUNTIFS($D$25:$D$267,Parameters!$K$4,$E$25:$E$267,Parameters!$M$6,Calendrier!$C$25:$C$267,DS37))</f>
        <v>0</v>
      </c>
      <c r="QZ37" s="55">
        <f>IF(DT37="","",COUNTIFS($D$25:$D$267,Parameters!$K$2,$E$25:$E$267,Parameters!$M$6,Calendrier!$C$25:$C$267,DT37)+ COUNTIFS($D$25:$D$267,Parameters!$K$3,$E$25:$E$267,Parameters!$M$6,Calendrier!$C$25:$C$267,DT37))</f>
        <v>0</v>
      </c>
      <c r="RA37" s="56">
        <f>IF(DU37="","",COUNTIFS($D$25:$D$267,Parameters!$K$2,$E$25:$E$267,Parameters!$M$6,Calendrier!$C$25:$C$267,DU37)+ COUNTIFS($D$25:$D$267,Parameters!$K$4,$E$25:$E$267,Parameters!$M$6,Calendrier!$C$25:$C$267,DU37))</f>
        <v>0</v>
      </c>
      <c r="RD37" s="54" t="str">
        <f>IF(DX37="","",COUNTIFS($D$25:$D$267,Parameters!$K$2,$E$25:$E$267,Parameters!$M$6,Calendrier!$C$25:$C$267,DX37)+ COUNTIFS($D$25:$D$267,Parameters!$K$3,$E$25:$E$267,Parameters!$M$6,Calendrier!$C$25:$C$267,DX37))</f>
        <v/>
      </c>
      <c r="RE37" s="55" t="str">
        <f>IF(DY37="","",COUNTIFS($D$25:$D$267,Parameters!$K$2,$E$25:$E$267,Parameters!$M$6,Calendrier!$C$25:$C$267,DY37)+ COUNTIFS($D$25:$D$267,Parameters!$K$4,$E$25:$E$267,Parameters!$M$6,Calendrier!$C$25:$C$267,DY37))</f>
        <v/>
      </c>
      <c r="RF37" s="55" t="str">
        <f>IF(DZ37="","",COUNTIFS($D$25:$D$267,Parameters!$K$2,$E$25:$E$267,Parameters!$M$6,Calendrier!$C$25:$C$267,DZ37)+ COUNTIFS($D$25:$D$267,Parameters!$K$3,$E$25:$E$267,Parameters!$M$6,Calendrier!$C$25:$C$267,DZ37))</f>
        <v/>
      </c>
      <c r="RG37" s="55" t="str">
        <f>IF(EA37="","",COUNTIFS($D$25:$D$267,Parameters!$K$2,$E$25:$E$267,Parameters!$M$6,Calendrier!$C$25:$C$267,EA37)+ COUNTIFS($D$25:$D$267,Parameters!$K$4,$E$25:$E$267,Parameters!$M$6,Calendrier!$C$25:$C$267,EA37))</f>
        <v/>
      </c>
      <c r="RH37" s="55" t="str">
        <f>IF(EB37="","",COUNTIFS($D$25:$D$267,Parameters!$K$2,$E$25:$E$267,Parameters!$M$6,Calendrier!$C$25:$C$267,EB37)+ COUNTIFS($D$25:$D$267,Parameters!$K$3,$E$25:$E$267,Parameters!$M$6,Calendrier!$C$25:$C$267,EB37))</f>
        <v/>
      </c>
      <c r="RI37" s="55" t="str">
        <f>IF(EC37="","",COUNTIFS($D$25:$D$267,Parameters!$K$2,$E$25:$E$267,Parameters!$M$6,Calendrier!$C$25:$C$267,EC37)+ COUNTIFS($D$25:$D$267,Parameters!$K$4,$E$25:$E$267,Parameters!$M$6,Calendrier!$C$25:$C$267,EC37))</f>
        <v/>
      </c>
      <c r="RJ37" s="55" t="str">
        <f>IF(ED37="","",COUNTIFS($D$25:$D$267,Parameters!$K$2,$E$25:$E$267,Parameters!$M$6,Calendrier!$C$25:$C$267,ED37)+ COUNTIFS($D$25:$D$267,Parameters!$K$3,$E$25:$E$267,Parameters!$M$6,Calendrier!$C$25:$C$267,ED37))</f>
        <v/>
      </c>
      <c r="RK37" s="55" t="str">
        <f>IF(EE37="","",COUNTIFS($D$25:$D$267,Parameters!$K$2,$E$25:$E$267,Parameters!$M$6,Calendrier!$C$25:$C$267,EE37)+ COUNTIFS($D$25:$D$267,Parameters!$K$4,$E$25:$E$267,Parameters!$M$6,Calendrier!$C$25:$C$267,EE37))</f>
        <v/>
      </c>
      <c r="RL37" s="55" t="str">
        <f>IF(EF37="","",COUNTIFS($D$25:$D$267,Parameters!$K$2,$E$25:$E$267,Parameters!$M$6,Calendrier!$C$25:$C$267,EF37)+ COUNTIFS($D$25:$D$267,Parameters!$K$3,$E$25:$E$267,Parameters!$M$6,Calendrier!$C$25:$C$267,EF37))</f>
        <v/>
      </c>
      <c r="RM37" s="55" t="str">
        <f>IF(EG37="","",COUNTIFS($D$25:$D$267,Parameters!$K$2,$E$25:$E$267,Parameters!$M$6,Calendrier!$C$25:$C$267,EG37)+ COUNTIFS($D$25:$D$267,Parameters!$K$4,$E$25:$E$267,Parameters!$M$6,Calendrier!$C$25:$C$267,EG37))</f>
        <v/>
      </c>
      <c r="RN37" s="55" t="str">
        <f>IF(EH37="","",COUNTIFS($D$25:$D$267,Parameters!$K$2,$E$25:$E$267,Parameters!$M$6,Calendrier!$C$25:$C$267,EH37)+ COUNTIFS($D$25:$D$267,Parameters!$K$3,$E$25:$E$267,Parameters!$M$6,Calendrier!$C$25:$C$267,EH37))</f>
        <v/>
      </c>
      <c r="RO37" s="55" t="str">
        <f>IF(EI37="","",COUNTIFS($D$25:$D$267,Parameters!$K$2,$E$25:$E$267,Parameters!$M$6,Calendrier!$C$25:$C$267,EI37)+ COUNTIFS($D$25:$D$267,Parameters!$K$4,$E$25:$E$267,Parameters!$M$6,Calendrier!$C$25:$C$267,EI37))</f>
        <v/>
      </c>
      <c r="RP37" s="55">
        <f>IF(EJ37="","",COUNTIFS($D$25:$D$267,Parameters!$K$2,$E$25:$E$267,Parameters!$M$6,Calendrier!$C$25:$C$267,EJ37)+ COUNTIFS($D$25:$D$267,Parameters!$K$3,$E$25:$E$267,Parameters!$M$6,Calendrier!$C$25:$C$267,EJ37))</f>
        <v>0</v>
      </c>
      <c r="RQ37" s="56">
        <f>IF(EK37="","",COUNTIFS($D$25:$D$267,Parameters!$K$2,$E$25:$E$267,Parameters!$M$6,Calendrier!$C$25:$C$267,EK37)+ COUNTIFS($D$25:$D$267,Parameters!$K$4,$E$25:$E$267,Parameters!$M$6,Calendrier!$C$25:$C$267,EK37))</f>
        <v>0</v>
      </c>
      <c r="RT37" s="54" t="str">
        <f>IF(EN37="","",COUNTIFS($D$25:$D$267,Parameters!$K$2,$E$25:$E$267,Parameters!$M$6,Calendrier!$C$25:$C$267,EN37)+ COUNTIFS($D$25:$D$267,Parameters!$K$3,$E$25:$E$267,Parameters!$M$6,Calendrier!$C$25:$C$267,EN37))</f>
        <v/>
      </c>
      <c r="RU37" s="55" t="str">
        <f>IF(EO37="","",COUNTIFS($D$25:$D$267,Parameters!$K$2,$E$25:$E$267,Parameters!$M$6,Calendrier!$C$25:$C$267,EO37)+ COUNTIFS($D$25:$D$267,Parameters!$K$4,$E$25:$E$267,Parameters!$M$6,Calendrier!$C$25:$C$267,EO37))</f>
        <v/>
      </c>
      <c r="RV37" s="55">
        <f>IF(EP37="","",COUNTIFS($D$25:$D$267,Parameters!$K$2,$E$25:$E$267,Parameters!$M$6,Calendrier!$C$25:$C$267,EP37)+ COUNTIFS($D$25:$D$267,Parameters!$K$3,$E$25:$E$267,Parameters!$M$6,Calendrier!$C$25:$C$267,EP37))</f>
        <v>0</v>
      </c>
      <c r="RW37" s="55">
        <f>IF(EQ37="","",COUNTIFS($D$25:$D$267,Parameters!$K$2,$E$25:$E$267,Parameters!$M$6,Calendrier!$C$25:$C$267,EQ37)+ COUNTIFS($D$25:$D$267,Parameters!$K$4,$E$25:$E$267,Parameters!$M$6,Calendrier!$C$25:$C$267,EQ37))</f>
        <v>0</v>
      </c>
      <c r="RX37" s="55">
        <f>IF(ER37="","",COUNTIFS($D$25:$D$267,Parameters!$K$2,$E$25:$E$267,Parameters!$M$6,Calendrier!$C$25:$C$267,ER37)+ COUNTIFS($D$25:$D$267,Parameters!$K$3,$E$25:$E$267,Parameters!$M$6,Calendrier!$C$25:$C$267,ER37))</f>
        <v>0</v>
      </c>
      <c r="RY37" s="55">
        <f>IF(ES37="","",COUNTIFS($D$25:$D$267,Parameters!$K$2,$E$25:$E$267,Parameters!$M$6,Calendrier!$C$25:$C$267,ES37)+ COUNTIFS($D$25:$D$267,Parameters!$K$4,$E$25:$E$267,Parameters!$M$6,Calendrier!$C$25:$C$267,ES37))</f>
        <v>0</v>
      </c>
      <c r="RZ37" s="55">
        <f>IF(ET37="","",COUNTIFS($D$25:$D$267,Parameters!$K$2,$E$25:$E$267,Parameters!$M$6,Calendrier!$C$25:$C$267,ET37)+ COUNTIFS($D$25:$D$267,Parameters!$K$3,$E$25:$E$267,Parameters!$M$6,Calendrier!$C$25:$C$267,ET37))</f>
        <v>0</v>
      </c>
      <c r="SA37" s="55">
        <f>IF(EU37="","",COUNTIFS($D$25:$D$267,Parameters!$K$2,$E$25:$E$267,Parameters!$M$6,Calendrier!$C$25:$C$267,EU37)+ COUNTIFS($D$25:$D$267,Parameters!$K$4,$E$25:$E$267,Parameters!$M$6,Calendrier!$C$25:$C$267,EU37))</f>
        <v>0</v>
      </c>
      <c r="SB37" s="55">
        <f>IF(EV37="","",COUNTIFS($D$25:$D$267,Parameters!$K$2,$E$25:$E$267,Parameters!$M$6,Calendrier!$C$25:$C$267,EV37)+ COUNTIFS($D$25:$D$267,Parameters!$K$3,$E$25:$E$267,Parameters!$M$6,Calendrier!$C$25:$C$267,EV37))</f>
        <v>0</v>
      </c>
      <c r="SC37" s="55">
        <f>IF(EW37="","",COUNTIFS($D$25:$D$267,Parameters!$K$2,$E$25:$E$267,Parameters!$M$6,Calendrier!$C$25:$C$267,EW37)+ COUNTIFS($D$25:$D$267,Parameters!$K$4,$E$25:$E$267,Parameters!$M$6,Calendrier!$C$25:$C$267,EW37))</f>
        <v>0</v>
      </c>
      <c r="SD37" s="55">
        <f>IF(EX37="","",COUNTIFS($D$25:$D$267,Parameters!$K$2,$E$25:$E$267,Parameters!$M$6,Calendrier!$C$25:$C$267,EX37)+ COUNTIFS($D$25:$D$267,Parameters!$K$3,$E$25:$E$267,Parameters!$M$6,Calendrier!$C$25:$C$267,EX37))</f>
        <v>0</v>
      </c>
      <c r="SE37" s="55">
        <f>IF(EY37="","",COUNTIFS($D$25:$D$267,Parameters!$K$2,$E$25:$E$267,Parameters!$M$6,Calendrier!$C$25:$C$267,EY37)+ COUNTIFS($D$25:$D$267,Parameters!$K$4,$E$25:$E$267,Parameters!$M$6,Calendrier!$C$25:$C$267,EY37))</f>
        <v>0</v>
      </c>
      <c r="SF37" s="55">
        <f>IF(EZ37="","",COUNTIFS($D$25:$D$267,Parameters!$K$2,$E$25:$E$267,Parameters!$M$6,Calendrier!$C$25:$C$267,EZ37)+ COUNTIFS($D$25:$D$267,Parameters!$K$3,$E$25:$E$267,Parameters!$M$6,Calendrier!$C$25:$C$267,EZ37))</f>
        <v>0</v>
      </c>
      <c r="SG37" s="56">
        <f>IF(FA37="","",COUNTIFS($D$25:$D$267,Parameters!$K$2,$E$25:$E$267,Parameters!$M$6,Calendrier!$C$25:$C$267,FA37)+ COUNTIFS($D$25:$D$267,Parameters!$K$4,$E$25:$E$267,Parameters!$M$6,Calendrier!$C$25:$C$267,FA37))</f>
        <v>0</v>
      </c>
      <c r="SL37" s="54" t="str">
        <f>IF(DH37="","",COUNTIFS($D$25:$D$267,Parameters!$K$2,$E$25:$E$267,Parameters!$M$7,Calendrier!$C$25:$C$267,DH37)+ COUNTIFS($D$25:$D$267,Parameters!$K$3,$E$25:$E$267,Parameters!$M$7,Calendrier!$C$25:$C$267,DH37))</f>
        <v/>
      </c>
      <c r="SM37" s="55" t="str">
        <f>IF(DI37="","",COUNTIFS($D$25:$D$267,Parameters!$K$2,$E$25:$E$267,Parameters!$M$7,Calendrier!$C$25:$C$267,DI37)+ COUNTIFS($D$25:$D$267,Parameters!$K$4,$E$25:$E$267,Parameters!$M$7,Calendrier!$C$25:$C$267,DI37))</f>
        <v/>
      </c>
      <c r="SN37" s="55" t="str">
        <f>IF(DJ37="","",COUNTIFS($D$25:$D$267,Parameters!$K$2,$E$25:$E$267,Parameters!$M$7,Calendrier!$C$25:$C$267,DJ37)+ COUNTIFS($D$25:$D$267,Parameters!$K$3,$E$25:$E$267,Parameters!$M$7,Calendrier!$C$25:$C$267,DJ37))</f>
        <v/>
      </c>
      <c r="SO37" s="55" t="str">
        <f>IF(DK37="","",COUNTIFS($D$25:$D$267,Parameters!$K$2,$E$25:$E$267,Parameters!$M$7,Calendrier!$C$25:$C$267,DK37)+ COUNTIFS($D$25:$D$267,Parameters!$K$4,$E$25:$E$267,Parameters!$M$7,Calendrier!$C$25:$C$267,DK37))</f>
        <v/>
      </c>
      <c r="SP37" s="55" t="str">
        <f>IF(DL37="","",COUNTIFS($D$25:$D$267,Parameters!$K$2,$E$25:$E$267,Parameters!$M$7,Calendrier!$C$25:$C$267,DL37)+ COUNTIFS($D$25:$D$267,Parameters!$K$3,$E$25:$E$267,Parameters!$M$7,Calendrier!$C$25:$C$267,DL37))</f>
        <v/>
      </c>
      <c r="SQ37" s="55" t="str">
        <f>IF(DM37="","",COUNTIFS($D$25:$D$267,Parameters!$K$2,$E$25:$E$267,Parameters!$M$7,Calendrier!$C$25:$C$267,DM37)+ COUNTIFS($D$25:$D$267,Parameters!$K$4,$E$25:$E$267,Parameters!$M$7,Calendrier!$C$25:$C$267,DM37))</f>
        <v/>
      </c>
      <c r="SR37" s="55">
        <f>IF(DN37="","",COUNTIFS($D$25:$D$267,Parameters!$K$2,$E$25:$E$267,Parameters!$M$7,Calendrier!$C$25:$C$267,DN37)+ COUNTIFS($D$25:$D$267,Parameters!$K$3,$E$25:$E$267,Parameters!$M$7,Calendrier!$C$25:$C$267,DN37))</f>
        <v>0</v>
      </c>
      <c r="SS37" s="55">
        <f>IF(DO37="","",COUNTIFS($D$25:$D$267,Parameters!$K$2,$E$25:$E$267,Parameters!$M$7,Calendrier!$C$25:$C$267,DO37)+ COUNTIFS($D$25:$D$267,Parameters!$K$4,$E$25:$E$267,Parameters!$M$7,Calendrier!$C$25:$C$267,DO37))</f>
        <v>0</v>
      </c>
      <c r="ST37" s="55">
        <f>IF(DP37="","",COUNTIFS($D$25:$D$267,Parameters!$K$2,$E$25:$E$267,Parameters!$M$7,Calendrier!$C$25:$C$267,DP37)+ COUNTIFS($D$25:$D$267,Parameters!$K$3,$E$25:$E$267,Parameters!$M$7,Calendrier!$C$25:$C$267,DP37))</f>
        <v>0</v>
      </c>
      <c r="SU37" s="55">
        <f>IF(DQ37="","",COUNTIFS($D$25:$D$267,Parameters!$K$2,$E$25:$E$267,Parameters!$M$7,Calendrier!$C$25:$C$267,DQ37)+ COUNTIFS($D$25:$D$267,Parameters!$K$4,$E$25:$E$267,Parameters!$M$7,Calendrier!$C$25:$C$267,DQ37))</f>
        <v>0</v>
      </c>
      <c r="SV37" s="55">
        <f>IF(DR37="","",COUNTIFS($D$25:$D$267,Parameters!$K$2,$E$25:$E$267,Parameters!$M$7,Calendrier!$C$25:$C$267,DR37)+ COUNTIFS($D$25:$D$267,Parameters!$K$3,$E$25:$E$267,Parameters!$M$7,Calendrier!$C$25:$C$267,DR37))</f>
        <v>0</v>
      </c>
      <c r="SW37" s="55">
        <f>IF(DS37="","",COUNTIFS($D$25:$D$267,Parameters!$K$2,$E$25:$E$267,Parameters!$M$7,Calendrier!$C$25:$C$267,DS37)+ COUNTIFS($D$25:$D$267,Parameters!$K$4,$E$25:$E$267,Parameters!$M$7,Calendrier!$C$25:$C$267,DS37))</f>
        <v>0</v>
      </c>
      <c r="SX37" s="55">
        <f>IF(DT37="","",COUNTIFS($D$25:$D$267,Parameters!$K$2,$E$25:$E$267,Parameters!$M$7,Calendrier!$C$25:$C$267,DT37)+ COUNTIFS($D$25:$D$267,Parameters!$K$3,$E$25:$E$267,Parameters!$M$7,Calendrier!$C$25:$C$267,DT37))</f>
        <v>0</v>
      </c>
      <c r="SY37" s="56">
        <f>IF(DU37="","",COUNTIFS($D$25:$D$267,Parameters!$K$2,$E$25:$E$267,Parameters!$M$7,Calendrier!$C$25:$C$267,DU37)+ COUNTIFS($D$25:$D$267,Parameters!$K$4,$E$25:$E$267,Parameters!$M$7,Calendrier!$C$25:$C$267,DU37))</f>
        <v>0</v>
      </c>
      <c r="TB37" s="54" t="str">
        <f>IF(DX37="","",COUNTIFS($D$25:$D$267,Parameters!$K$2,$E$25:$E$267,Parameters!$M$7,Calendrier!$C$25:$C$267,DX37)+ COUNTIFS($D$25:$D$267,Parameters!$K$3,$E$25:$E$267,Parameters!$M$7,Calendrier!$C$25:$C$267,DX37))</f>
        <v/>
      </c>
      <c r="TC37" s="55" t="str">
        <f>IF(DY37="","",COUNTIFS($D$25:$D$267,Parameters!$K$2,$E$25:$E$267,Parameters!$M$7,Calendrier!$C$25:$C$267,DY37)+ COUNTIFS($D$25:$D$267,Parameters!$K$4,$E$25:$E$267,Parameters!$M$7,Calendrier!$C$25:$C$267,DY37))</f>
        <v/>
      </c>
      <c r="TD37" s="55" t="str">
        <f>IF(DZ37="","",COUNTIFS($D$25:$D$267,Parameters!$K$2,$E$25:$E$267,Parameters!$M$7,Calendrier!$C$25:$C$267,DZ37)+ COUNTIFS($D$25:$D$267,Parameters!$K$3,$E$25:$E$267,Parameters!$M$7,Calendrier!$C$25:$C$267,DZ37))</f>
        <v/>
      </c>
      <c r="TE37" s="55" t="str">
        <f>IF(EA37="","",COUNTIFS($D$25:$D$267,Parameters!$K$2,$E$25:$E$267,Parameters!$M$7,Calendrier!$C$25:$C$267,EA37)+ COUNTIFS($D$25:$D$267,Parameters!$K$4,$E$25:$E$267,Parameters!$M$7,Calendrier!$C$25:$C$267,EA37))</f>
        <v/>
      </c>
      <c r="TF37" s="55" t="str">
        <f>IF(EB37="","",COUNTIFS($D$25:$D$267,Parameters!$K$2,$E$25:$E$267,Parameters!$M$7,Calendrier!$C$25:$C$267,EB37)+ COUNTIFS($D$25:$D$267,Parameters!$K$3,$E$25:$E$267,Parameters!$M$7,Calendrier!$C$25:$C$267,EB37))</f>
        <v/>
      </c>
      <c r="TG37" s="55" t="str">
        <f>IF(EC37="","",COUNTIFS($D$25:$D$267,Parameters!$K$2,$E$25:$E$267,Parameters!$M$7,Calendrier!$C$25:$C$267,EC37)+ COUNTIFS($D$25:$D$267,Parameters!$K$4,$E$25:$E$267,Parameters!$M$7,Calendrier!$C$25:$C$267,EC37))</f>
        <v/>
      </c>
      <c r="TH37" s="55" t="str">
        <f>IF(ED37="","",COUNTIFS($D$25:$D$267,Parameters!$K$2,$E$25:$E$267,Parameters!$M$7,Calendrier!$C$25:$C$267,ED37)+ COUNTIFS($D$25:$D$267,Parameters!$K$3,$E$25:$E$267,Parameters!$M$7,Calendrier!$C$25:$C$267,ED37))</f>
        <v/>
      </c>
      <c r="TI37" s="55" t="str">
        <f>IF(EE37="","",COUNTIFS($D$25:$D$267,Parameters!$K$2,$E$25:$E$267,Parameters!$M$7,Calendrier!$C$25:$C$267,EE37)+ COUNTIFS($D$25:$D$267,Parameters!$K$4,$E$25:$E$267,Parameters!$M$7,Calendrier!$C$25:$C$267,EE37))</f>
        <v/>
      </c>
      <c r="TJ37" s="55" t="str">
        <f>IF(EF37="","",COUNTIFS($D$25:$D$267,Parameters!$K$2,$E$25:$E$267,Parameters!$M$7,Calendrier!$C$25:$C$267,EF37)+ COUNTIFS($D$25:$D$267,Parameters!$K$3,$E$25:$E$267,Parameters!$M$7,Calendrier!$C$25:$C$267,EF37))</f>
        <v/>
      </c>
      <c r="TK37" s="55" t="str">
        <f>IF(EG37="","",COUNTIFS($D$25:$D$267,Parameters!$K$2,$E$25:$E$267,Parameters!$M$7,Calendrier!$C$25:$C$267,EG37)+ COUNTIFS($D$25:$D$267,Parameters!$K$4,$E$25:$E$267,Parameters!$M$7,Calendrier!$C$25:$C$267,EG37))</f>
        <v/>
      </c>
      <c r="TL37" s="55" t="str">
        <f>IF(EH37="","",COUNTIFS($D$25:$D$267,Parameters!$K$2,$E$25:$E$267,Parameters!$M$7,Calendrier!$C$25:$C$267,EH37)+ COUNTIFS($D$25:$D$267,Parameters!$K$3,$E$25:$E$267,Parameters!$M$7,Calendrier!$C$25:$C$267,EH37))</f>
        <v/>
      </c>
      <c r="TM37" s="55" t="str">
        <f>IF(EI37="","",COUNTIFS($D$25:$D$267,Parameters!$K$2,$E$25:$E$267,Parameters!$M$7,Calendrier!$C$25:$C$267,EI37)+ COUNTIFS($D$25:$D$267,Parameters!$K$4,$E$25:$E$267,Parameters!$M$7,Calendrier!$C$25:$C$267,EI37))</f>
        <v/>
      </c>
      <c r="TN37" s="55">
        <f>IF(EJ37="","",COUNTIFS($D$25:$D$267,Parameters!$K$2,$E$25:$E$267,Parameters!$M$7,Calendrier!$C$25:$C$267,EJ37)+ COUNTIFS($D$25:$D$267,Parameters!$K$3,$E$25:$E$267,Parameters!$M$7,Calendrier!$C$25:$C$267,EJ37))</f>
        <v>0</v>
      </c>
      <c r="TO37" s="56">
        <f>IF(EK37="","",COUNTIFS($D$25:$D$267,Parameters!$K$2,$E$25:$E$267,Parameters!$M$7,Calendrier!$C$25:$C$267,EK37)+ COUNTIFS($D$25:$D$267,Parameters!$K$4,$E$25:$E$267,Parameters!$M$7,Calendrier!$C$25:$C$267,EK37))</f>
        <v>0</v>
      </c>
      <c r="TR37" s="54" t="str">
        <f>IF(EN37="","",COUNTIFS($D$25:$D$267,Parameters!$K$2,$E$25:$E$267,Parameters!$M$7,Calendrier!$C$25:$C$267,EN37)+ COUNTIFS($D$25:$D$267,Parameters!$K$3,$E$25:$E$267,Parameters!$M$7,Calendrier!$C$25:$C$267,EN37))</f>
        <v/>
      </c>
      <c r="TS37" s="55" t="str">
        <f>IF(EO37="","",COUNTIFS($D$25:$D$267,Parameters!$K$2,$E$25:$E$267,Parameters!$M$7,Calendrier!$C$25:$C$267,EO37)+ COUNTIFS($D$25:$D$267,Parameters!$K$4,$E$25:$E$267,Parameters!$M$7,Calendrier!$C$25:$C$267,EO37))</f>
        <v/>
      </c>
      <c r="TT37" s="55">
        <f>IF(EP37="","",COUNTIFS($D$25:$D$267,Parameters!$K$2,$E$25:$E$267,Parameters!$M$7,Calendrier!$C$25:$C$267,EP37)+ COUNTIFS($D$25:$D$267,Parameters!$K$3,$E$25:$E$267,Parameters!$M$7,Calendrier!$C$25:$C$267,EP37))</f>
        <v>0</v>
      </c>
      <c r="TU37" s="55">
        <f>IF(EQ37="","",COUNTIFS($D$25:$D$267,Parameters!$K$2,$E$25:$E$267,Parameters!$M$7,Calendrier!$C$25:$C$267,EQ37)+ COUNTIFS($D$25:$D$267,Parameters!$K$4,$E$25:$E$267,Parameters!$M$7,Calendrier!$C$25:$C$267,EQ37))</f>
        <v>0</v>
      </c>
      <c r="TV37" s="55">
        <f>IF(ER37="","",COUNTIFS($D$25:$D$267,Parameters!$K$2,$E$25:$E$267,Parameters!$M$7,Calendrier!$C$25:$C$267,ER37)+ COUNTIFS($D$25:$D$267,Parameters!$K$3,$E$25:$E$267,Parameters!$M$7,Calendrier!$C$25:$C$267,ER37))</f>
        <v>0</v>
      </c>
      <c r="TW37" s="55">
        <f>IF(ES37="","",COUNTIFS($D$25:$D$267,Parameters!$K$2,$E$25:$E$267,Parameters!$M$7,Calendrier!$C$25:$C$267,ES37)+ COUNTIFS($D$25:$D$267,Parameters!$K$4,$E$25:$E$267,Parameters!$M$7,Calendrier!$C$25:$C$267,ES37))</f>
        <v>0</v>
      </c>
      <c r="TX37" s="55">
        <f>IF(ET37="","",COUNTIFS($D$25:$D$267,Parameters!$K$2,$E$25:$E$267,Parameters!$M$7,Calendrier!$C$25:$C$267,ET37)+ COUNTIFS($D$25:$D$267,Parameters!$K$3,$E$25:$E$267,Parameters!$M$7,Calendrier!$C$25:$C$267,ET37))</f>
        <v>0</v>
      </c>
      <c r="TY37" s="55">
        <f>IF(EU37="","",COUNTIFS($D$25:$D$267,Parameters!$K$2,$E$25:$E$267,Parameters!$M$7,Calendrier!$C$25:$C$267,EU37)+ COUNTIFS($D$25:$D$267,Parameters!$K$4,$E$25:$E$267,Parameters!$M$7,Calendrier!$C$25:$C$267,EU37))</f>
        <v>0</v>
      </c>
      <c r="TZ37" s="55">
        <f>IF(EV37="","",COUNTIFS($D$25:$D$267,Parameters!$K$2,$E$25:$E$267,Parameters!$M$7,Calendrier!$C$25:$C$267,EV37)+ COUNTIFS($D$25:$D$267,Parameters!$K$3,$E$25:$E$267,Parameters!$M$7,Calendrier!$C$25:$C$267,EV37))</f>
        <v>0</v>
      </c>
      <c r="UA37" s="55">
        <f>IF(EW37="","",COUNTIFS($D$25:$D$267,Parameters!$K$2,$E$25:$E$267,Parameters!$M$7,Calendrier!$C$25:$C$267,EW37)+ COUNTIFS($D$25:$D$267,Parameters!$K$4,$E$25:$E$267,Parameters!$M$7,Calendrier!$C$25:$C$267,EW37))</f>
        <v>0</v>
      </c>
      <c r="UB37" s="55">
        <f>IF(EX37="","",COUNTIFS($D$25:$D$267,Parameters!$K$2,$E$25:$E$267,Parameters!$M$7,Calendrier!$C$25:$C$267,EX37)+ COUNTIFS($D$25:$D$267,Parameters!$K$3,$E$25:$E$267,Parameters!$M$7,Calendrier!$C$25:$C$267,EX37))</f>
        <v>0</v>
      </c>
      <c r="UC37" s="55">
        <f>IF(EY37="","",COUNTIFS($D$25:$D$267,Parameters!$K$2,$E$25:$E$267,Parameters!$M$7,Calendrier!$C$25:$C$267,EY37)+ COUNTIFS($D$25:$D$267,Parameters!$K$4,$E$25:$E$267,Parameters!$M$7,Calendrier!$C$25:$C$267,EY37))</f>
        <v>0</v>
      </c>
      <c r="UD37" s="55">
        <f>IF(EZ37="","",COUNTIFS($D$25:$D$267,Parameters!$K$2,$E$25:$E$267,Parameters!$M$7,Calendrier!$C$25:$C$267,EZ37)+ COUNTIFS($D$25:$D$267,Parameters!$K$3,$E$25:$E$267,Parameters!$M$7,Calendrier!$C$25:$C$267,EZ37))</f>
        <v>0</v>
      </c>
      <c r="UE37" s="56">
        <f>IF(FA37="","",COUNTIFS($D$25:$D$267,Parameters!$K$2,$E$25:$E$267,Parameters!$M$7,Calendrier!$C$25:$C$267,FA37)+ COUNTIFS($D$25:$D$267,Parameters!$K$4,$E$25:$E$267,Parameters!$M$7,Calendrier!$C$25:$C$267,FA37))</f>
        <v>0</v>
      </c>
    </row>
    <row r="38" spans="2:551" x14ac:dyDescent="0.3">
      <c r="B38" s="73">
        <f t="shared" si="317"/>
        <v>2025</v>
      </c>
      <c r="C38" s="27">
        <v>45841</v>
      </c>
      <c r="D38" s="30" t="s">
        <v>30</v>
      </c>
      <c r="E38" s="30" t="s">
        <v>36</v>
      </c>
      <c r="F38" s="61"/>
      <c r="G38" s="77"/>
      <c r="K38" s="31"/>
      <c r="L38" s="22">
        <f>X37+1</f>
        <v>5</v>
      </c>
      <c r="M38" s="23"/>
      <c r="N38" s="22">
        <f>L38+1</f>
        <v>6</v>
      </c>
      <c r="O38" s="23"/>
      <c r="P38" s="22">
        <f>N38+1</f>
        <v>7</v>
      </c>
      <c r="Q38" s="23"/>
      <c r="R38" s="22">
        <f>P38+1</f>
        <v>8</v>
      </c>
      <c r="S38" s="23"/>
      <c r="T38" s="22">
        <f>R38+1</f>
        <v>9</v>
      </c>
      <c r="U38" s="23"/>
      <c r="V38" s="22">
        <f>T38+1</f>
        <v>10</v>
      </c>
      <c r="W38" s="23"/>
      <c r="X38" s="22">
        <f>V38+1</f>
        <v>11</v>
      </c>
      <c r="Y38" s="23"/>
      <c r="Z38" s="31"/>
      <c r="AA38" s="31"/>
      <c r="AB38" s="22">
        <f t="shared" ref="AB38:AB40" si="504">AN37+1</f>
        <v>2</v>
      </c>
      <c r="AC38" s="23"/>
      <c r="AD38" s="22">
        <f>AB38+1</f>
        <v>3</v>
      </c>
      <c r="AE38" s="23"/>
      <c r="AF38" s="22">
        <f>AD38+1</f>
        <v>4</v>
      </c>
      <c r="AG38" s="23"/>
      <c r="AH38" s="22">
        <f>AF38+1</f>
        <v>5</v>
      </c>
      <c r="AI38" s="23"/>
      <c r="AJ38" s="22">
        <f>AH38+1</f>
        <v>6</v>
      </c>
      <c r="AK38" s="23"/>
      <c r="AL38" s="22">
        <f>AJ38+1</f>
        <v>7</v>
      </c>
      <c r="AM38" s="23"/>
      <c r="AN38" s="22">
        <f>AL38+1</f>
        <v>8</v>
      </c>
      <c r="AO38" s="23"/>
      <c r="AP38" s="31"/>
      <c r="AQ38" s="31"/>
      <c r="AR38" s="22">
        <f>BD37+1</f>
        <v>7</v>
      </c>
      <c r="AS38" s="23"/>
      <c r="AT38" s="22">
        <f>AR38+1</f>
        <v>8</v>
      </c>
      <c r="AU38" s="23"/>
      <c r="AV38" s="22">
        <f>AT38+1</f>
        <v>9</v>
      </c>
      <c r="AW38" s="23"/>
      <c r="AX38" s="22">
        <f>AV38+1</f>
        <v>10</v>
      </c>
      <c r="AY38" s="23"/>
      <c r="AZ38" s="22">
        <f>AX38+1</f>
        <v>11</v>
      </c>
      <c r="BA38" s="23"/>
      <c r="BB38" s="22">
        <f>AZ38+1</f>
        <v>12</v>
      </c>
      <c r="BC38" s="23"/>
      <c r="BD38" s="22">
        <f>BB38+1</f>
        <v>13</v>
      </c>
      <c r="BE38" s="23"/>
      <c r="BF38" s="31"/>
      <c r="BG38" s="31"/>
      <c r="BJ38" s="42"/>
      <c r="BK38" s="6">
        <v>10</v>
      </c>
      <c r="BL38" s="6">
        <v>10</v>
      </c>
      <c r="BM38" s="6">
        <v>10</v>
      </c>
      <c r="BN38" s="6">
        <v>10</v>
      </c>
      <c r="BO38" s="6">
        <v>10</v>
      </c>
      <c r="BP38" s="6">
        <v>10</v>
      </c>
      <c r="BQ38" s="6">
        <v>10</v>
      </c>
      <c r="BR38" s="6">
        <v>10</v>
      </c>
      <c r="BS38" s="6">
        <v>10</v>
      </c>
      <c r="BT38" s="6">
        <v>10</v>
      </c>
      <c r="BU38" s="6">
        <v>10</v>
      </c>
      <c r="BV38" s="6">
        <v>10</v>
      </c>
      <c r="BW38" s="6">
        <v>10</v>
      </c>
      <c r="CA38" s="6">
        <v>11</v>
      </c>
      <c r="CB38" s="6">
        <v>11</v>
      </c>
      <c r="CC38" s="6">
        <v>11</v>
      </c>
      <c r="CD38" s="6">
        <v>11</v>
      </c>
      <c r="CE38" s="6">
        <v>11</v>
      </c>
      <c r="CF38" s="6">
        <v>11</v>
      </c>
      <c r="CG38" s="6">
        <v>11</v>
      </c>
      <c r="CH38" s="6">
        <v>11</v>
      </c>
      <c r="CI38" s="6">
        <v>11</v>
      </c>
      <c r="CJ38" s="6">
        <v>11</v>
      </c>
      <c r="CK38" s="6">
        <v>11</v>
      </c>
      <c r="CL38" s="6">
        <v>11</v>
      </c>
      <c r="CM38" s="6">
        <v>11</v>
      </c>
      <c r="CQ38" s="6">
        <v>12</v>
      </c>
      <c r="CR38" s="6">
        <v>12</v>
      </c>
      <c r="CS38" s="6">
        <v>12</v>
      </c>
      <c r="CT38" s="6">
        <v>12</v>
      </c>
      <c r="CU38" s="6">
        <v>12</v>
      </c>
      <c r="CV38" s="6">
        <v>12</v>
      </c>
      <c r="CW38" s="6">
        <v>12</v>
      </c>
      <c r="CX38" s="6">
        <v>12</v>
      </c>
      <c r="CY38" s="6">
        <v>12</v>
      </c>
      <c r="CZ38" s="6">
        <v>12</v>
      </c>
      <c r="DA38" s="6">
        <v>12</v>
      </c>
      <c r="DB38" s="6">
        <v>12</v>
      </c>
      <c r="DC38" s="6">
        <v>12</v>
      </c>
      <c r="DG38" s="42"/>
      <c r="DH38" s="43">
        <f t="shared" ref="DH38:DH42" si="505">IF(L38="","",DATE($K$2,BK38,L38))</f>
        <v>46300</v>
      </c>
      <c r="DI38" s="44">
        <f t="shared" ref="DI38" si="506">DH38</f>
        <v>46300</v>
      </c>
      <c r="DJ38" s="44">
        <f t="shared" si="468"/>
        <v>46301</v>
      </c>
      <c r="DK38" s="44">
        <f t="shared" ref="DK38" si="507">DJ38</f>
        <v>46301</v>
      </c>
      <c r="DL38" s="44">
        <f t="shared" si="470"/>
        <v>46302</v>
      </c>
      <c r="DM38" s="44">
        <f t="shared" ref="DM38" si="508">DL38</f>
        <v>46302</v>
      </c>
      <c r="DN38" s="44">
        <f t="shared" si="472"/>
        <v>46303</v>
      </c>
      <c r="DO38" s="44">
        <f t="shared" ref="DO38" si="509">DN38</f>
        <v>46303</v>
      </c>
      <c r="DP38" s="44">
        <f t="shared" si="474"/>
        <v>46304</v>
      </c>
      <c r="DQ38" s="44">
        <f t="shared" ref="DQ38" si="510">DP38</f>
        <v>46304</v>
      </c>
      <c r="DR38" s="44">
        <f t="shared" si="476"/>
        <v>46305</v>
      </c>
      <c r="DS38" s="44">
        <f t="shared" ref="DS38" si="511">DR38</f>
        <v>46305</v>
      </c>
      <c r="DT38" s="44">
        <f t="shared" si="478"/>
        <v>46306</v>
      </c>
      <c r="DU38" s="45">
        <f t="shared" ref="DU38" si="512">DT38</f>
        <v>46306</v>
      </c>
      <c r="DX38" s="43">
        <f t="shared" ref="DX38:DX42" si="513">IF(AB38="","",DATE($K$2,CA38,AB38))</f>
        <v>46328</v>
      </c>
      <c r="DY38" s="44">
        <f t="shared" ref="DY38" si="514">DX38</f>
        <v>46328</v>
      </c>
      <c r="DZ38" s="44">
        <f t="shared" si="480"/>
        <v>46329</v>
      </c>
      <c r="EA38" s="44">
        <f t="shared" ref="EA38" si="515">DZ38</f>
        <v>46329</v>
      </c>
      <c r="EB38" s="44">
        <f t="shared" si="482"/>
        <v>46330</v>
      </c>
      <c r="EC38" s="44">
        <f t="shared" ref="EC38" si="516">EB38</f>
        <v>46330</v>
      </c>
      <c r="ED38" s="44">
        <f t="shared" si="484"/>
        <v>46331</v>
      </c>
      <c r="EE38" s="44">
        <f t="shared" ref="EE38" si="517">ED38</f>
        <v>46331</v>
      </c>
      <c r="EF38" s="44">
        <f t="shared" si="486"/>
        <v>46332</v>
      </c>
      <c r="EG38" s="44">
        <f t="shared" ref="EG38" si="518">EF38</f>
        <v>46332</v>
      </c>
      <c r="EH38" s="44">
        <f t="shared" si="488"/>
        <v>46333</v>
      </c>
      <c r="EI38" s="44">
        <f t="shared" ref="EI38" si="519">EH38</f>
        <v>46333</v>
      </c>
      <c r="EJ38" s="44">
        <f t="shared" si="490"/>
        <v>46334</v>
      </c>
      <c r="EK38" s="45">
        <f t="shared" si="491"/>
        <v>46334</v>
      </c>
      <c r="EN38" s="43">
        <f t="shared" ref="EN38:EN42" si="520">IF(AR38="","",DATE($K$2,CQ38,AR38))</f>
        <v>46363</v>
      </c>
      <c r="EO38" s="44">
        <f t="shared" ref="EO38" si="521">EN38</f>
        <v>46363</v>
      </c>
      <c r="EP38" s="44">
        <f t="shared" si="492"/>
        <v>46364</v>
      </c>
      <c r="EQ38" s="44">
        <f t="shared" ref="EQ38" si="522">EP38</f>
        <v>46364</v>
      </c>
      <c r="ER38" s="44">
        <f t="shared" si="494"/>
        <v>46365</v>
      </c>
      <c r="ES38" s="44">
        <f t="shared" ref="ES38" si="523">ER38</f>
        <v>46365</v>
      </c>
      <c r="ET38" s="44">
        <f t="shared" si="496"/>
        <v>46366</v>
      </c>
      <c r="EU38" s="44">
        <f t="shared" ref="EU38" si="524">ET38</f>
        <v>46366</v>
      </c>
      <c r="EV38" s="44">
        <f t="shared" si="498"/>
        <v>46367</v>
      </c>
      <c r="EW38" s="44">
        <f t="shared" ref="EW38" si="525">EV38</f>
        <v>46367</v>
      </c>
      <c r="EX38" s="44">
        <f t="shared" si="500"/>
        <v>46368</v>
      </c>
      <c r="EY38" s="44">
        <f t="shared" ref="EY38" si="526">EX38</f>
        <v>46368</v>
      </c>
      <c r="EZ38" s="44">
        <f t="shared" si="502"/>
        <v>46369</v>
      </c>
      <c r="FA38" s="45">
        <f t="shared" si="503"/>
        <v>46369</v>
      </c>
      <c r="FE38" s="49">
        <f>COUNTIFS(Parameters!$S:$S,$D$4,Parameters!$Q:$Q,DH38)</f>
        <v>0</v>
      </c>
      <c r="FF38" s="50">
        <f>COUNTIFS(Parameters!$S:$S,$D$4,Parameters!$Q:$Q,DI38)</f>
        <v>0</v>
      </c>
      <c r="FG38" s="50">
        <f>COUNTIFS(Parameters!$S:$S,$D$4,Parameters!$Q:$Q,DJ38)</f>
        <v>0</v>
      </c>
      <c r="FH38" s="50">
        <f>COUNTIFS(Parameters!$S:$S,$D$4,Parameters!$Q:$Q,DK38)</f>
        <v>0</v>
      </c>
      <c r="FI38" s="50">
        <f>COUNTIFS(Parameters!$S:$S,$D$4,Parameters!$Q:$Q,DL38)</f>
        <v>0</v>
      </c>
      <c r="FJ38" s="50">
        <f>COUNTIFS(Parameters!$S:$S,$D$4,Parameters!$Q:$Q,DM38)</f>
        <v>0</v>
      </c>
      <c r="FK38" s="50">
        <f>COUNTIFS(Parameters!$S:$S,$D$4,Parameters!$Q:$Q,DN38)</f>
        <v>0</v>
      </c>
      <c r="FL38" s="50">
        <f>COUNTIFS(Parameters!$S:$S,$D$4,Parameters!$Q:$Q,DO38)</f>
        <v>0</v>
      </c>
      <c r="FM38" s="50">
        <f>COUNTIFS(Parameters!$S:$S,$D$4,Parameters!$Q:$Q,DP38)</f>
        <v>0</v>
      </c>
      <c r="FN38" s="50">
        <f>COUNTIFS(Parameters!$S:$S,$D$4,Parameters!$Q:$Q,DQ38)</f>
        <v>0</v>
      </c>
      <c r="FO38" s="50">
        <f>COUNTIFS(Parameters!$S:$S,$D$4,Parameters!$Q:$Q,DR38)</f>
        <v>0</v>
      </c>
      <c r="FP38" s="50">
        <f>COUNTIFS(Parameters!$S:$S,$D$4,Parameters!$Q:$Q,DS38)</f>
        <v>0</v>
      </c>
      <c r="FQ38" s="50">
        <f>COUNTIFS(Parameters!$S:$S,$D$4,Parameters!$Q:$Q,DT38)</f>
        <v>0</v>
      </c>
      <c r="FR38" s="57">
        <f>COUNTIFS(Parameters!$S:$S,$D$4,Parameters!$Q:$Q,DU38)</f>
        <v>0</v>
      </c>
      <c r="FU38" s="49">
        <f>COUNTIFS(Parameters!$S:$S,$D$4,Parameters!$Q:$Q,DX38)</f>
        <v>0</v>
      </c>
      <c r="FV38" s="50">
        <f>COUNTIFS(Parameters!$S:$S,$D$4,Parameters!$Q:$Q,DY38)</f>
        <v>0</v>
      </c>
      <c r="FW38" s="50">
        <f>COUNTIFS(Parameters!$S:$S,$D$4,Parameters!$Q:$Q,DZ38)</f>
        <v>0</v>
      </c>
      <c r="FX38" s="50">
        <f>COUNTIFS(Parameters!$S:$S,$D$4,Parameters!$Q:$Q,EA38)</f>
        <v>0</v>
      </c>
      <c r="FY38" s="50">
        <f>COUNTIFS(Parameters!$S:$S,$D$4,Parameters!$Q:$Q,EB38)</f>
        <v>0</v>
      </c>
      <c r="FZ38" s="50">
        <f>COUNTIFS(Parameters!$S:$S,$D$4,Parameters!$Q:$Q,EC38)</f>
        <v>0</v>
      </c>
      <c r="GA38" s="50">
        <f>COUNTIFS(Parameters!$S:$S,$D$4,Parameters!$Q:$Q,ED38)</f>
        <v>0</v>
      </c>
      <c r="GB38" s="50">
        <f>COUNTIFS(Parameters!$S:$S,$D$4,Parameters!$Q:$Q,EE38)</f>
        <v>0</v>
      </c>
      <c r="GC38" s="50">
        <f>COUNTIFS(Parameters!$S:$S,$D$4,Parameters!$Q:$Q,EF38)</f>
        <v>0</v>
      </c>
      <c r="GD38" s="50">
        <f>COUNTIFS(Parameters!$S:$S,$D$4,Parameters!$Q:$Q,EG38)</f>
        <v>0</v>
      </c>
      <c r="GE38" s="50">
        <f>COUNTIFS(Parameters!$S:$S,$D$4,Parameters!$Q:$Q,EH38)</f>
        <v>0</v>
      </c>
      <c r="GF38" s="50">
        <f>COUNTIFS(Parameters!$S:$S,$D$4,Parameters!$Q:$Q,EI38)</f>
        <v>0</v>
      </c>
      <c r="GG38" s="50">
        <f>COUNTIFS(Parameters!$S:$S,$D$4,Parameters!$Q:$Q,EJ38)</f>
        <v>0</v>
      </c>
      <c r="GH38" s="57">
        <f>COUNTIFS(Parameters!$S:$S,$D$4,Parameters!$Q:$Q,EK38)</f>
        <v>0</v>
      </c>
      <c r="GK38" s="49">
        <f>COUNTIFS(Parameters!$S:$S,$D$4,Parameters!$Q:$Q,EN38)</f>
        <v>0</v>
      </c>
      <c r="GL38" s="50">
        <f>COUNTIFS(Parameters!$S:$S,$D$4,Parameters!$Q:$Q,EO38)</f>
        <v>0</v>
      </c>
      <c r="GM38" s="50">
        <f>COUNTIFS(Parameters!$S:$S,$D$4,Parameters!$Q:$Q,EP38)</f>
        <v>0</v>
      </c>
      <c r="GN38" s="50">
        <f>COUNTIFS(Parameters!$S:$S,$D$4,Parameters!$Q:$Q,EQ38)</f>
        <v>0</v>
      </c>
      <c r="GO38" s="50">
        <f>COUNTIFS(Parameters!$S:$S,$D$4,Parameters!$Q:$Q,ER38)</f>
        <v>0</v>
      </c>
      <c r="GP38" s="50">
        <f>COUNTIFS(Parameters!$S:$S,$D$4,Parameters!$Q:$Q,ES38)</f>
        <v>0</v>
      </c>
      <c r="GQ38" s="50">
        <f>COUNTIFS(Parameters!$S:$S,$D$4,Parameters!$Q:$Q,ET38)</f>
        <v>0</v>
      </c>
      <c r="GR38" s="50">
        <f>COUNTIFS(Parameters!$S:$S,$D$4,Parameters!$Q:$Q,EU38)</f>
        <v>0</v>
      </c>
      <c r="GS38" s="50">
        <f>COUNTIFS(Parameters!$S:$S,$D$4,Parameters!$Q:$Q,EV38)</f>
        <v>0</v>
      </c>
      <c r="GT38" s="50">
        <f>COUNTIFS(Parameters!$S:$S,$D$4,Parameters!$Q:$Q,EW38)</f>
        <v>0</v>
      </c>
      <c r="GU38" s="50">
        <f>COUNTIFS(Parameters!$S:$S,$D$4,Parameters!$Q:$Q,EX38)</f>
        <v>0</v>
      </c>
      <c r="GV38" s="50">
        <f>COUNTIFS(Parameters!$S:$S,$D$4,Parameters!$Q:$Q,EY38)</f>
        <v>0</v>
      </c>
      <c r="GW38" s="50">
        <f>COUNTIFS(Parameters!$S:$S,$D$4,Parameters!$Q:$Q,EZ38)</f>
        <v>0</v>
      </c>
      <c r="GX38" s="57">
        <f>COUNTIFS(Parameters!$S:$S,$D$4,Parameters!$Q:$Q,FA38)</f>
        <v>0</v>
      </c>
      <c r="HB38" s="49">
        <f>IF(DH38="","",COUNTIFS($D$25:$D$267,Parameters!$K$2,$E$25:$E$267,Parameters!$M$2,Calendrier!$C$25:$C$267,DH38)+ COUNTIFS($D$25:$D$267,Parameters!$K$3,$E$25:$E$267,Parameters!$M$2,Calendrier!$C$25:$C$267,DH38))</f>
        <v>0</v>
      </c>
      <c r="HC38" s="50">
        <f>IF(DI38="","",COUNTIFS($D$25:$D$267,Parameters!$K$2,$E$25:$E$267,Parameters!$M$2,Calendrier!$C$25:$C$267,DI38)+ COUNTIFS($D$25:$D$267,Parameters!$K$4,$E$25:$E$267,Parameters!$M$2,Calendrier!$C$25:$C$267,DI38))</f>
        <v>0</v>
      </c>
      <c r="HD38" s="50">
        <f>IF(DJ38="","",COUNTIFS($D$25:$D$267,Parameters!$K$2,$E$25:$E$267,Parameters!$M$2,Calendrier!$C$25:$C$267,DJ38)+ COUNTIFS($D$25:$D$267,Parameters!$K$3,$E$25:$E$267,Parameters!$M$2,Calendrier!$C$25:$C$267,DJ38))</f>
        <v>0</v>
      </c>
      <c r="HE38" s="50">
        <f>IF(DK38="","",COUNTIFS($D$25:$D$267,Parameters!$K$2,$E$25:$E$267,Parameters!$M$2,Calendrier!$C$25:$C$267,DK38)+ COUNTIFS($D$25:$D$267,Parameters!$K$4,$E$25:$E$267,Parameters!$M$2,Calendrier!$C$25:$C$267,DK38))</f>
        <v>0</v>
      </c>
      <c r="HF38" s="50">
        <f>IF(DL38="","",COUNTIFS($D$25:$D$267,Parameters!$K$2,$E$25:$E$267,Parameters!$M$2,Calendrier!$C$25:$C$267,DL38)+ COUNTIFS($D$25:$D$267,Parameters!$K$3,$E$25:$E$267,Parameters!$M$2,Calendrier!$C$25:$C$267,DL38))</f>
        <v>0</v>
      </c>
      <c r="HG38" s="50">
        <f>IF(DM38="","",COUNTIFS($D$25:$D$267,Parameters!$K$2,$E$25:$E$267,Parameters!$M$2,Calendrier!$C$25:$C$267,DM38)+ COUNTIFS($D$25:$D$267,Parameters!$K$4,$E$25:$E$267,Parameters!$M$2,Calendrier!$C$25:$C$267,DM38))</f>
        <v>0</v>
      </c>
      <c r="HH38" s="50">
        <f>IF(DN38="","",COUNTIFS($D$25:$D$267,Parameters!$K$2,$E$25:$E$267,Parameters!$M$2,Calendrier!$C$25:$C$267,DN38)+ COUNTIFS($D$25:$D$267,Parameters!$K$3,$E$25:$E$267,Parameters!$M$2,Calendrier!$C$25:$C$267,DN38))</f>
        <v>0</v>
      </c>
      <c r="HI38" s="50">
        <f>IF(DO38="","",COUNTIFS($D$25:$D$267,Parameters!$K$2,$E$25:$E$267,Parameters!$M$2,Calendrier!$C$25:$C$267,DO38)+ COUNTIFS($D$25:$D$267,Parameters!$K$4,$E$25:$E$267,Parameters!$M$2,Calendrier!$C$25:$C$267,DO38))</f>
        <v>0</v>
      </c>
      <c r="HJ38" s="50">
        <f>IF(DP38="","",COUNTIFS($D$25:$D$267,Parameters!$K$2,$E$25:$E$267,Parameters!$M$2,Calendrier!$C$25:$C$267,DP38)+ COUNTIFS($D$25:$D$267,Parameters!$K$3,$E$25:$E$267,Parameters!$M$2,Calendrier!$C$25:$C$267,DP38))</f>
        <v>0</v>
      </c>
      <c r="HK38" s="50">
        <f>IF(DQ38="","",COUNTIFS($D$25:$D$267,Parameters!$K$2,$E$25:$E$267,Parameters!$M$2,Calendrier!$C$25:$C$267,DQ38)+ COUNTIFS($D$25:$D$267,Parameters!$K$4,$E$25:$E$267,Parameters!$M$2,Calendrier!$C$25:$C$267,DQ38))</f>
        <v>0</v>
      </c>
      <c r="HL38" s="50">
        <f>IF(DR38="","",COUNTIFS($D$25:$D$267,Parameters!$K$2,$E$25:$E$267,Parameters!$M$2,Calendrier!$C$25:$C$267,DR38)+ COUNTIFS($D$25:$D$267,Parameters!$K$3,$E$25:$E$267,Parameters!$M$2,Calendrier!$C$25:$C$267,DR38))</f>
        <v>0</v>
      </c>
      <c r="HM38" s="50">
        <f>IF(DS38="","",COUNTIFS($D$25:$D$267,Parameters!$K$2,$E$25:$E$267,Parameters!$M$2,Calendrier!$C$25:$C$267,DS38)+ COUNTIFS($D$25:$D$267,Parameters!$K$4,$E$25:$E$267,Parameters!$M$2,Calendrier!$C$25:$C$267,DS38))</f>
        <v>0</v>
      </c>
      <c r="HN38" s="50">
        <f>IF(DT38="","",COUNTIFS($D$25:$D$267,Parameters!$K$2,$E$25:$E$267,Parameters!$M$2,Calendrier!$C$25:$C$267,DT38)+ COUNTIFS($D$25:$D$267,Parameters!$K$3,$E$25:$E$267,Parameters!$M$2,Calendrier!$C$25:$C$267,DT38))</f>
        <v>0</v>
      </c>
      <c r="HO38" s="57">
        <f>IF(DU38="","",COUNTIFS($D$25:$D$267,Parameters!$K$2,$E$25:$E$267,Parameters!$M$2,Calendrier!$C$25:$C$267,DU38)+ COUNTIFS($D$25:$D$267,Parameters!$K$4,$E$25:$E$267,Parameters!$M$2,Calendrier!$C$25:$C$267,DU38))</f>
        <v>0</v>
      </c>
      <c r="HR38" s="49">
        <f>IF(DX38="","",COUNTIFS($D$25:$D$267,Parameters!$K$2,$E$25:$E$267,Parameters!$M$2,Calendrier!$C$25:$C$267,DX38)+ COUNTIFS($D$25:$D$267,Parameters!$K$3,$E$25:$E$267,Parameters!$M$2,Calendrier!$C$25:$C$267,DX38))</f>
        <v>0</v>
      </c>
      <c r="HS38" s="50">
        <f>IF(DY38="","",COUNTIFS($D$25:$D$267,Parameters!$K$2,$E$25:$E$267,Parameters!$M$2,Calendrier!$C$25:$C$267,DY38)+ COUNTIFS($D$25:$D$267,Parameters!$K$4,$E$25:$E$267,Parameters!$M$2,Calendrier!$C$25:$C$267,DY38))</f>
        <v>0</v>
      </c>
      <c r="HT38" s="50">
        <f>IF(DZ38="","",COUNTIFS($D$25:$D$267,Parameters!$K$2,$E$25:$E$267,Parameters!$M$2,Calendrier!$C$25:$C$267,DZ38)+ COUNTIFS($D$25:$D$267,Parameters!$K$3,$E$25:$E$267,Parameters!$M$2,Calendrier!$C$25:$C$267,DZ38))</f>
        <v>0</v>
      </c>
      <c r="HU38" s="50">
        <f>IF(EA38="","",COUNTIFS($D$25:$D$267,Parameters!$K$2,$E$25:$E$267,Parameters!$M$2,Calendrier!$C$25:$C$267,EA38)+ COUNTIFS($D$25:$D$267,Parameters!$K$4,$E$25:$E$267,Parameters!$M$2,Calendrier!$C$25:$C$267,EA38))</f>
        <v>0</v>
      </c>
      <c r="HV38" s="50">
        <f>IF(EB38="","",COUNTIFS($D$25:$D$267,Parameters!$K$2,$E$25:$E$267,Parameters!$M$2,Calendrier!$C$25:$C$267,EB38)+ COUNTIFS($D$25:$D$267,Parameters!$K$3,$E$25:$E$267,Parameters!$M$2,Calendrier!$C$25:$C$267,EB38))</f>
        <v>0</v>
      </c>
      <c r="HW38" s="50">
        <f>IF(EC38="","",COUNTIFS($D$25:$D$267,Parameters!$K$2,$E$25:$E$267,Parameters!$M$2,Calendrier!$C$25:$C$267,EC38)+ COUNTIFS($D$25:$D$267,Parameters!$K$4,$E$25:$E$267,Parameters!$M$2,Calendrier!$C$25:$C$267,EC38))</f>
        <v>0</v>
      </c>
      <c r="HX38" s="50">
        <f>IF(ED38="","",COUNTIFS($D$25:$D$267,Parameters!$K$2,$E$25:$E$267,Parameters!$M$2,Calendrier!$C$25:$C$267,ED38)+ COUNTIFS($D$25:$D$267,Parameters!$K$3,$E$25:$E$267,Parameters!$M$2,Calendrier!$C$25:$C$267,ED38))</f>
        <v>0</v>
      </c>
      <c r="HY38" s="50">
        <f>IF(EE38="","",COUNTIFS($D$25:$D$267,Parameters!$K$2,$E$25:$E$267,Parameters!$M$2,Calendrier!$C$25:$C$267,EE38)+ COUNTIFS($D$25:$D$267,Parameters!$K$4,$E$25:$E$267,Parameters!$M$2,Calendrier!$C$25:$C$267,EE38))</f>
        <v>0</v>
      </c>
      <c r="HZ38" s="50">
        <f>IF(EF38="","",COUNTIFS($D$25:$D$267,Parameters!$K$2,$E$25:$E$267,Parameters!$M$2,Calendrier!$C$25:$C$267,EF38)+ COUNTIFS($D$25:$D$267,Parameters!$K$3,$E$25:$E$267,Parameters!$M$2,Calendrier!$C$25:$C$267,EF38))</f>
        <v>0</v>
      </c>
      <c r="IA38" s="50">
        <f>IF(EG38="","",COUNTIFS($D$25:$D$267,Parameters!$K$2,$E$25:$E$267,Parameters!$M$2,Calendrier!$C$25:$C$267,EG38)+ COUNTIFS($D$25:$D$267,Parameters!$K$4,$E$25:$E$267,Parameters!$M$2,Calendrier!$C$25:$C$267,EG38))</f>
        <v>0</v>
      </c>
      <c r="IB38" s="50">
        <f>IF(EH38="","",COUNTIFS($D$25:$D$267,Parameters!$K$2,$E$25:$E$267,Parameters!$M$2,Calendrier!$C$25:$C$267,EH38)+ COUNTIFS($D$25:$D$267,Parameters!$K$3,$E$25:$E$267,Parameters!$M$2,Calendrier!$C$25:$C$267,EH38))</f>
        <v>0</v>
      </c>
      <c r="IC38" s="50">
        <f>IF(EI38="","",COUNTIFS($D$25:$D$267,Parameters!$K$2,$E$25:$E$267,Parameters!$M$2,Calendrier!$C$25:$C$267,EI38)+ COUNTIFS($D$25:$D$267,Parameters!$K$4,$E$25:$E$267,Parameters!$M$2,Calendrier!$C$25:$C$267,EI38))</f>
        <v>0</v>
      </c>
      <c r="ID38" s="50">
        <f>IF(EJ38="","",COUNTIFS($D$25:$D$267,Parameters!$K$2,$E$25:$E$267,Parameters!$M$2,Calendrier!$C$25:$C$267,EJ38)+ COUNTIFS($D$25:$D$267,Parameters!$K$3,$E$25:$E$267,Parameters!$M$2,Calendrier!$C$25:$C$267,EJ38))</f>
        <v>0</v>
      </c>
      <c r="IE38" s="57">
        <f>IF(EK38="","",COUNTIFS($D$25:$D$267,Parameters!$K$2,$E$25:$E$267,Parameters!$M$2,Calendrier!$C$25:$C$267,EK38)+ COUNTIFS($D$25:$D$267,Parameters!$K$4,$E$25:$E$267,Parameters!$M$2,Calendrier!$C$25:$C$267,EK38))</f>
        <v>0</v>
      </c>
      <c r="IH38" s="49">
        <f>IF(EN38="","",COUNTIFS($D$25:$D$267,Parameters!$K$2,$E$25:$E$267,Parameters!$M$2,Calendrier!$C$25:$C$267,EN38)+ COUNTIFS($D$25:$D$267,Parameters!$K$3,$E$25:$E$267,Parameters!$M$2,Calendrier!$C$25:$C$267,EN38))</f>
        <v>0</v>
      </c>
      <c r="II38" s="50">
        <f>IF(EO38="","",COUNTIFS($D$25:$D$267,Parameters!$K$2,$E$25:$E$267,Parameters!$M$2,Calendrier!$C$25:$C$267,EO38)+ COUNTIFS($D$25:$D$267,Parameters!$K$4,$E$25:$E$267,Parameters!$M$2,Calendrier!$C$25:$C$267,EO38))</f>
        <v>0</v>
      </c>
      <c r="IJ38" s="50">
        <f>IF(EP38="","",COUNTIFS($D$25:$D$267,Parameters!$K$2,$E$25:$E$267,Parameters!$M$2,Calendrier!$C$25:$C$267,EP38)+ COUNTIFS($D$25:$D$267,Parameters!$K$3,$E$25:$E$267,Parameters!$M$2,Calendrier!$C$25:$C$267,EP38))</f>
        <v>0</v>
      </c>
      <c r="IK38" s="50">
        <f>IF(EQ38="","",COUNTIFS($D$25:$D$267,Parameters!$K$2,$E$25:$E$267,Parameters!$M$2,Calendrier!$C$25:$C$267,EQ38)+ COUNTIFS($D$25:$D$267,Parameters!$K$4,$E$25:$E$267,Parameters!$M$2,Calendrier!$C$25:$C$267,EQ38))</f>
        <v>0</v>
      </c>
      <c r="IL38" s="50">
        <f>IF(ER38="","",COUNTIFS($D$25:$D$267,Parameters!$K$2,$E$25:$E$267,Parameters!$M$2,Calendrier!$C$25:$C$267,ER38)+ COUNTIFS($D$25:$D$267,Parameters!$K$3,$E$25:$E$267,Parameters!$M$2,Calendrier!$C$25:$C$267,ER38))</f>
        <v>0</v>
      </c>
      <c r="IM38" s="50">
        <f>IF(ES38="","",COUNTIFS($D$25:$D$267,Parameters!$K$2,$E$25:$E$267,Parameters!$M$2,Calendrier!$C$25:$C$267,ES38)+ COUNTIFS($D$25:$D$267,Parameters!$K$4,$E$25:$E$267,Parameters!$M$2,Calendrier!$C$25:$C$267,ES38))</f>
        <v>0</v>
      </c>
      <c r="IN38" s="50">
        <f>IF(ET38="","",COUNTIFS($D$25:$D$267,Parameters!$K$2,$E$25:$E$267,Parameters!$M$2,Calendrier!$C$25:$C$267,ET38)+ COUNTIFS($D$25:$D$267,Parameters!$K$3,$E$25:$E$267,Parameters!$M$2,Calendrier!$C$25:$C$267,ET38))</f>
        <v>0</v>
      </c>
      <c r="IO38" s="50">
        <f>IF(EU38="","",COUNTIFS($D$25:$D$267,Parameters!$K$2,$E$25:$E$267,Parameters!$M$2,Calendrier!$C$25:$C$267,EU38)+ COUNTIFS($D$25:$D$267,Parameters!$K$4,$E$25:$E$267,Parameters!$M$2,Calendrier!$C$25:$C$267,EU38))</f>
        <v>0</v>
      </c>
      <c r="IP38" s="50">
        <f>IF(EV38="","",COUNTIFS($D$25:$D$267,Parameters!$K$2,$E$25:$E$267,Parameters!$M$2,Calendrier!$C$25:$C$267,EV38)+ COUNTIFS($D$25:$D$267,Parameters!$K$3,$E$25:$E$267,Parameters!$M$2,Calendrier!$C$25:$C$267,EV38))</f>
        <v>0</v>
      </c>
      <c r="IQ38" s="50">
        <f>IF(EW38="","",COUNTIFS($D$25:$D$267,Parameters!$K$2,$E$25:$E$267,Parameters!$M$2,Calendrier!$C$25:$C$267,EW38)+ COUNTIFS($D$25:$D$267,Parameters!$K$4,$E$25:$E$267,Parameters!$M$2,Calendrier!$C$25:$C$267,EW38))</f>
        <v>0</v>
      </c>
      <c r="IR38" s="50">
        <f>IF(EX38="","",COUNTIFS($D$25:$D$267,Parameters!$K$2,$E$25:$E$267,Parameters!$M$2,Calendrier!$C$25:$C$267,EX38)+ COUNTIFS($D$25:$D$267,Parameters!$K$3,$E$25:$E$267,Parameters!$M$2,Calendrier!$C$25:$C$267,EX38))</f>
        <v>0</v>
      </c>
      <c r="IS38" s="50">
        <f>IF(EY38="","",COUNTIFS($D$25:$D$267,Parameters!$K$2,$E$25:$E$267,Parameters!$M$2,Calendrier!$C$25:$C$267,EY38)+ COUNTIFS($D$25:$D$267,Parameters!$K$4,$E$25:$E$267,Parameters!$M$2,Calendrier!$C$25:$C$267,EY38))</f>
        <v>0</v>
      </c>
      <c r="IT38" s="50">
        <f>IF(EZ38="","",COUNTIFS($D$25:$D$267,Parameters!$K$2,$E$25:$E$267,Parameters!$M$2,Calendrier!$C$25:$C$267,EZ38)+ COUNTIFS($D$25:$D$267,Parameters!$K$3,$E$25:$E$267,Parameters!$M$2,Calendrier!$C$25:$C$267,EZ38))</f>
        <v>0</v>
      </c>
      <c r="IU38" s="57">
        <f>IF(FA38="","",COUNTIFS($D$25:$D$267,Parameters!$K$2,$E$25:$E$267,Parameters!$M$2,Calendrier!$C$25:$C$267,FA38)+ COUNTIFS($D$25:$D$267,Parameters!$K$4,$E$25:$E$267,Parameters!$M$2,Calendrier!$C$25:$C$267,FA38))</f>
        <v>0</v>
      </c>
      <c r="IY38" s="49">
        <f>IF(DH38="","",COUNTIFS($D$25:$D$267,Parameters!$K$2,$E$25:$E$267,Parameters!$M$3,Calendrier!$C$25:$C$267,DH38)+ COUNTIFS($D$25:$D$267,Parameters!$K$3,$E$25:$E$267,Parameters!$M$3,Calendrier!$C$25:$C$267,DH38))</f>
        <v>0</v>
      </c>
      <c r="IZ38" s="50">
        <f>IF(DI38="","",COUNTIFS($D$25:$D$267,Parameters!$K$2,$E$25:$E$267,Parameters!$M$3,Calendrier!$C$25:$C$267,DI38)+ COUNTIFS($D$25:$D$267,Parameters!$K$4,$E$25:$E$267,Parameters!$M$3,Calendrier!$C$25:$C$267,DI38))</f>
        <v>0</v>
      </c>
      <c r="JA38" s="50">
        <f>IF(DJ38="","",COUNTIFS($D$25:$D$267,Parameters!$K$2,$E$25:$E$267,Parameters!$M$3,Calendrier!$C$25:$C$267,DJ38)+ COUNTIFS($D$25:$D$267,Parameters!$K$3,$E$25:$E$267,Parameters!$M$3,Calendrier!$C$25:$C$267,DJ38))</f>
        <v>0</v>
      </c>
      <c r="JB38" s="50">
        <f>IF(DK38="","",COUNTIFS($D$25:$D$267,Parameters!$K$2,$E$25:$E$267,Parameters!$M$3,Calendrier!$C$25:$C$267,DK38)+ COUNTIFS($D$25:$D$267,Parameters!$K$4,$E$25:$E$267,Parameters!$M$3,Calendrier!$C$25:$C$267,DK38))</f>
        <v>0</v>
      </c>
      <c r="JC38" s="50">
        <f>IF(DL38="","",COUNTIFS($D$25:$D$267,Parameters!$K$2,$E$25:$E$267,Parameters!$M$3,Calendrier!$C$25:$C$267,DL38)+ COUNTIFS($D$25:$D$267,Parameters!$K$3,$E$25:$E$267,Parameters!$M$3,Calendrier!$C$25:$C$267,DL38))</f>
        <v>0</v>
      </c>
      <c r="JD38" s="50">
        <f>IF(DM38="","",COUNTIFS($D$25:$D$267,Parameters!$K$2,$E$25:$E$267,Parameters!$M$3,Calendrier!$C$25:$C$267,DM38)+ COUNTIFS($D$25:$D$267,Parameters!$K$4,$E$25:$E$267,Parameters!$M$3,Calendrier!$C$25:$C$267,DM38))</f>
        <v>0</v>
      </c>
      <c r="JE38" s="50">
        <f>IF(DN38="","",COUNTIFS($D$25:$D$267,Parameters!$K$2,$E$25:$E$267,Parameters!$M$3,Calendrier!$C$25:$C$267,DN38)+ COUNTIFS($D$25:$D$267,Parameters!$K$3,$E$25:$E$267,Parameters!$M$3,Calendrier!$C$25:$C$267,DN38))</f>
        <v>0</v>
      </c>
      <c r="JF38" s="50">
        <f>IF(DO38="","",COUNTIFS($D$25:$D$267,Parameters!$K$2,$E$25:$E$267,Parameters!$M$3,Calendrier!$C$25:$C$267,DO38)+ COUNTIFS($D$25:$D$267,Parameters!$K$4,$E$25:$E$267,Parameters!$M$3,Calendrier!$C$25:$C$267,DO38))</f>
        <v>0</v>
      </c>
      <c r="JG38" s="50">
        <f>IF(DP38="","",COUNTIFS($D$25:$D$267,Parameters!$K$2,$E$25:$E$267,Parameters!$M$3,Calendrier!$C$25:$C$267,DP38)+ COUNTIFS($D$25:$D$267,Parameters!$K$3,$E$25:$E$267,Parameters!$M$3,Calendrier!$C$25:$C$267,DP38))</f>
        <v>0</v>
      </c>
      <c r="JH38" s="50">
        <f>IF(DQ38="","",COUNTIFS($D$25:$D$267,Parameters!$K$2,$E$25:$E$267,Parameters!$M$3,Calendrier!$C$25:$C$267,DQ38)+ COUNTIFS($D$25:$D$267,Parameters!$K$4,$E$25:$E$267,Parameters!$M$3,Calendrier!$C$25:$C$267,DQ38))</f>
        <v>0</v>
      </c>
      <c r="JI38" s="50">
        <f>IF(DR38="","",COUNTIFS($D$25:$D$267,Parameters!$K$2,$E$25:$E$267,Parameters!$M$3,Calendrier!$C$25:$C$267,DR38)+ COUNTIFS($D$25:$D$267,Parameters!$K$3,$E$25:$E$267,Parameters!$M$3,Calendrier!$C$25:$C$267,DR38))</f>
        <v>0</v>
      </c>
      <c r="JJ38" s="50">
        <f>IF(DS38="","",COUNTIFS($D$25:$D$267,Parameters!$K$2,$E$25:$E$267,Parameters!$M$3,Calendrier!$C$25:$C$267,DS38)+ COUNTIFS($D$25:$D$267,Parameters!$K$4,$E$25:$E$267,Parameters!$M$3,Calendrier!$C$25:$C$267,DS38))</f>
        <v>0</v>
      </c>
      <c r="JK38" s="50">
        <f>IF(DT38="","",COUNTIFS($D$25:$D$267,Parameters!$K$2,$E$25:$E$267,Parameters!$M$3,Calendrier!$C$25:$C$267,DT38)+ COUNTIFS($D$25:$D$267,Parameters!$K$3,$E$25:$E$267,Parameters!$M$3,Calendrier!$C$25:$C$267,DT38))</f>
        <v>0</v>
      </c>
      <c r="JL38" s="57">
        <f>IF(DU38="","",COUNTIFS($D$25:$D$267,Parameters!$K$2,$E$25:$E$267,Parameters!$M$3,Calendrier!$C$25:$C$267,DU38)+ COUNTIFS($D$25:$D$267,Parameters!$K$4,$E$25:$E$267,Parameters!$M$3,Calendrier!$C$25:$C$267,DU38))</f>
        <v>0</v>
      </c>
      <c r="JO38" s="49">
        <f>IF(DX38="","",COUNTIFS($D$25:$D$267,Parameters!$K$2,$E$25:$E$267,Parameters!$M$3,Calendrier!$C$25:$C$267,DX38)+ COUNTIFS($D$25:$D$267,Parameters!$K$3,$E$25:$E$267,Parameters!$M$3,Calendrier!$C$25:$C$267,DX38))</f>
        <v>0</v>
      </c>
      <c r="JP38" s="50">
        <f>IF(DY38="","",COUNTIFS($D$25:$D$267,Parameters!$K$2,$E$25:$E$267,Parameters!$M$3,Calendrier!$C$25:$C$267,DY38)+ COUNTIFS($D$25:$D$267,Parameters!$K$4,$E$25:$E$267,Parameters!$M$3,Calendrier!$C$25:$C$267,DY38))</f>
        <v>0</v>
      </c>
      <c r="JQ38" s="50">
        <f>IF(DZ38="","",COUNTIFS($D$25:$D$267,Parameters!$K$2,$E$25:$E$267,Parameters!$M$3,Calendrier!$C$25:$C$267,DZ38)+ COUNTIFS($D$25:$D$267,Parameters!$K$3,$E$25:$E$267,Parameters!$M$3,Calendrier!$C$25:$C$267,DZ38))</f>
        <v>0</v>
      </c>
      <c r="JR38" s="50">
        <f>IF(EA38="","",COUNTIFS($D$25:$D$267,Parameters!$K$2,$E$25:$E$267,Parameters!$M$3,Calendrier!$C$25:$C$267,EA38)+ COUNTIFS($D$25:$D$267,Parameters!$K$4,$E$25:$E$267,Parameters!$M$3,Calendrier!$C$25:$C$267,EA38))</f>
        <v>0</v>
      </c>
      <c r="JS38" s="50">
        <f>IF(EB38="","",COUNTIFS($D$25:$D$267,Parameters!$K$2,$E$25:$E$267,Parameters!$M$3,Calendrier!$C$25:$C$267,EB38)+ COUNTIFS($D$25:$D$267,Parameters!$K$3,$E$25:$E$267,Parameters!$M$3,Calendrier!$C$25:$C$267,EB38))</f>
        <v>0</v>
      </c>
      <c r="JT38" s="50">
        <f>IF(EC38="","",COUNTIFS($D$25:$D$267,Parameters!$K$2,$E$25:$E$267,Parameters!$M$3,Calendrier!$C$25:$C$267,EC38)+ COUNTIFS($D$25:$D$267,Parameters!$K$4,$E$25:$E$267,Parameters!$M$3,Calendrier!$C$25:$C$267,EC38))</f>
        <v>0</v>
      </c>
      <c r="JU38" s="50">
        <f>IF(ED38="","",COUNTIFS($D$25:$D$267,Parameters!$K$2,$E$25:$E$267,Parameters!$M$3,Calendrier!$C$25:$C$267,ED38)+ COUNTIFS($D$25:$D$267,Parameters!$K$3,$E$25:$E$267,Parameters!$M$3,Calendrier!$C$25:$C$267,ED38))</f>
        <v>0</v>
      </c>
      <c r="JV38" s="50">
        <f>IF(EE38="","",COUNTIFS($D$25:$D$267,Parameters!$K$2,$E$25:$E$267,Parameters!$M$3,Calendrier!$C$25:$C$267,EE38)+ COUNTIFS($D$25:$D$267,Parameters!$K$4,$E$25:$E$267,Parameters!$M$3,Calendrier!$C$25:$C$267,EE38))</f>
        <v>0</v>
      </c>
      <c r="JW38" s="50">
        <f>IF(EF38="","",COUNTIFS($D$25:$D$267,Parameters!$K$2,$E$25:$E$267,Parameters!$M$3,Calendrier!$C$25:$C$267,EF38)+ COUNTIFS($D$25:$D$267,Parameters!$K$3,$E$25:$E$267,Parameters!$M$3,Calendrier!$C$25:$C$267,EF38))</f>
        <v>0</v>
      </c>
      <c r="JX38" s="50">
        <f>IF(EG38="","",COUNTIFS($D$25:$D$267,Parameters!$K$2,$E$25:$E$267,Parameters!$M$3,Calendrier!$C$25:$C$267,EG38)+ COUNTIFS($D$25:$D$267,Parameters!$K$4,$E$25:$E$267,Parameters!$M$3,Calendrier!$C$25:$C$267,EG38))</f>
        <v>0</v>
      </c>
      <c r="JY38" s="50">
        <f>IF(EH38="","",COUNTIFS($D$25:$D$267,Parameters!$K$2,$E$25:$E$267,Parameters!$M$3,Calendrier!$C$25:$C$267,EH38)+ COUNTIFS($D$25:$D$267,Parameters!$K$3,$E$25:$E$267,Parameters!$M$3,Calendrier!$C$25:$C$267,EH38))</f>
        <v>0</v>
      </c>
      <c r="JZ38" s="50">
        <f>IF(EI38="","",COUNTIFS($D$25:$D$267,Parameters!$K$2,$E$25:$E$267,Parameters!$M$3,Calendrier!$C$25:$C$267,EI38)+ COUNTIFS($D$25:$D$267,Parameters!$K$4,$E$25:$E$267,Parameters!$M$3,Calendrier!$C$25:$C$267,EI38))</f>
        <v>0</v>
      </c>
      <c r="KA38" s="50">
        <f>IF(EJ38="","",COUNTIFS($D$25:$D$267,Parameters!$K$2,$E$25:$E$267,Parameters!$M$3,Calendrier!$C$25:$C$267,EJ38)+ COUNTIFS($D$25:$D$267,Parameters!$K$3,$E$25:$E$267,Parameters!$M$3,Calendrier!$C$25:$C$267,EJ38))</f>
        <v>0</v>
      </c>
      <c r="KB38" s="57">
        <f>IF(EK38="","",COUNTIFS($D$25:$D$267,Parameters!$K$2,$E$25:$E$267,Parameters!$M$3,Calendrier!$C$25:$C$267,EK38)+ COUNTIFS($D$25:$D$267,Parameters!$K$4,$E$25:$E$267,Parameters!$M$3,Calendrier!$C$25:$C$267,EK38))</f>
        <v>0</v>
      </c>
      <c r="KE38" s="49">
        <f>IF(EN38="","",COUNTIFS($D$25:$D$267,Parameters!$K$2,$E$25:$E$267,Parameters!$M$3,Calendrier!$C$25:$C$267,EN38)+ COUNTIFS($D$25:$D$267,Parameters!$K$3,$E$25:$E$267,Parameters!$M$3,Calendrier!$C$25:$C$267,EN38))</f>
        <v>0</v>
      </c>
      <c r="KF38" s="50">
        <f>IF(EO38="","",COUNTIFS($D$25:$D$267,Parameters!$K$2,$E$25:$E$267,Parameters!$M$3,Calendrier!$C$25:$C$267,EO38)+ COUNTIFS($D$25:$D$267,Parameters!$K$4,$E$25:$E$267,Parameters!$M$3,Calendrier!$C$25:$C$267,EO38))</f>
        <v>0</v>
      </c>
      <c r="KG38" s="50">
        <f>IF(EP38="","",COUNTIFS($D$25:$D$267,Parameters!$K$2,$E$25:$E$267,Parameters!$M$3,Calendrier!$C$25:$C$267,EP38)+ COUNTIFS($D$25:$D$267,Parameters!$K$3,$E$25:$E$267,Parameters!$M$3,Calendrier!$C$25:$C$267,EP38))</f>
        <v>0</v>
      </c>
      <c r="KH38" s="50">
        <f>IF(EQ38="","",COUNTIFS($D$25:$D$267,Parameters!$K$2,$E$25:$E$267,Parameters!$M$3,Calendrier!$C$25:$C$267,EQ38)+ COUNTIFS($D$25:$D$267,Parameters!$K$4,$E$25:$E$267,Parameters!$M$3,Calendrier!$C$25:$C$267,EQ38))</f>
        <v>0</v>
      </c>
      <c r="KI38" s="50">
        <f>IF(ER38="","",COUNTIFS($D$25:$D$267,Parameters!$K$2,$E$25:$E$267,Parameters!$M$3,Calendrier!$C$25:$C$267,ER38)+ COUNTIFS($D$25:$D$267,Parameters!$K$3,$E$25:$E$267,Parameters!$M$3,Calendrier!$C$25:$C$267,ER38))</f>
        <v>0</v>
      </c>
      <c r="KJ38" s="50">
        <f>IF(ES38="","",COUNTIFS($D$25:$D$267,Parameters!$K$2,$E$25:$E$267,Parameters!$M$3,Calendrier!$C$25:$C$267,ES38)+ COUNTIFS($D$25:$D$267,Parameters!$K$4,$E$25:$E$267,Parameters!$M$3,Calendrier!$C$25:$C$267,ES38))</f>
        <v>0</v>
      </c>
      <c r="KK38" s="50">
        <f>IF(ET38="","",COUNTIFS($D$25:$D$267,Parameters!$K$2,$E$25:$E$267,Parameters!$M$3,Calendrier!$C$25:$C$267,ET38)+ COUNTIFS($D$25:$D$267,Parameters!$K$3,$E$25:$E$267,Parameters!$M$3,Calendrier!$C$25:$C$267,ET38))</f>
        <v>0</v>
      </c>
      <c r="KL38" s="50">
        <f>IF(EU38="","",COUNTIFS($D$25:$D$267,Parameters!$K$2,$E$25:$E$267,Parameters!$M$3,Calendrier!$C$25:$C$267,EU38)+ COUNTIFS($D$25:$D$267,Parameters!$K$4,$E$25:$E$267,Parameters!$M$3,Calendrier!$C$25:$C$267,EU38))</f>
        <v>0</v>
      </c>
      <c r="KM38" s="50">
        <f>IF(EV38="","",COUNTIFS($D$25:$D$267,Parameters!$K$2,$E$25:$E$267,Parameters!$M$3,Calendrier!$C$25:$C$267,EV38)+ COUNTIFS($D$25:$D$267,Parameters!$K$3,$E$25:$E$267,Parameters!$M$3,Calendrier!$C$25:$C$267,EV38))</f>
        <v>0</v>
      </c>
      <c r="KN38" s="50">
        <f>IF(EW38="","",COUNTIFS($D$25:$D$267,Parameters!$K$2,$E$25:$E$267,Parameters!$M$3,Calendrier!$C$25:$C$267,EW38)+ COUNTIFS($D$25:$D$267,Parameters!$K$4,$E$25:$E$267,Parameters!$M$3,Calendrier!$C$25:$C$267,EW38))</f>
        <v>0</v>
      </c>
      <c r="KO38" s="50">
        <f>IF(EX38="","",COUNTIFS($D$25:$D$267,Parameters!$K$2,$E$25:$E$267,Parameters!$M$3,Calendrier!$C$25:$C$267,EX38)+ COUNTIFS($D$25:$D$267,Parameters!$K$3,$E$25:$E$267,Parameters!$M$3,Calendrier!$C$25:$C$267,EX38))</f>
        <v>0</v>
      </c>
      <c r="KP38" s="50">
        <f>IF(EY38="","",COUNTIFS($D$25:$D$267,Parameters!$K$2,$E$25:$E$267,Parameters!$M$3,Calendrier!$C$25:$C$267,EY38)+ COUNTIFS($D$25:$D$267,Parameters!$K$4,$E$25:$E$267,Parameters!$M$3,Calendrier!$C$25:$C$267,EY38))</f>
        <v>0</v>
      </c>
      <c r="KQ38" s="50">
        <f>IF(EZ38="","",COUNTIFS($D$25:$D$267,Parameters!$K$2,$E$25:$E$267,Parameters!$M$3,Calendrier!$C$25:$C$267,EZ38)+ COUNTIFS($D$25:$D$267,Parameters!$K$3,$E$25:$E$267,Parameters!$M$3,Calendrier!$C$25:$C$267,EZ38))</f>
        <v>0</v>
      </c>
      <c r="KR38" s="57">
        <f>IF(FA38="","",COUNTIFS($D$25:$D$267,Parameters!$K$2,$E$25:$E$267,Parameters!$M$3,Calendrier!$C$25:$C$267,FA38)+ COUNTIFS($D$25:$D$267,Parameters!$K$4,$E$25:$E$267,Parameters!$M$3,Calendrier!$C$25:$C$267,FA38))</f>
        <v>0</v>
      </c>
      <c r="KV38" s="49">
        <f>IF(DH38="","",COUNTIFS($D$25:$D$267,Parameters!$K$2,$E$25:$E$267,Parameters!$M$4,Calendrier!$C$25:$C$267,DH38)+ COUNTIFS($D$25:$D$267,Parameters!$K$3,$E$25:$E$267,Parameters!$M$4,Calendrier!$C$25:$C$267,DH38))</f>
        <v>0</v>
      </c>
      <c r="KW38" s="50">
        <f>IF(DI38="","",COUNTIFS($D$25:$D$267,Parameters!$K$2,$E$25:$E$267,Parameters!$M$4,Calendrier!$C$25:$C$267,DI38)+ COUNTIFS($D$25:$D$267,Parameters!$K$4,$E$25:$E$267,Parameters!$M$4,Calendrier!$C$25:$C$267,DI38))</f>
        <v>0</v>
      </c>
      <c r="KX38" s="50">
        <f>IF(DJ38="","",COUNTIFS($D$25:$D$267,Parameters!$K$2,$E$25:$E$267,Parameters!$M$4,Calendrier!$C$25:$C$267,DJ38)+ COUNTIFS($D$25:$D$267,Parameters!$K$3,$E$25:$E$267,Parameters!$M$4,Calendrier!$C$25:$C$267,DJ38))</f>
        <v>0</v>
      </c>
      <c r="KY38" s="50">
        <f>IF(DK38="","",COUNTIFS($D$25:$D$267,Parameters!$K$2,$E$25:$E$267,Parameters!$M$4,Calendrier!$C$25:$C$267,DK38)+ COUNTIFS($D$25:$D$267,Parameters!$K$4,$E$25:$E$267,Parameters!$M$4,Calendrier!$C$25:$C$267,DK38))</f>
        <v>0</v>
      </c>
      <c r="KZ38" s="50">
        <f>IF(DL38="","",COUNTIFS($D$25:$D$267,Parameters!$K$2,$E$25:$E$267,Parameters!$M$4,Calendrier!$C$25:$C$267,DL38)+ COUNTIFS($D$25:$D$267,Parameters!$K$3,$E$25:$E$267,Parameters!$M$4,Calendrier!$C$25:$C$267,DL38))</f>
        <v>0</v>
      </c>
      <c r="LA38" s="50">
        <f>IF(DM38="","",COUNTIFS($D$25:$D$267,Parameters!$K$2,$E$25:$E$267,Parameters!$M$4,Calendrier!$C$25:$C$267,DM38)+ COUNTIFS($D$25:$D$267,Parameters!$K$4,$E$25:$E$267,Parameters!$M$4,Calendrier!$C$25:$C$267,DM38))</f>
        <v>0</v>
      </c>
      <c r="LB38" s="50">
        <f>IF(DN38="","",COUNTIFS($D$25:$D$267,Parameters!$K$2,$E$25:$E$267,Parameters!$M$4,Calendrier!$C$25:$C$267,DN38)+ COUNTIFS($D$25:$D$267,Parameters!$K$3,$E$25:$E$267,Parameters!$M$4,Calendrier!$C$25:$C$267,DN38))</f>
        <v>0</v>
      </c>
      <c r="LC38" s="50">
        <f>IF(DO38="","",COUNTIFS($D$25:$D$267,Parameters!$K$2,$E$25:$E$267,Parameters!$M$4,Calendrier!$C$25:$C$267,DO38)+ COUNTIFS($D$25:$D$267,Parameters!$K$4,$E$25:$E$267,Parameters!$M$4,Calendrier!$C$25:$C$267,DO38))</f>
        <v>0</v>
      </c>
      <c r="LD38" s="50">
        <f>IF(DP38="","",COUNTIFS($D$25:$D$267,Parameters!$K$2,$E$25:$E$267,Parameters!$M$4,Calendrier!$C$25:$C$267,DP38)+ COUNTIFS($D$25:$D$267,Parameters!$K$3,$E$25:$E$267,Parameters!$M$4,Calendrier!$C$25:$C$267,DP38))</f>
        <v>0</v>
      </c>
      <c r="LE38" s="50">
        <f>IF(DQ38="","",COUNTIFS($D$25:$D$267,Parameters!$K$2,$E$25:$E$267,Parameters!$M$4,Calendrier!$C$25:$C$267,DQ38)+ COUNTIFS($D$25:$D$267,Parameters!$K$4,$E$25:$E$267,Parameters!$M$4,Calendrier!$C$25:$C$267,DQ38))</f>
        <v>0</v>
      </c>
      <c r="LF38" s="50">
        <f>IF(DR38="","",COUNTIFS($D$25:$D$267,Parameters!$K$2,$E$25:$E$267,Parameters!$M$4,Calendrier!$C$25:$C$267,DR38)+ COUNTIFS($D$25:$D$267,Parameters!$K$3,$E$25:$E$267,Parameters!$M$4,Calendrier!$C$25:$C$267,DR38))</f>
        <v>0</v>
      </c>
      <c r="LG38" s="50">
        <f>IF(DS38="","",COUNTIFS($D$25:$D$267,Parameters!$K$2,$E$25:$E$267,Parameters!$M$4,Calendrier!$C$25:$C$267,DS38)+ COUNTIFS($D$25:$D$267,Parameters!$K$4,$E$25:$E$267,Parameters!$M$4,Calendrier!$C$25:$C$267,DS38))</f>
        <v>0</v>
      </c>
      <c r="LH38" s="50">
        <f>IF(DT38="","",COUNTIFS($D$25:$D$267,Parameters!$K$2,$E$25:$E$267,Parameters!$M$4,Calendrier!$C$25:$C$267,DT38)+ COUNTIFS($D$25:$D$267,Parameters!$K$3,$E$25:$E$267,Parameters!$M$4,Calendrier!$C$25:$C$267,DT38))</f>
        <v>0</v>
      </c>
      <c r="LI38" s="57">
        <f>IF(DU38="","",COUNTIFS($D$25:$D$267,Parameters!$K$2,$E$25:$E$267,Parameters!$M$4,Calendrier!$C$25:$C$267,DU38)+ COUNTIFS($D$25:$D$267,Parameters!$K$4,$E$25:$E$267,Parameters!$M$4,Calendrier!$C$25:$C$267,DU38))</f>
        <v>0</v>
      </c>
      <c r="LL38" s="49">
        <f>IF(DX38="","",COUNTIFS($D$25:$D$267,Parameters!$K$2,$E$25:$E$267,Parameters!$M$4,Calendrier!$C$25:$C$267,DX38)+ COUNTIFS($D$25:$D$267,Parameters!$K$3,$E$25:$E$267,Parameters!$M$4,Calendrier!$C$25:$C$267,DX38))</f>
        <v>0</v>
      </c>
      <c r="LM38" s="50">
        <f>IF(DY38="","",COUNTIFS($D$25:$D$267,Parameters!$K$2,$E$25:$E$267,Parameters!$M$4,Calendrier!$C$25:$C$267,DY38)+ COUNTIFS($D$25:$D$267,Parameters!$K$4,$E$25:$E$267,Parameters!$M$4,Calendrier!$C$25:$C$267,DY38))</f>
        <v>0</v>
      </c>
      <c r="LN38" s="50">
        <f>IF(DZ38="","",COUNTIFS($D$25:$D$267,Parameters!$K$2,$E$25:$E$267,Parameters!$M$4,Calendrier!$C$25:$C$267,DZ38)+ COUNTIFS($D$25:$D$267,Parameters!$K$3,$E$25:$E$267,Parameters!$M$4,Calendrier!$C$25:$C$267,DZ38))</f>
        <v>0</v>
      </c>
      <c r="LO38" s="50">
        <f>IF(EA38="","",COUNTIFS($D$25:$D$267,Parameters!$K$2,$E$25:$E$267,Parameters!$M$4,Calendrier!$C$25:$C$267,EA38)+ COUNTIFS($D$25:$D$267,Parameters!$K$4,$E$25:$E$267,Parameters!$M$4,Calendrier!$C$25:$C$267,EA38))</f>
        <v>0</v>
      </c>
      <c r="LP38" s="50">
        <f>IF(EB38="","",COUNTIFS($D$25:$D$267,Parameters!$K$2,$E$25:$E$267,Parameters!$M$4,Calendrier!$C$25:$C$267,EB38)+ COUNTIFS($D$25:$D$267,Parameters!$K$3,$E$25:$E$267,Parameters!$M$4,Calendrier!$C$25:$C$267,EB38))</f>
        <v>0</v>
      </c>
      <c r="LQ38" s="50">
        <f>IF(EC38="","",COUNTIFS($D$25:$D$267,Parameters!$K$2,$E$25:$E$267,Parameters!$M$4,Calendrier!$C$25:$C$267,EC38)+ COUNTIFS($D$25:$D$267,Parameters!$K$4,$E$25:$E$267,Parameters!$M$4,Calendrier!$C$25:$C$267,EC38))</f>
        <v>0</v>
      </c>
      <c r="LR38" s="50">
        <f>IF(ED38="","",COUNTIFS($D$25:$D$267,Parameters!$K$2,$E$25:$E$267,Parameters!$M$4,Calendrier!$C$25:$C$267,ED38)+ COUNTIFS($D$25:$D$267,Parameters!$K$3,$E$25:$E$267,Parameters!$M$4,Calendrier!$C$25:$C$267,ED38))</f>
        <v>0</v>
      </c>
      <c r="LS38" s="50">
        <f>IF(EE38="","",COUNTIFS($D$25:$D$267,Parameters!$K$2,$E$25:$E$267,Parameters!$M$4,Calendrier!$C$25:$C$267,EE38)+ COUNTIFS($D$25:$D$267,Parameters!$K$4,$E$25:$E$267,Parameters!$M$4,Calendrier!$C$25:$C$267,EE38))</f>
        <v>0</v>
      </c>
      <c r="LT38" s="50">
        <f>IF(EF38="","",COUNTIFS($D$25:$D$267,Parameters!$K$2,$E$25:$E$267,Parameters!$M$4,Calendrier!$C$25:$C$267,EF38)+ COUNTIFS($D$25:$D$267,Parameters!$K$3,$E$25:$E$267,Parameters!$M$4,Calendrier!$C$25:$C$267,EF38))</f>
        <v>0</v>
      </c>
      <c r="LU38" s="50">
        <f>IF(EG38="","",COUNTIFS($D$25:$D$267,Parameters!$K$2,$E$25:$E$267,Parameters!$M$4,Calendrier!$C$25:$C$267,EG38)+ COUNTIFS($D$25:$D$267,Parameters!$K$4,$E$25:$E$267,Parameters!$M$4,Calendrier!$C$25:$C$267,EG38))</f>
        <v>0</v>
      </c>
      <c r="LV38" s="50">
        <f>IF(EH38="","",COUNTIFS($D$25:$D$267,Parameters!$K$2,$E$25:$E$267,Parameters!$M$4,Calendrier!$C$25:$C$267,EH38)+ COUNTIFS($D$25:$D$267,Parameters!$K$3,$E$25:$E$267,Parameters!$M$4,Calendrier!$C$25:$C$267,EH38))</f>
        <v>0</v>
      </c>
      <c r="LW38" s="50">
        <f>IF(EI38="","",COUNTIFS($D$25:$D$267,Parameters!$K$2,$E$25:$E$267,Parameters!$M$4,Calendrier!$C$25:$C$267,EI38)+ COUNTIFS($D$25:$D$267,Parameters!$K$4,$E$25:$E$267,Parameters!$M$4,Calendrier!$C$25:$C$267,EI38))</f>
        <v>0</v>
      </c>
      <c r="LX38" s="50">
        <f>IF(EJ38="","",COUNTIFS($D$25:$D$267,Parameters!$K$2,$E$25:$E$267,Parameters!$M$4,Calendrier!$C$25:$C$267,EJ38)+ COUNTIFS($D$25:$D$267,Parameters!$K$3,$E$25:$E$267,Parameters!$M$4,Calendrier!$C$25:$C$267,EJ38))</f>
        <v>0</v>
      </c>
      <c r="LY38" s="57">
        <f>IF(EK38="","",COUNTIFS($D$25:$D$267,Parameters!$K$2,$E$25:$E$267,Parameters!$M$4,Calendrier!$C$25:$C$267,EK38)+ COUNTIFS($D$25:$D$267,Parameters!$K$4,$E$25:$E$267,Parameters!$M$4,Calendrier!$C$25:$C$267,EK38))</f>
        <v>0</v>
      </c>
      <c r="MB38" s="49">
        <f>IF(EN38="","",COUNTIFS($D$25:$D$267,Parameters!$K$2,$E$25:$E$267,Parameters!$M$4,Calendrier!$C$25:$C$267,EN38)+ COUNTIFS($D$25:$D$267,Parameters!$K$3,$E$25:$E$267,Parameters!$M$4,Calendrier!$C$25:$C$267,EN38))</f>
        <v>0</v>
      </c>
      <c r="MC38" s="50">
        <f>IF(EO38="","",COUNTIFS($D$25:$D$267,Parameters!$K$2,$E$25:$E$267,Parameters!$M$4,Calendrier!$C$25:$C$267,EO38)+ COUNTIFS($D$25:$D$267,Parameters!$K$4,$E$25:$E$267,Parameters!$M$4,Calendrier!$C$25:$C$267,EO38))</f>
        <v>0</v>
      </c>
      <c r="MD38" s="50">
        <f>IF(EP38="","",COUNTIFS($D$25:$D$267,Parameters!$K$2,$E$25:$E$267,Parameters!$M$4,Calendrier!$C$25:$C$267,EP38)+ COUNTIFS($D$25:$D$267,Parameters!$K$3,$E$25:$E$267,Parameters!$M$4,Calendrier!$C$25:$C$267,EP38))</f>
        <v>0</v>
      </c>
      <c r="ME38" s="50">
        <f>IF(EQ38="","",COUNTIFS($D$25:$D$267,Parameters!$K$2,$E$25:$E$267,Parameters!$M$4,Calendrier!$C$25:$C$267,EQ38)+ COUNTIFS($D$25:$D$267,Parameters!$K$4,$E$25:$E$267,Parameters!$M$4,Calendrier!$C$25:$C$267,EQ38))</f>
        <v>0</v>
      </c>
      <c r="MF38" s="50">
        <f>IF(ER38="","",COUNTIFS($D$25:$D$267,Parameters!$K$2,$E$25:$E$267,Parameters!$M$4,Calendrier!$C$25:$C$267,ER38)+ COUNTIFS($D$25:$D$267,Parameters!$K$3,$E$25:$E$267,Parameters!$M$4,Calendrier!$C$25:$C$267,ER38))</f>
        <v>0</v>
      </c>
      <c r="MG38" s="50">
        <f>IF(ES38="","",COUNTIFS($D$25:$D$267,Parameters!$K$2,$E$25:$E$267,Parameters!$M$4,Calendrier!$C$25:$C$267,ES38)+ COUNTIFS($D$25:$D$267,Parameters!$K$4,$E$25:$E$267,Parameters!$M$4,Calendrier!$C$25:$C$267,ES38))</f>
        <v>0</v>
      </c>
      <c r="MH38" s="50">
        <f>IF(ET38="","",COUNTIFS($D$25:$D$267,Parameters!$K$2,$E$25:$E$267,Parameters!$M$4,Calendrier!$C$25:$C$267,ET38)+ COUNTIFS($D$25:$D$267,Parameters!$K$3,$E$25:$E$267,Parameters!$M$4,Calendrier!$C$25:$C$267,ET38))</f>
        <v>0</v>
      </c>
      <c r="MI38" s="50">
        <f>IF(EU38="","",COUNTIFS($D$25:$D$267,Parameters!$K$2,$E$25:$E$267,Parameters!$M$4,Calendrier!$C$25:$C$267,EU38)+ COUNTIFS($D$25:$D$267,Parameters!$K$4,$E$25:$E$267,Parameters!$M$4,Calendrier!$C$25:$C$267,EU38))</f>
        <v>0</v>
      </c>
      <c r="MJ38" s="50">
        <f>IF(EV38="","",COUNTIFS($D$25:$D$267,Parameters!$K$2,$E$25:$E$267,Parameters!$M$4,Calendrier!$C$25:$C$267,EV38)+ COUNTIFS($D$25:$D$267,Parameters!$K$3,$E$25:$E$267,Parameters!$M$4,Calendrier!$C$25:$C$267,EV38))</f>
        <v>0</v>
      </c>
      <c r="MK38" s="50">
        <f>IF(EW38="","",COUNTIFS($D$25:$D$267,Parameters!$K$2,$E$25:$E$267,Parameters!$M$4,Calendrier!$C$25:$C$267,EW38)+ COUNTIFS($D$25:$D$267,Parameters!$K$4,$E$25:$E$267,Parameters!$M$4,Calendrier!$C$25:$C$267,EW38))</f>
        <v>0</v>
      </c>
      <c r="ML38" s="50">
        <f>IF(EX38="","",COUNTIFS($D$25:$D$267,Parameters!$K$2,$E$25:$E$267,Parameters!$M$4,Calendrier!$C$25:$C$267,EX38)+ COUNTIFS($D$25:$D$267,Parameters!$K$3,$E$25:$E$267,Parameters!$M$4,Calendrier!$C$25:$C$267,EX38))</f>
        <v>0</v>
      </c>
      <c r="MM38" s="50">
        <f>IF(EY38="","",COUNTIFS($D$25:$D$267,Parameters!$K$2,$E$25:$E$267,Parameters!$M$4,Calendrier!$C$25:$C$267,EY38)+ COUNTIFS($D$25:$D$267,Parameters!$K$4,$E$25:$E$267,Parameters!$M$4,Calendrier!$C$25:$C$267,EY38))</f>
        <v>0</v>
      </c>
      <c r="MN38" s="50">
        <f>IF(EZ38="","",COUNTIFS($D$25:$D$267,Parameters!$K$2,$E$25:$E$267,Parameters!$M$4,Calendrier!$C$25:$C$267,EZ38)+ COUNTIFS($D$25:$D$267,Parameters!$K$3,$E$25:$E$267,Parameters!$M$4,Calendrier!$C$25:$C$267,EZ38))</f>
        <v>0</v>
      </c>
      <c r="MO38" s="57">
        <f>IF(FA38="","",COUNTIFS($D$25:$D$267,Parameters!$K$2,$E$25:$E$267,Parameters!$M$4,Calendrier!$C$25:$C$267,FA38)+ COUNTIFS($D$25:$D$267,Parameters!$K$4,$E$25:$E$267,Parameters!$M$4,Calendrier!$C$25:$C$267,FA38))</f>
        <v>0</v>
      </c>
      <c r="MS38" s="49">
        <f>IF(DH38="","",COUNTIFS($D$25:$D$267,Parameters!$K$2,$E$25:$E$267,Parameters!$M$5,Calendrier!$C$25:$C$267,DH38)+ COUNTIFS($D$25:$D$267,Parameters!$K$3,$E$25:$E$267,Parameters!$M$5,Calendrier!$C$25:$C$267,DH38))</f>
        <v>0</v>
      </c>
      <c r="MT38" s="50">
        <f>IF(DI38="","",COUNTIFS($D$25:$D$267,Parameters!$K$2,$E$25:$E$267,Parameters!$M$5,Calendrier!$C$25:$C$267,DI38)+ COUNTIFS($D$25:$D$267,Parameters!$K$4,$E$25:$E$267,Parameters!$M$5,Calendrier!$C$25:$C$267,DI38))</f>
        <v>0</v>
      </c>
      <c r="MU38" s="50">
        <f>IF(DJ38="","",COUNTIFS($D$25:$D$267,Parameters!$K$2,$E$25:$E$267,Parameters!$M$5,Calendrier!$C$25:$C$267,DJ38)+ COUNTIFS($D$25:$D$267,Parameters!$K$3,$E$25:$E$267,Parameters!$M$5,Calendrier!$C$25:$C$267,DJ38))</f>
        <v>0</v>
      </c>
      <c r="MV38" s="50">
        <f>IF(DK38="","",COUNTIFS($D$25:$D$267,Parameters!$K$2,$E$25:$E$267,Parameters!$M$5,Calendrier!$C$25:$C$267,DK38)+ COUNTIFS($D$25:$D$267,Parameters!$K$4,$E$25:$E$267,Parameters!$M$5,Calendrier!$C$25:$C$267,DK38))</f>
        <v>0</v>
      </c>
      <c r="MW38" s="50">
        <f>IF(DL38="","",COUNTIFS($D$25:$D$267,Parameters!$K$2,$E$25:$E$267,Parameters!$M$5,Calendrier!$C$25:$C$267,DL38)+ COUNTIFS($D$25:$D$267,Parameters!$K$3,$E$25:$E$267,Parameters!$M$5,Calendrier!$C$25:$C$267,DL38))</f>
        <v>0</v>
      </c>
      <c r="MX38" s="50">
        <f>IF(DM38="","",COUNTIFS($D$25:$D$267,Parameters!$K$2,$E$25:$E$267,Parameters!$M$5,Calendrier!$C$25:$C$267,DM38)+ COUNTIFS($D$25:$D$267,Parameters!$K$4,$E$25:$E$267,Parameters!$M$5,Calendrier!$C$25:$C$267,DM38))</f>
        <v>0</v>
      </c>
      <c r="MY38" s="50">
        <f>IF(DN38="","",COUNTIFS($D$25:$D$267,Parameters!$K$2,$E$25:$E$267,Parameters!$M$5,Calendrier!$C$25:$C$267,DN38)+ COUNTIFS($D$25:$D$267,Parameters!$K$3,$E$25:$E$267,Parameters!$M$5,Calendrier!$C$25:$C$267,DN38))</f>
        <v>0</v>
      </c>
      <c r="MZ38" s="50">
        <f>IF(DO38="","",COUNTIFS($D$25:$D$267,Parameters!$K$2,$E$25:$E$267,Parameters!$M$5,Calendrier!$C$25:$C$267,DO38)+ COUNTIFS($D$25:$D$267,Parameters!$K$4,$E$25:$E$267,Parameters!$M$5,Calendrier!$C$25:$C$267,DO38))</f>
        <v>0</v>
      </c>
      <c r="NA38" s="50">
        <f>IF(DP38="","",COUNTIFS($D$25:$D$267,Parameters!$K$2,$E$25:$E$267,Parameters!$M$5,Calendrier!$C$25:$C$267,DP38)+ COUNTIFS($D$25:$D$267,Parameters!$K$3,$E$25:$E$267,Parameters!$M$5,Calendrier!$C$25:$C$267,DP38))</f>
        <v>0</v>
      </c>
      <c r="NB38" s="50">
        <f>IF(DQ38="","",COUNTIFS($D$25:$D$267,Parameters!$K$2,$E$25:$E$267,Parameters!$M$5,Calendrier!$C$25:$C$267,DQ38)+ COUNTIFS($D$25:$D$267,Parameters!$K$4,$E$25:$E$267,Parameters!$M$5,Calendrier!$C$25:$C$267,DQ38))</f>
        <v>0</v>
      </c>
      <c r="NC38" s="50">
        <f>IF(DR38="","",COUNTIFS($D$25:$D$267,Parameters!$K$2,$E$25:$E$267,Parameters!$M$5,Calendrier!$C$25:$C$267,DR38)+ COUNTIFS($D$25:$D$267,Parameters!$K$3,$E$25:$E$267,Parameters!$M$5,Calendrier!$C$25:$C$267,DR38))</f>
        <v>0</v>
      </c>
      <c r="ND38" s="50">
        <f>IF(DS38="","",COUNTIFS($D$25:$D$267,Parameters!$K$2,$E$25:$E$267,Parameters!$M$5,Calendrier!$C$25:$C$267,DS38)+ COUNTIFS($D$25:$D$267,Parameters!$K$4,$E$25:$E$267,Parameters!$M$5,Calendrier!$C$25:$C$267,DS38))</f>
        <v>0</v>
      </c>
      <c r="NE38" s="50">
        <f>IF(DT38="","",COUNTIFS($D$25:$D$267,Parameters!$K$2,$E$25:$E$267,Parameters!$M$5,Calendrier!$C$25:$C$267,DT38)+ COUNTIFS($D$25:$D$267,Parameters!$K$3,$E$25:$E$267,Parameters!$M$5,Calendrier!$C$25:$C$267,DT38))</f>
        <v>0</v>
      </c>
      <c r="NF38" s="57">
        <f>IF(DU38="","",COUNTIFS($D$25:$D$267,Parameters!$K$2,$E$25:$E$267,Parameters!$M$5,Calendrier!$C$25:$C$267,DU38)+ COUNTIFS($D$25:$D$267,Parameters!$K$4,$E$25:$E$267,Parameters!$M$5,Calendrier!$C$25:$C$267,DU38))</f>
        <v>0</v>
      </c>
      <c r="NI38" s="49">
        <f>IF(DX38="","",COUNTIFS($D$25:$D$267,Parameters!$K$2,$E$25:$E$267,Parameters!$M$5,Calendrier!$C$25:$C$267,DX38)+ COUNTIFS($D$25:$D$267,Parameters!$K$3,$E$25:$E$267,Parameters!$M$5,Calendrier!$C$25:$C$267,DX38))</f>
        <v>0</v>
      </c>
      <c r="NJ38" s="50">
        <f>IF(DY38="","",COUNTIFS($D$25:$D$267,Parameters!$K$2,$E$25:$E$267,Parameters!$M$5,Calendrier!$C$25:$C$267,DY38)+ COUNTIFS($D$25:$D$267,Parameters!$K$4,$E$25:$E$267,Parameters!$M$5,Calendrier!$C$25:$C$267,DY38))</f>
        <v>0</v>
      </c>
      <c r="NK38" s="50">
        <f>IF(DZ38="","",COUNTIFS($D$25:$D$267,Parameters!$K$2,$E$25:$E$267,Parameters!$M$5,Calendrier!$C$25:$C$267,DZ38)+ COUNTIFS($D$25:$D$267,Parameters!$K$3,$E$25:$E$267,Parameters!$M$5,Calendrier!$C$25:$C$267,DZ38))</f>
        <v>0</v>
      </c>
      <c r="NL38" s="50">
        <f>IF(EA38="","",COUNTIFS($D$25:$D$267,Parameters!$K$2,$E$25:$E$267,Parameters!$M$5,Calendrier!$C$25:$C$267,EA38)+ COUNTIFS($D$25:$D$267,Parameters!$K$4,$E$25:$E$267,Parameters!$M$5,Calendrier!$C$25:$C$267,EA38))</f>
        <v>0</v>
      </c>
      <c r="NM38" s="50">
        <f>IF(EB38="","",COUNTIFS($D$25:$D$267,Parameters!$K$2,$E$25:$E$267,Parameters!$M$5,Calendrier!$C$25:$C$267,EB38)+ COUNTIFS($D$25:$D$267,Parameters!$K$3,$E$25:$E$267,Parameters!$M$5,Calendrier!$C$25:$C$267,EB38))</f>
        <v>0</v>
      </c>
      <c r="NN38" s="50">
        <f>IF(EC38="","",COUNTIFS($D$25:$D$267,Parameters!$K$2,$E$25:$E$267,Parameters!$M$5,Calendrier!$C$25:$C$267,EC38)+ COUNTIFS($D$25:$D$267,Parameters!$K$4,$E$25:$E$267,Parameters!$M$5,Calendrier!$C$25:$C$267,EC38))</f>
        <v>0</v>
      </c>
      <c r="NO38" s="50">
        <f>IF(ED38="","",COUNTIFS($D$25:$D$267,Parameters!$K$2,$E$25:$E$267,Parameters!$M$5,Calendrier!$C$25:$C$267,ED38)+ COUNTIFS($D$25:$D$267,Parameters!$K$3,$E$25:$E$267,Parameters!$M$5,Calendrier!$C$25:$C$267,ED38))</f>
        <v>0</v>
      </c>
      <c r="NP38" s="50">
        <f>IF(EE38="","",COUNTIFS($D$25:$D$267,Parameters!$K$2,$E$25:$E$267,Parameters!$M$5,Calendrier!$C$25:$C$267,EE38)+ COUNTIFS($D$25:$D$267,Parameters!$K$4,$E$25:$E$267,Parameters!$M$5,Calendrier!$C$25:$C$267,EE38))</f>
        <v>0</v>
      </c>
      <c r="NQ38" s="50">
        <f>IF(EF38="","",COUNTIFS($D$25:$D$267,Parameters!$K$2,$E$25:$E$267,Parameters!$M$5,Calendrier!$C$25:$C$267,EF38)+ COUNTIFS($D$25:$D$267,Parameters!$K$3,$E$25:$E$267,Parameters!$M$5,Calendrier!$C$25:$C$267,EF38))</f>
        <v>0</v>
      </c>
      <c r="NR38" s="50">
        <f>IF(EG38="","",COUNTIFS($D$25:$D$267,Parameters!$K$2,$E$25:$E$267,Parameters!$M$5,Calendrier!$C$25:$C$267,EG38)+ COUNTIFS($D$25:$D$267,Parameters!$K$4,$E$25:$E$267,Parameters!$M$5,Calendrier!$C$25:$C$267,EG38))</f>
        <v>0</v>
      </c>
      <c r="NS38" s="50">
        <f>IF(EH38="","",COUNTIFS($D$25:$D$267,Parameters!$K$2,$E$25:$E$267,Parameters!$M$5,Calendrier!$C$25:$C$267,EH38)+ COUNTIFS($D$25:$D$267,Parameters!$K$3,$E$25:$E$267,Parameters!$M$5,Calendrier!$C$25:$C$267,EH38))</f>
        <v>0</v>
      </c>
      <c r="NT38" s="50">
        <f>IF(EI38="","",COUNTIFS($D$25:$D$267,Parameters!$K$2,$E$25:$E$267,Parameters!$M$5,Calendrier!$C$25:$C$267,EI38)+ COUNTIFS($D$25:$D$267,Parameters!$K$4,$E$25:$E$267,Parameters!$M$5,Calendrier!$C$25:$C$267,EI38))</f>
        <v>0</v>
      </c>
      <c r="NU38" s="50">
        <f>IF(EJ38="","",COUNTIFS($D$25:$D$267,Parameters!$K$2,$E$25:$E$267,Parameters!$M$5,Calendrier!$C$25:$C$267,EJ38)+ COUNTIFS($D$25:$D$267,Parameters!$K$3,$E$25:$E$267,Parameters!$M$5,Calendrier!$C$25:$C$267,EJ38))</f>
        <v>0</v>
      </c>
      <c r="NV38" s="57">
        <f>IF(EK38="","",COUNTIFS($D$25:$D$267,Parameters!$K$2,$E$25:$E$267,Parameters!$M$5,Calendrier!$C$25:$C$267,EK38)+ COUNTIFS($D$25:$D$267,Parameters!$K$4,$E$25:$E$267,Parameters!$M$5,Calendrier!$C$25:$C$267,EK38))</f>
        <v>0</v>
      </c>
      <c r="NY38" s="49">
        <f>IF(EN38="","",COUNTIFS($D$25:$D$267,Parameters!$K$2,$E$25:$E$267,Parameters!$M$5,Calendrier!$C$25:$C$267,EN38)+ COUNTIFS($D$25:$D$267,Parameters!$K$3,$E$25:$E$267,Parameters!$M$5,Calendrier!$C$25:$C$267,EN38))</f>
        <v>0</v>
      </c>
      <c r="NZ38" s="50">
        <f>IF(EO38="","",COUNTIFS($D$25:$D$267,Parameters!$K$2,$E$25:$E$267,Parameters!$M$5,Calendrier!$C$25:$C$267,EO38)+ COUNTIFS($D$25:$D$267,Parameters!$K$4,$E$25:$E$267,Parameters!$M$5,Calendrier!$C$25:$C$267,EO38))</f>
        <v>0</v>
      </c>
      <c r="OA38" s="50">
        <f>IF(EP38="","",COUNTIFS($D$25:$D$267,Parameters!$K$2,$E$25:$E$267,Parameters!$M$5,Calendrier!$C$25:$C$267,EP38)+ COUNTIFS($D$25:$D$267,Parameters!$K$3,$E$25:$E$267,Parameters!$M$5,Calendrier!$C$25:$C$267,EP38))</f>
        <v>0</v>
      </c>
      <c r="OB38" s="50">
        <f>IF(EQ38="","",COUNTIFS($D$25:$D$267,Parameters!$K$2,$E$25:$E$267,Parameters!$M$5,Calendrier!$C$25:$C$267,EQ38)+ COUNTIFS($D$25:$D$267,Parameters!$K$4,$E$25:$E$267,Parameters!$M$5,Calendrier!$C$25:$C$267,EQ38))</f>
        <v>0</v>
      </c>
      <c r="OC38" s="50">
        <f>IF(ER38="","",COUNTIFS($D$25:$D$267,Parameters!$K$2,$E$25:$E$267,Parameters!$M$5,Calendrier!$C$25:$C$267,ER38)+ COUNTIFS($D$25:$D$267,Parameters!$K$3,$E$25:$E$267,Parameters!$M$5,Calendrier!$C$25:$C$267,ER38))</f>
        <v>0</v>
      </c>
      <c r="OD38" s="50">
        <f>IF(ES38="","",COUNTIFS($D$25:$D$267,Parameters!$K$2,$E$25:$E$267,Parameters!$M$5,Calendrier!$C$25:$C$267,ES38)+ COUNTIFS($D$25:$D$267,Parameters!$K$4,$E$25:$E$267,Parameters!$M$5,Calendrier!$C$25:$C$267,ES38))</f>
        <v>0</v>
      </c>
      <c r="OE38" s="50">
        <f>IF(ET38="","",COUNTIFS($D$25:$D$267,Parameters!$K$2,$E$25:$E$267,Parameters!$M$5,Calendrier!$C$25:$C$267,ET38)+ COUNTIFS($D$25:$D$267,Parameters!$K$3,$E$25:$E$267,Parameters!$M$5,Calendrier!$C$25:$C$267,ET38))</f>
        <v>0</v>
      </c>
      <c r="OF38" s="50">
        <f>IF(EU38="","",COUNTIFS($D$25:$D$267,Parameters!$K$2,$E$25:$E$267,Parameters!$M$5,Calendrier!$C$25:$C$267,EU38)+ COUNTIFS($D$25:$D$267,Parameters!$K$4,$E$25:$E$267,Parameters!$M$5,Calendrier!$C$25:$C$267,EU38))</f>
        <v>0</v>
      </c>
      <c r="OG38" s="50">
        <f>IF(EV38="","",COUNTIFS($D$25:$D$267,Parameters!$K$2,$E$25:$E$267,Parameters!$M$5,Calendrier!$C$25:$C$267,EV38)+ COUNTIFS($D$25:$D$267,Parameters!$K$3,$E$25:$E$267,Parameters!$M$5,Calendrier!$C$25:$C$267,EV38))</f>
        <v>0</v>
      </c>
      <c r="OH38" s="50">
        <f>IF(EW38="","",COUNTIFS($D$25:$D$267,Parameters!$K$2,$E$25:$E$267,Parameters!$M$5,Calendrier!$C$25:$C$267,EW38)+ COUNTIFS($D$25:$D$267,Parameters!$K$4,$E$25:$E$267,Parameters!$M$5,Calendrier!$C$25:$C$267,EW38))</f>
        <v>0</v>
      </c>
      <c r="OI38" s="50">
        <f>IF(EX38="","",COUNTIFS($D$25:$D$267,Parameters!$K$2,$E$25:$E$267,Parameters!$M$5,Calendrier!$C$25:$C$267,EX38)+ COUNTIFS($D$25:$D$267,Parameters!$K$3,$E$25:$E$267,Parameters!$M$5,Calendrier!$C$25:$C$267,EX38))</f>
        <v>0</v>
      </c>
      <c r="OJ38" s="50">
        <f>IF(EY38="","",COUNTIFS($D$25:$D$267,Parameters!$K$2,$E$25:$E$267,Parameters!$M$5,Calendrier!$C$25:$C$267,EY38)+ COUNTIFS($D$25:$D$267,Parameters!$K$4,$E$25:$E$267,Parameters!$M$5,Calendrier!$C$25:$C$267,EY38))</f>
        <v>0</v>
      </c>
      <c r="OK38" s="50">
        <f>IF(EZ38="","",COUNTIFS($D$25:$D$267,Parameters!$K$2,$E$25:$E$267,Parameters!$M$5,Calendrier!$C$25:$C$267,EZ38)+ COUNTIFS($D$25:$D$267,Parameters!$K$3,$E$25:$E$267,Parameters!$M$5,Calendrier!$C$25:$C$267,EZ38))</f>
        <v>0</v>
      </c>
      <c r="OL38" s="57">
        <f>IF(FA38="","",COUNTIFS($D$25:$D$267,Parameters!$K$2,$E$25:$E$267,Parameters!$M$5,Calendrier!$C$25:$C$267,FA38)+ COUNTIFS($D$25:$D$267,Parameters!$K$4,$E$25:$E$267,Parameters!$M$5,Calendrier!$C$25:$C$267,FA38))</f>
        <v>0</v>
      </c>
      <c r="OP38" s="49">
        <f>IF(DH38="","",COUNTIFS(Parameters!$Y:$Y,$BF$4,Parameters!$X:$X,DH38))</f>
        <v>0</v>
      </c>
      <c r="OQ38" s="50">
        <f>IF(DI38="","",COUNTIFS(Parameters!$Y:$Y,$BF$4,Parameters!$X:$X,DI38))</f>
        <v>0</v>
      </c>
      <c r="OR38" s="50">
        <f>IF(DJ38="","",COUNTIFS(Parameters!$Y:$Y,$BF$4,Parameters!$X:$X,DJ38))</f>
        <v>0</v>
      </c>
      <c r="OS38" s="50">
        <f>IF(DK38="","",COUNTIFS(Parameters!$Y:$Y,$BF$4,Parameters!$X:$X,DK38))</f>
        <v>0</v>
      </c>
      <c r="OT38" s="50">
        <f>IF(DL38="","",COUNTIFS(Parameters!$Y:$Y,$BF$4,Parameters!$X:$X,DL38))</f>
        <v>0</v>
      </c>
      <c r="OU38" s="50">
        <f>IF(DM38="","",COUNTIFS(Parameters!$Y:$Y,$BF$4,Parameters!$X:$X,DM38))</f>
        <v>0</v>
      </c>
      <c r="OV38" s="50">
        <f>IF(DN38="","",COUNTIFS(Parameters!$Y:$Y,$BF$4,Parameters!$X:$X,DN38))</f>
        <v>0</v>
      </c>
      <c r="OW38" s="50">
        <f>IF(DO38="","",COUNTIFS(Parameters!$Y:$Y,$BF$4,Parameters!$X:$X,DO38))</f>
        <v>0</v>
      </c>
      <c r="OX38" s="50">
        <f>IF(DP38="","",COUNTIFS(Parameters!$Y:$Y,$BF$4,Parameters!$X:$X,DP38))</f>
        <v>0</v>
      </c>
      <c r="OY38" s="50">
        <f>IF(DQ38="","",COUNTIFS(Parameters!$Y:$Y,$BF$4,Parameters!$X:$X,DQ38))</f>
        <v>0</v>
      </c>
      <c r="OZ38" s="50">
        <f>IF(DR38="","",COUNTIFS(Parameters!$Y:$Y,$BF$4,Parameters!$X:$X,DR38))</f>
        <v>0</v>
      </c>
      <c r="PA38" s="50">
        <f>IF(DS38="","",COUNTIFS(Parameters!$Y:$Y,$BF$4,Parameters!$X:$X,DS38))</f>
        <v>0</v>
      </c>
      <c r="PB38" s="50">
        <f>IF(DT38="","",COUNTIFS(Parameters!$Y:$Y,$BF$4,Parameters!$X:$X,DT38))</f>
        <v>0</v>
      </c>
      <c r="PC38" s="57">
        <f>IF(DU38="","",COUNTIFS(Parameters!$Y:$Y,$BF$4,Parameters!$X:$X,DU38))</f>
        <v>0</v>
      </c>
      <c r="PF38" s="49">
        <f>IF(DX38="","",COUNTIFS(Parameters!$Y:$Y,$BF$4,Parameters!$X:$X,DX38))</f>
        <v>0</v>
      </c>
      <c r="PG38" s="50">
        <f>IF(DY38="","",COUNTIFS(Parameters!$Y:$Y,$BF$4,Parameters!$X:$X,DY38))</f>
        <v>0</v>
      </c>
      <c r="PH38" s="50">
        <f>IF(DZ38="","",COUNTIFS(Parameters!$Y:$Y,$BF$4,Parameters!$X:$X,DZ38))</f>
        <v>0</v>
      </c>
      <c r="PI38" s="50">
        <f>IF(EA38="","",COUNTIFS(Parameters!$Y:$Y,$BF$4,Parameters!$X:$X,EA38))</f>
        <v>0</v>
      </c>
      <c r="PJ38" s="50">
        <f>IF(EB38="","",COUNTIFS(Parameters!$Y:$Y,$BF$4,Parameters!$X:$X,EB38))</f>
        <v>0</v>
      </c>
      <c r="PK38" s="50">
        <f>IF(EC38="","",COUNTIFS(Parameters!$Y:$Y,$BF$4,Parameters!$X:$X,EC38))</f>
        <v>0</v>
      </c>
      <c r="PL38" s="50">
        <f>IF(ED38="","",COUNTIFS(Parameters!$Y:$Y,$BF$4,Parameters!$X:$X,ED38))</f>
        <v>0</v>
      </c>
      <c r="PM38" s="50">
        <f>IF(EE38="","",COUNTIFS(Parameters!$Y:$Y,$BF$4,Parameters!$X:$X,EE38))</f>
        <v>0</v>
      </c>
      <c r="PN38" s="50">
        <f>IF(EF38="","",COUNTIFS(Parameters!$Y:$Y,$BF$4,Parameters!$X:$X,EF38))</f>
        <v>0</v>
      </c>
      <c r="PO38" s="50">
        <f>IF(EG38="","",COUNTIFS(Parameters!$Y:$Y,$BF$4,Parameters!$X:$X,EG38))</f>
        <v>0</v>
      </c>
      <c r="PP38" s="50">
        <f>IF(EH38="","",COUNTIFS(Parameters!$Y:$Y,$BF$4,Parameters!$X:$X,EH38))</f>
        <v>0</v>
      </c>
      <c r="PQ38" s="50">
        <f>IF(EI38="","",COUNTIFS(Parameters!$Y:$Y,$BF$4,Parameters!$X:$X,EI38))</f>
        <v>0</v>
      </c>
      <c r="PR38" s="50">
        <f>IF(EJ38="","",COUNTIFS(Parameters!$Y:$Y,$BF$4,Parameters!$X:$X,EJ38))</f>
        <v>0</v>
      </c>
      <c r="PS38" s="57">
        <f>IF(EK38="","",COUNTIFS(Parameters!$Y:$Y,$BF$4,Parameters!$X:$X,EK38))</f>
        <v>0</v>
      </c>
      <c r="PV38" s="49">
        <f>IF(EN38="","",COUNTIFS(Parameters!$Y:$Y,$BF$4,Parameters!$X:$X,EN38))</f>
        <v>0</v>
      </c>
      <c r="PW38" s="50">
        <f>IF(EO38="","",COUNTIFS(Parameters!$Y:$Y,$BF$4,Parameters!$X:$X,EO38))</f>
        <v>0</v>
      </c>
      <c r="PX38" s="50">
        <f>IF(EP38="","",COUNTIFS(Parameters!$Y:$Y,$BF$4,Parameters!$X:$X,EP38))</f>
        <v>0</v>
      </c>
      <c r="PY38" s="50">
        <f>IF(EQ38="","",COUNTIFS(Parameters!$Y:$Y,$BF$4,Parameters!$X:$X,EQ38))</f>
        <v>0</v>
      </c>
      <c r="PZ38" s="50">
        <f>IF(ER38="","",COUNTIFS(Parameters!$Y:$Y,$BF$4,Parameters!$X:$X,ER38))</f>
        <v>0</v>
      </c>
      <c r="QA38" s="50">
        <f>IF(ES38="","",COUNTIFS(Parameters!$Y:$Y,$BF$4,Parameters!$X:$X,ES38))</f>
        <v>0</v>
      </c>
      <c r="QB38" s="50">
        <f>IF(ET38="","",COUNTIFS(Parameters!$Y:$Y,$BF$4,Parameters!$X:$X,ET38))</f>
        <v>0</v>
      </c>
      <c r="QC38" s="50">
        <f>IF(EU38="","",COUNTIFS(Parameters!$Y:$Y,$BF$4,Parameters!$X:$X,EU38))</f>
        <v>0</v>
      </c>
      <c r="QD38" s="50">
        <f>IF(EV38="","",COUNTIFS(Parameters!$Y:$Y,$BF$4,Parameters!$X:$X,EV38))</f>
        <v>0</v>
      </c>
      <c r="QE38" s="50">
        <f>IF(EW38="","",COUNTIFS(Parameters!$Y:$Y,$BF$4,Parameters!$X:$X,EW38))</f>
        <v>0</v>
      </c>
      <c r="QF38" s="50">
        <f>IF(EX38="","",COUNTIFS(Parameters!$Y:$Y,$BF$4,Parameters!$X:$X,EX38))</f>
        <v>0</v>
      </c>
      <c r="QG38" s="50">
        <f>IF(EY38="","",COUNTIFS(Parameters!$Y:$Y,$BF$4,Parameters!$X:$X,EY38))</f>
        <v>0</v>
      </c>
      <c r="QH38" s="50">
        <f>IF(EZ38="","",COUNTIFS(Parameters!$Y:$Y,$BF$4,Parameters!$X:$X,EZ38))</f>
        <v>0</v>
      </c>
      <c r="QI38" s="57">
        <f>IF(FA38="","",COUNTIFS(Parameters!$Y:$Y,$BF$4,Parameters!$X:$X,FA38))</f>
        <v>0</v>
      </c>
      <c r="QN38" s="49">
        <f>IF(DH38="","",COUNTIFS($D$25:$D$267,Parameters!$K$2,$E$25:$E$267,Parameters!$M$6,Calendrier!$C$25:$C$267,DH38)+ COUNTIFS($D$25:$D$267,Parameters!$K$3,$E$25:$E$267,Parameters!$M$6,Calendrier!$C$25:$C$267,DH38))</f>
        <v>0</v>
      </c>
      <c r="QO38" s="50">
        <f>IF(DI38="","",COUNTIFS($D$25:$D$267,Parameters!$K$2,$E$25:$E$267,Parameters!$M$6,Calendrier!$C$25:$C$267,DI38)+ COUNTIFS($D$25:$D$267,Parameters!$K$4,$E$25:$E$267,Parameters!$M$6,Calendrier!$C$25:$C$267,DI38))</f>
        <v>0</v>
      </c>
      <c r="QP38" s="50">
        <f>IF(DJ38="","",COUNTIFS($D$25:$D$267,Parameters!$K$2,$E$25:$E$267,Parameters!$M$6,Calendrier!$C$25:$C$267,DJ38)+ COUNTIFS($D$25:$D$267,Parameters!$K$3,$E$25:$E$267,Parameters!$M$6,Calendrier!$C$25:$C$267,DJ38))</f>
        <v>0</v>
      </c>
      <c r="QQ38" s="50">
        <f>IF(DK38="","",COUNTIFS($D$25:$D$267,Parameters!$K$2,$E$25:$E$267,Parameters!$M$6,Calendrier!$C$25:$C$267,DK38)+ COUNTIFS($D$25:$D$267,Parameters!$K$4,$E$25:$E$267,Parameters!$M$6,Calendrier!$C$25:$C$267,DK38))</f>
        <v>0</v>
      </c>
      <c r="QR38" s="50">
        <f>IF(DL38="","",COUNTIFS($D$25:$D$267,Parameters!$K$2,$E$25:$E$267,Parameters!$M$6,Calendrier!$C$25:$C$267,DL38)+ COUNTIFS($D$25:$D$267,Parameters!$K$3,$E$25:$E$267,Parameters!$M$6,Calendrier!$C$25:$C$267,DL38))</f>
        <v>0</v>
      </c>
      <c r="QS38" s="50">
        <f>IF(DM38="","",COUNTIFS($D$25:$D$267,Parameters!$K$2,$E$25:$E$267,Parameters!$M$6,Calendrier!$C$25:$C$267,DM38)+ COUNTIFS($D$25:$D$267,Parameters!$K$4,$E$25:$E$267,Parameters!$M$6,Calendrier!$C$25:$C$267,DM38))</f>
        <v>0</v>
      </c>
      <c r="QT38" s="50">
        <f>IF(DN38="","",COUNTIFS($D$25:$D$267,Parameters!$K$2,$E$25:$E$267,Parameters!$M$6,Calendrier!$C$25:$C$267,DN38)+ COUNTIFS($D$25:$D$267,Parameters!$K$3,$E$25:$E$267,Parameters!$M$6,Calendrier!$C$25:$C$267,DN38))</f>
        <v>0</v>
      </c>
      <c r="QU38" s="50">
        <f>IF(DO38="","",COUNTIFS($D$25:$D$267,Parameters!$K$2,$E$25:$E$267,Parameters!$M$6,Calendrier!$C$25:$C$267,DO38)+ COUNTIFS($D$25:$D$267,Parameters!$K$4,$E$25:$E$267,Parameters!$M$6,Calendrier!$C$25:$C$267,DO38))</f>
        <v>0</v>
      </c>
      <c r="QV38" s="50">
        <f>IF(DP38="","",COUNTIFS($D$25:$D$267,Parameters!$K$2,$E$25:$E$267,Parameters!$M$6,Calendrier!$C$25:$C$267,DP38)+ COUNTIFS($D$25:$D$267,Parameters!$K$3,$E$25:$E$267,Parameters!$M$6,Calendrier!$C$25:$C$267,DP38))</f>
        <v>0</v>
      </c>
      <c r="QW38" s="50">
        <f>IF(DQ38="","",COUNTIFS($D$25:$D$267,Parameters!$K$2,$E$25:$E$267,Parameters!$M$6,Calendrier!$C$25:$C$267,DQ38)+ COUNTIFS($D$25:$D$267,Parameters!$K$4,$E$25:$E$267,Parameters!$M$6,Calendrier!$C$25:$C$267,DQ38))</f>
        <v>0</v>
      </c>
      <c r="QX38" s="50">
        <f>IF(DR38="","",COUNTIFS($D$25:$D$267,Parameters!$K$2,$E$25:$E$267,Parameters!$M$6,Calendrier!$C$25:$C$267,DR38)+ COUNTIFS($D$25:$D$267,Parameters!$K$3,$E$25:$E$267,Parameters!$M$6,Calendrier!$C$25:$C$267,DR38))</f>
        <v>0</v>
      </c>
      <c r="QY38" s="50">
        <f>IF(DS38="","",COUNTIFS($D$25:$D$267,Parameters!$K$2,$E$25:$E$267,Parameters!$M$6,Calendrier!$C$25:$C$267,DS38)+ COUNTIFS($D$25:$D$267,Parameters!$K$4,$E$25:$E$267,Parameters!$M$6,Calendrier!$C$25:$C$267,DS38))</f>
        <v>0</v>
      </c>
      <c r="QZ38" s="50">
        <f>IF(DT38="","",COUNTIFS($D$25:$D$267,Parameters!$K$2,$E$25:$E$267,Parameters!$M$6,Calendrier!$C$25:$C$267,DT38)+ COUNTIFS($D$25:$D$267,Parameters!$K$3,$E$25:$E$267,Parameters!$M$6,Calendrier!$C$25:$C$267,DT38))</f>
        <v>0</v>
      </c>
      <c r="RA38" s="57">
        <f>IF(DU38="","",COUNTIFS($D$25:$D$267,Parameters!$K$2,$E$25:$E$267,Parameters!$M$6,Calendrier!$C$25:$C$267,DU38)+ COUNTIFS($D$25:$D$267,Parameters!$K$4,$E$25:$E$267,Parameters!$M$6,Calendrier!$C$25:$C$267,DU38))</f>
        <v>0</v>
      </c>
      <c r="RD38" s="49">
        <f>IF(DX38="","",COUNTIFS($D$25:$D$267,Parameters!$K$2,$E$25:$E$267,Parameters!$M$6,Calendrier!$C$25:$C$267,DX38)+ COUNTIFS($D$25:$D$267,Parameters!$K$3,$E$25:$E$267,Parameters!$M$6,Calendrier!$C$25:$C$267,DX38))</f>
        <v>0</v>
      </c>
      <c r="RE38" s="50">
        <f>IF(DY38="","",COUNTIFS($D$25:$D$267,Parameters!$K$2,$E$25:$E$267,Parameters!$M$6,Calendrier!$C$25:$C$267,DY38)+ COUNTIFS($D$25:$D$267,Parameters!$K$4,$E$25:$E$267,Parameters!$M$6,Calendrier!$C$25:$C$267,DY38))</f>
        <v>0</v>
      </c>
      <c r="RF38" s="50">
        <f>IF(DZ38="","",COUNTIFS($D$25:$D$267,Parameters!$K$2,$E$25:$E$267,Parameters!$M$6,Calendrier!$C$25:$C$267,DZ38)+ COUNTIFS($D$25:$D$267,Parameters!$K$3,$E$25:$E$267,Parameters!$M$6,Calendrier!$C$25:$C$267,DZ38))</f>
        <v>0</v>
      </c>
      <c r="RG38" s="50">
        <f>IF(EA38="","",COUNTIFS($D$25:$D$267,Parameters!$K$2,$E$25:$E$267,Parameters!$M$6,Calendrier!$C$25:$C$267,EA38)+ COUNTIFS($D$25:$D$267,Parameters!$K$4,$E$25:$E$267,Parameters!$M$6,Calendrier!$C$25:$C$267,EA38))</f>
        <v>0</v>
      </c>
      <c r="RH38" s="50">
        <f>IF(EB38="","",COUNTIFS($D$25:$D$267,Parameters!$K$2,$E$25:$E$267,Parameters!$M$6,Calendrier!$C$25:$C$267,EB38)+ COUNTIFS($D$25:$D$267,Parameters!$K$3,$E$25:$E$267,Parameters!$M$6,Calendrier!$C$25:$C$267,EB38))</f>
        <v>0</v>
      </c>
      <c r="RI38" s="50">
        <f>IF(EC38="","",COUNTIFS($D$25:$D$267,Parameters!$K$2,$E$25:$E$267,Parameters!$M$6,Calendrier!$C$25:$C$267,EC38)+ COUNTIFS($D$25:$D$267,Parameters!$K$4,$E$25:$E$267,Parameters!$M$6,Calendrier!$C$25:$C$267,EC38))</f>
        <v>0</v>
      </c>
      <c r="RJ38" s="50">
        <f>IF(ED38="","",COUNTIFS($D$25:$D$267,Parameters!$K$2,$E$25:$E$267,Parameters!$M$6,Calendrier!$C$25:$C$267,ED38)+ COUNTIFS($D$25:$D$267,Parameters!$K$3,$E$25:$E$267,Parameters!$M$6,Calendrier!$C$25:$C$267,ED38))</f>
        <v>0</v>
      </c>
      <c r="RK38" s="50">
        <f>IF(EE38="","",COUNTIFS($D$25:$D$267,Parameters!$K$2,$E$25:$E$267,Parameters!$M$6,Calendrier!$C$25:$C$267,EE38)+ COUNTIFS($D$25:$D$267,Parameters!$K$4,$E$25:$E$267,Parameters!$M$6,Calendrier!$C$25:$C$267,EE38))</f>
        <v>0</v>
      </c>
      <c r="RL38" s="50">
        <f>IF(EF38="","",COUNTIFS($D$25:$D$267,Parameters!$K$2,$E$25:$E$267,Parameters!$M$6,Calendrier!$C$25:$C$267,EF38)+ COUNTIFS($D$25:$D$267,Parameters!$K$3,$E$25:$E$267,Parameters!$M$6,Calendrier!$C$25:$C$267,EF38))</f>
        <v>0</v>
      </c>
      <c r="RM38" s="50">
        <f>IF(EG38="","",COUNTIFS($D$25:$D$267,Parameters!$K$2,$E$25:$E$267,Parameters!$M$6,Calendrier!$C$25:$C$267,EG38)+ COUNTIFS($D$25:$D$267,Parameters!$K$4,$E$25:$E$267,Parameters!$M$6,Calendrier!$C$25:$C$267,EG38))</f>
        <v>0</v>
      </c>
      <c r="RN38" s="50">
        <f>IF(EH38="","",COUNTIFS($D$25:$D$267,Parameters!$K$2,$E$25:$E$267,Parameters!$M$6,Calendrier!$C$25:$C$267,EH38)+ COUNTIFS($D$25:$D$267,Parameters!$K$3,$E$25:$E$267,Parameters!$M$6,Calendrier!$C$25:$C$267,EH38))</f>
        <v>0</v>
      </c>
      <c r="RO38" s="50">
        <f>IF(EI38="","",COUNTIFS($D$25:$D$267,Parameters!$K$2,$E$25:$E$267,Parameters!$M$6,Calendrier!$C$25:$C$267,EI38)+ COUNTIFS($D$25:$D$267,Parameters!$K$4,$E$25:$E$267,Parameters!$M$6,Calendrier!$C$25:$C$267,EI38))</f>
        <v>0</v>
      </c>
      <c r="RP38" s="50">
        <f>IF(EJ38="","",COUNTIFS($D$25:$D$267,Parameters!$K$2,$E$25:$E$267,Parameters!$M$6,Calendrier!$C$25:$C$267,EJ38)+ COUNTIFS($D$25:$D$267,Parameters!$K$3,$E$25:$E$267,Parameters!$M$6,Calendrier!$C$25:$C$267,EJ38))</f>
        <v>0</v>
      </c>
      <c r="RQ38" s="57">
        <f>IF(EK38="","",COUNTIFS($D$25:$D$267,Parameters!$K$2,$E$25:$E$267,Parameters!$M$6,Calendrier!$C$25:$C$267,EK38)+ COUNTIFS($D$25:$D$267,Parameters!$K$4,$E$25:$E$267,Parameters!$M$6,Calendrier!$C$25:$C$267,EK38))</f>
        <v>0</v>
      </c>
      <c r="RT38" s="49">
        <f>IF(EN38="","",COUNTIFS($D$25:$D$267,Parameters!$K$2,$E$25:$E$267,Parameters!$M$6,Calendrier!$C$25:$C$267,EN38)+ COUNTIFS($D$25:$D$267,Parameters!$K$3,$E$25:$E$267,Parameters!$M$6,Calendrier!$C$25:$C$267,EN38))</f>
        <v>0</v>
      </c>
      <c r="RU38" s="50">
        <f>IF(EO38="","",COUNTIFS($D$25:$D$267,Parameters!$K$2,$E$25:$E$267,Parameters!$M$6,Calendrier!$C$25:$C$267,EO38)+ COUNTIFS($D$25:$D$267,Parameters!$K$4,$E$25:$E$267,Parameters!$M$6,Calendrier!$C$25:$C$267,EO38))</f>
        <v>0</v>
      </c>
      <c r="RV38" s="50">
        <f>IF(EP38="","",COUNTIFS($D$25:$D$267,Parameters!$K$2,$E$25:$E$267,Parameters!$M$6,Calendrier!$C$25:$C$267,EP38)+ COUNTIFS($D$25:$D$267,Parameters!$K$3,$E$25:$E$267,Parameters!$M$6,Calendrier!$C$25:$C$267,EP38))</f>
        <v>0</v>
      </c>
      <c r="RW38" s="50">
        <f>IF(EQ38="","",COUNTIFS($D$25:$D$267,Parameters!$K$2,$E$25:$E$267,Parameters!$M$6,Calendrier!$C$25:$C$267,EQ38)+ COUNTIFS($D$25:$D$267,Parameters!$K$4,$E$25:$E$267,Parameters!$M$6,Calendrier!$C$25:$C$267,EQ38))</f>
        <v>0</v>
      </c>
      <c r="RX38" s="50">
        <f>IF(ER38="","",COUNTIFS($D$25:$D$267,Parameters!$K$2,$E$25:$E$267,Parameters!$M$6,Calendrier!$C$25:$C$267,ER38)+ COUNTIFS($D$25:$D$267,Parameters!$K$3,$E$25:$E$267,Parameters!$M$6,Calendrier!$C$25:$C$267,ER38))</f>
        <v>0</v>
      </c>
      <c r="RY38" s="50">
        <f>IF(ES38="","",COUNTIFS($D$25:$D$267,Parameters!$K$2,$E$25:$E$267,Parameters!$M$6,Calendrier!$C$25:$C$267,ES38)+ COUNTIFS($D$25:$D$267,Parameters!$K$4,$E$25:$E$267,Parameters!$M$6,Calendrier!$C$25:$C$267,ES38))</f>
        <v>0</v>
      </c>
      <c r="RZ38" s="50">
        <f>IF(ET38="","",COUNTIFS($D$25:$D$267,Parameters!$K$2,$E$25:$E$267,Parameters!$M$6,Calendrier!$C$25:$C$267,ET38)+ COUNTIFS($D$25:$D$267,Parameters!$K$3,$E$25:$E$267,Parameters!$M$6,Calendrier!$C$25:$C$267,ET38))</f>
        <v>0</v>
      </c>
      <c r="SA38" s="50">
        <f>IF(EU38="","",COUNTIFS($D$25:$D$267,Parameters!$K$2,$E$25:$E$267,Parameters!$M$6,Calendrier!$C$25:$C$267,EU38)+ COUNTIFS($D$25:$D$267,Parameters!$K$4,$E$25:$E$267,Parameters!$M$6,Calendrier!$C$25:$C$267,EU38))</f>
        <v>0</v>
      </c>
      <c r="SB38" s="50">
        <f>IF(EV38="","",COUNTIFS($D$25:$D$267,Parameters!$K$2,$E$25:$E$267,Parameters!$M$6,Calendrier!$C$25:$C$267,EV38)+ COUNTIFS($D$25:$D$267,Parameters!$K$3,$E$25:$E$267,Parameters!$M$6,Calendrier!$C$25:$C$267,EV38))</f>
        <v>0</v>
      </c>
      <c r="SC38" s="50">
        <f>IF(EW38="","",COUNTIFS($D$25:$D$267,Parameters!$K$2,$E$25:$E$267,Parameters!$M$6,Calendrier!$C$25:$C$267,EW38)+ COUNTIFS($D$25:$D$267,Parameters!$K$4,$E$25:$E$267,Parameters!$M$6,Calendrier!$C$25:$C$267,EW38))</f>
        <v>0</v>
      </c>
      <c r="SD38" s="50">
        <f>IF(EX38="","",COUNTIFS($D$25:$D$267,Parameters!$K$2,$E$25:$E$267,Parameters!$M$6,Calendrier!$C$25:$C$267,EX38)+ COUNTIFS($D$25:$D$267,Parameters!$K$3,$E$25:$E$267,Parameters!$M$6,Calendrier!$C$25:$C$267,EX38))</f>
        <v>0</v>
      </c>
      <c r="SE38" s="50">
        <f>IF(EY38="","",COUNTIFS($D$25:$D$267,Parameters!$K$2,$E$25:$E$267,Parameters!$M$6,Calendrier!$C$25:$C$267,EY38)+ COUNTIFS($D$25:$D$267,Parameters!$K$4,$E$25:$E$267,Parameters!$M$6,Calendrier!$C$25:$C$267,EY38))</f>
        <v>0</v>
      </c>
      <c r="SF38" s="50">
        <f>IF(EZ38="","",COUNTIFS($D$25:$D$267,Parameters!$K$2,$E$25:$E$267,Parameters!$M$6,Calendrier!$C$25:$C$267,EZ38)+ COUNTIFS($D$25:$D$267,Parameters!$K$3,$E$25:$E$267,Parameters!$M$6,Calendrier!$C$25:$C$267,EZ38))</f>
        <v>0</v>
      </c>
      <c r="SG38" s="57">
        <f>IF(FA38="","",COUNTIFS($D$25:$D$267,Parameters!$K$2,$E$25:$E$267,Parameters!$M$6,Calendrier!$C$25:$C$267,FA38)+ COUNTIFS($D$25:$D$267,Parameters!$K$4,$E$25:$E$267,Parameters!$M$6,Calendrier!$C$25:$C$267,FA38))</f>
        <v>0</v>
      </c>
      <c r="SL38" s="49">
        <f>IF(DH38="","",COUNTIFS($D$25:$D$267,Parameters!$K$2,$E$25:$E$267,Parameters!$M$7,Calendrier!$C$25:$C$267,DH38)+ COUNTIFS($D$25:$D$267,Parameters!$K$3,$E$25:$E$267,Parameters!$M$7,Calendrier!$C$25:$C$267,DH38))</f>
        <v>0</v>
      </c>
      <c r="SM38" s="50">
        <f>IF(DI38="","",COUNTIFS($D$25:$D$267,Parameters!$K$2,$E$25:$E$267,Parameters!$M$7,Calendrier!$C$25:$C$267,DI38)+ COUNTIFS($D$25:$D$267,Parameters!$K$4,$E$25:$E$267,Parameters!$M$7,Calendrier!$C$25:$C$267,DI38))</f>
        <v>0</v>
      </c>
      <c r="SN38" s="50">
        <f>IF(DJ38="","",COUNTIFS($D$25:$D$267,Parameters!$K$2,$E$25:$E$267,Parameters!$M$7,Calendrier!$C$25:$C$267,DJ38)+ COUNTIFS($D$25:$D$267,Parameters!$K$3,$E$25:$E$267,Parameters!$M$7,Calendrier!$C$25:$C$267,DJ38))</f>
        <v>0</v>
      </c>
      <c r="SO38" s="50">
        <f>IF(DK38="","",COUNTIFS($D$25:$D$267,Parameters!$K$2,$E$25:$E$267,Parameters!$M$7,Calendrier!$C$25:$C$267,DK38)+ COUNTIFS($D$25:$D$267,Parameters!$K$4,$E$25:$E$267,Parameters!$M$7,Calendrier!$C$25:$C$267,DK38))</f>
        <v>0</v>
      </c>
      <c r="SP38" s="50">
        <f>IF(DL38="","",COUNTIFS($D$25:$D$267,Parameters!$K$2,$E$25:$E$267,Parameters!$M$7,Calendrier!$C$25:$C$267,DL38)+ COUNTIFS($D$25:$D$267,Parameters!$K$3,$E$25:$E$267,Parameters!$M$7,Calendrier!$C$25:$C$267,DL38))</f>
        <v>0</v>
      </c>
      <c r="SQ38" s="50">
        <f>IF(DM38="","",COUNTIFS($D$25:$D$267,Parameters!$K$2,$E$25:$E$267,Parameters!$M$7,Calendrier!$C$25:$C$267,DM38)+ COUNTIFS($D$25:$D$267,Parameters!$K$4,$E$25:$E$267,Parameters!$M$7,Calendrier!$C$25:$C$267,DM38))</f>
        <v>0</v>
      </c>
      <c r="SR38" s="50">
        <f>IF(DN38="","",COUNTIFS($D$25:$D$267,Parameters!$K$2,$E$25:$E$267,Parameters!$M$7,Calendrier!$C$25:$C$267,DN38)+ COUNTIFS($D$25:$D$267,Parameters!$K$3,$E$25:$E$267,Parameters!$M$7,Calendrier!$C$25:$C$267,DN38))</f>
        <v>0</v>
      </c>
      <c r="SS38" s="50">
        <f>IF(DO38="","",COUNTIFS($D$25:$D$267,Parameters!$K$2,$E$25:$E$267,Parameters!$M$7,Calendrier!$C$25:$C$267,DO38)+ COUNTIFS($D$25:$D$267,Parameters!$K$4,$E$25:$E$267,Parameters!$M$7,Calendrier!$C$25:$C$267,DO38))</f>
        <v>0</v>
      </c>
      <c r="ST38" s="50">
        <f>IF(DP38="","",COUNTIFS($D$25:$D$267,Parameters!$K$2,$E$25:$E$267,Parameters!$M$7,Calendrier!$C$25:$C$267,DP38)+ COUNTIFS($D$25:$D$267,Parameters!$K$3,$E$25:$E$267,Parameters!$M$7,Calendrier!$C$25:$C$267,DP38))</f>
        <v>0</v>
      </c>
      <c r="SU38" s="50">
        <f>IF(DQ38="","",COUNTIFS($D$25:$D$267,Parameters!$K$2,$E$25:$E$267,Parameters!$M$7,Calendrier!$C$25:$C$267,DQ38)+ COUNTIFS($D$25:$D$267,Parameters!$K$4,$E$25:$E$267,Parameters!$M$7,Calendrier!$C$25:$C$267,DQ38))</f>
        <v>0</v>
      </c>
      <c r="SV38" s="50">
        <f>IF(DR38="","",COUNTIFS($D$25:$D$267,Parameters!$K$2,$E$25:$E$267,Parameters!$M$7,Calendrier!$C$25:$C$267,DR38)+ COUNTIFS($D$25:$D$267,Parameters!$K$3,$E$25:$E$267,Parameters!$M$7,Calendrier!$C$25:$C$267,DR38))</f>
        <v>0</v>
      </c>
      <c r="SW38" s="50">
        <f>IF(DS38="","",COUNTIFS($D$25:$D$267,Parameters!$K$2,$E$25:$E$267,Parameters!$M$7,Calendrier!$C$25:$C$267,DS38)+ COUNTIFS($D$25:$D$267,Parameters!$K$4,$E$25:$E$267,Parameters!$M$7,Calendrier!$C$25:$C$267,DS38))</f>
        <v>0</v>
      </c>
      <c r="SX38" s="50">
        <f>IF(DT38="","",COUNTIFS($D$25:$D$267,Parameters!$K$2,$E$25:$E$267,Parameters!$M$7,Calendrier!$C$25:$C$267,DT38)+ COUNTIFS($D$25:$D$267,Parameters!$K$3,$E$25:$E$267,Parameters!$M$7,Calendrier!$C$25:$C$267,DT38))</f>
        <v>0</v>
      </c>
      <c r="SY38" s="57">
        <f>IF(DU38="","",COUNTIFS($D$25:$D$267,Parameters!$K$2,$E$25:$E$267,Parameters!$M$7,Calendrier!$C$25:$C$267,DU38)+ COUNTIFS($D$25:$D$267,Parameters!$K$4,$E$25:$E$267,Parameters!$M$7,Calendrier!$C$25:$C$267,DU38))</f>
        <v>0</v>
      </c>
      <c r="TB38" s="49">
        <f>IF(DX38="","",COUNTIFS($D$25:$D$267,Parameters!$K$2,$E$25:$E$267,Parameters!$M$7,Calendrier!$C$25:$C$267,DX38)+ COUNTIFS($D$25:$D$267,Parameters!$K$3,$E$25:$E$267,Parameters!$M$7,Calendrier!$C$25:$C$267,DX38))</f>
        <v>0</v>
      </c>
      <c r="TC38" s="50">
        <f>IF(DY38="","",COUNTIFS($D$25:$D$267,Parameters!$K$2,$E$25:$E$267,Parameters!$M$7,Calendrier!$C$25:$C$267,DY38)+ COUNTIFS($D$25:$D$267,Parameters!$K$4,$E$25:$E$267,Parameters!$M$7,Calendrier!$C$25:$C$267,DY38))</f>
        <v>0</v>
      </c>
      <c r="TD38" s="50">
        <f>IF(DZ38="","",COUNTIFS($D$25:$D$267,Parameters!$K$2,$E$25:$E$267,Parameters!$M$7,Calendrier!$C$25:$C$267,DZ38)+ COUNTIFS($D$25:$D$267,Parameters!$K$3,$E$25:$E$267,Parameters!$M$7,Calendrier!$C$25:$C$267,DZ38))</f>
        <v>0</v>
      </c>
      <c r="TE38" s="50">
        <f>IF(EA38="","",COUNTIFS($D$25:$D$267,Parameters!$K$2,$E$25:$E$267,Parameters!$M$7,Calendrier!$C$25:$C$267,EA38)+ COUNTIFS($D$25:$D$267,Parameters!$K$4,$E$25:$E$267,Parameters!$M$7,Calendrier!$C$25:$C$267,EA38))</f>
        <v>0</v>
      </c>
      <c r="TF38" s="50">
        <f>IF(EB38="","",COUNTIFS($D$25:$D$267,Parameters!$K$2,$E$25:$E$267,Parameters!$M$7,Calendrier!$C$25:$C$267,EB38)+ COUNTIFS($D$25:$D$267,Parameters!$K$3,$E$25:$E$267,Parameters!$M$7,Calendrier!$C$25:$C$267,EB38))</f>
        <v>0</v>
      </c>
      <c r="TG38" s="50">
        <f>IF(EC38="","",COUNTIFS($D$25:$D$267,Parameters!$K$2,$E$25:$E$267,Parameters!$M$7,Calendrier!$C$25:$C$267,EC38)+ COUNTIFS($D$25:$D$267,Parameters!$K$4,$E$25:$E$267,Parameters!$M$7,Calendrier!$C$25:$C$267,EC38))</f>
        <v>0</v>
      </c>
      <c r="TH38" s="50">
        <f>IF(ED38="","",COUNTIFS($D$25:$D$267,Parameters!$K$2,$E$25:$E$267,Parameters!$M$7,Calendrier!$C$25:$C$267,ED38)+ COUNTIFS($D$25:$D$267,Parameters!$K$3,$E$25:$E$267,Parameters!$M$7,Calendrier!$C$25:$C$267,ED38))</f>
        <v>0</v>
      </c>
      <c r="TI38" s="50">
        <f>IF(EE38="","",COUNTIFS($D$25:$D$267,Parameters!$K$2,$E$25:$E$267,Parameters!$M$7,Calendrier!$C$25:$C$267,EE38)+ COUNTIFS($D$25:$D$267,Parameters!$K$4,$E$25:$E$267,Parameters!$M$7,Calendrier!$C$25:$C$267,EE38))</f>
        <v>0</v>
      </c>
      <c r="TJ38" s="50">
        <f>IF(EF38="","",COUNTIFS($D$25:$D$267,Parameters!$K$2,$E$25:$E$267,Parameters!$M$7,Calendrier!$C$25:$C$267,EF38)+ COUNTIFS($D$25:$D$267,Parameters!$K$3,$E$25:$E$267,Parameters!$M$7,Calendrier!$C$25:$C$267,EF38))</f>
        <v>0</v>
      </c>
      <c r="TK38" s="50">
        <f>IF(EG38="","",COUNTIFS($D$25:$D$267,Parameters!$K$2,$E$25:$E$267,Parameters!$M$7,Calendrier!$C$25:$C$267,EG38)+ COUNTIFS($D$25:$D$267,Parameters!$K$4,$E$25:$E$267,Parameters!$M$7,Calendrier!$C$25:$C$267,EG38))</f>
        <v>0</v>
      </c>
      <c r="TL38" s="50">
        <f>IF(EH38="","",COUNTIFS($D$25:$D$267,Parameters!$K$2,$E$25:$E$267,Parameters!$M$7,Calendrier!$C$25:$C$267,EH38)+ COUNTIFS($D$25:$D$267,Parameters!$K$3,$E$25:$E$267,Parameters!$M$7,Calendrier!$C$25:$C$267,EH38))</f>
        <v>0</v>
      </c>
      <c r="TM38" s="50">
        <f>IF(EI38="","",COUNTIFS($D$25:$D$267,Parameters!$K$2,$E$25:$E$267,Parameters!$M$7,Calendrier!$C$25:$C$267,EI38)+ COUNTIFS($D$25:$D$267,Parameters!$K$4,$E$25:$E$267,Parameters!$M$7,Calendrier!$C$25:$C$267,EI38))</f>
        <v>0</v>
      </c>
      <c r="TN38" s="50">
        <f>IF(EJ38="","",COUNTIFS($D$25:$D$267,Parameters!$K$2,$E$25:$E$267,Parameters!$M$7,Calendrier!$C$25:$C$267,EJ38)+ COUNTIFS($D$25:$D$267,Parameters!$K$3,$E$25:$E$267,Parameters!$M$7,Calendrier!$C$25:$C$267,EJ38))</f>
        <v>0</v>
      </c>
      <c r="TO38" s="57">
        <f>IF(EK38="","",COUNTIFS($D$25:$D$267,Parameters!$K$2,$E$25:$E$267,Parameters!$M$7,Calendrier!$C$25:$C$267,EK38)+ COUNTIFS($D$25:$D$267,Parameters!$K$4,$E$25:$E$267,Parameters!$M$7,Calendrier!$C$25:$C$267,EK38))</f>
        <v>0</v>
      </c>
      <c r="TR38" s="49">
        <f>IF(EN38="","",COUNTIFS($D$25:$D$267,Parameters!$K$2,$E$25:$E$267,Parameters!$M$7,Calendrier!$C$25:$C$267,EN38)+ COUNTIFS($D$25:$D$267,Parameters!$K$3,$E$25:$E$267,Parameters!$M$7,Calendrier!$C$25:$C$267,EN38))</f>
        <v>0</v>
      </c>
      <c r="TS38" s="50">
        <f>IF(EO38="","",COUNTIFS($D$25:$D$267,Parameters!$K$2,$E$25:$E$267,Parameters!$M$7,Calendrier!$C$25:$C$267,EO38)+ COUNTIFS($D$25:$D$267,Parameters!$K$4,$E$25:$E$267,Parameters!$M$7,Calendrier!$C$25:$C$267,EO38))</f>
        <v>0</v>
      </c>
      <c r="TT38" s="50">
        <f>IF(EP38="","",COUNTIFS($D$25:$D$267,Parameters!$K$2,$E$25:$E$267,Parameters!$M$7,Calendrier!$C$25:$C$267,EP38)+ COUNTIFS($D$25:$D$267,Parameters!$K$3,$E$25:$E$267,Parameters!$M$7,Calendrier!$C$25:$C$267,EP38))</f>
        <v>0</v>
      </c>
      <c r="TU38" s="50">
        <f>IF(EQ38="","",COUNTIFS($D$25:$D$267,Parameters!$K$2,$E$25:$E$267,Parameters!$M$7,Calendrier!$C$25:$C$267,EQ38)+ COUNTIFS($D$25:$D$267,Parameters!$K$4,$E$25:$E$267,Parameters!$M$7,Calendrier!$C$25:$C$267,EQ38))</f>
        <v>0</v>
      </c>
      <c r="TV38" s="50">
        <f>IF(ER38="","",COUNTIFS($D$25:$D$267,Parameters!$K$2,$E$25:$E$267,Parameters!$M$7,Calendrier!$C$25:$C$267,ER38)+ COUNTIFS($D$25:$D$267,Parameters!$K$3,$E$25:$E$267,Parameters!$M$7,Calendrier!$C$25:$C$267,ER38))</f>
        <v>0</v>
      </c>
      <c r="TW38" s="50">
        <f>IF(ES38="","",COUNTIFS($D$25:$D$267,Parameters!$K$2,$E$25:$E$267,Parameters!$M$7,Calendrier!$C$25:$C$267,ES38)+ COUNTIFS($D$25:$D$267,Parameters!$K$4,$E$25:$E$267,Parameters!$M$7,Calendrier!$C$25:$C$267,ES38))</f>
        <v>0</v>
      </c>
      <c r="TX38" s="50">
        <f>IF(ET38="","",COUNTIFS($D$25:$D$267,Parameters!$K$2,$E$25:$E$267,Parameters!$M$7,Calendrier!$C$25:$C$267,ET38)+ COUNTIFS($D$25:$D$267,Parameters!$K$3,$E$25:$E$267,Parameters!$M$7,Calendrier!$C$25:$C$267,ET38))</f>
        <v>0</v>
      </c>
      <c r="TY38" s="50">
        <f>IF(EU38="","",COUNTIFS($D$25:$D$267,Parameters!$K$2,$E$25:$E$267,Parameters!$M$7,Calendrier!$C$25:$C$267,EU38)+ COUNTIFS($D$25:$D$267,Parameters!$K$4,$E$25:$E$267,Parameters!$M$7,Calendrier!$C$25:$C$267,EU38))</f>
        <v>0</v>
      </c>
      <c r="TZ38" s="50">
        <f>IF(EV38="","",COUNTIFS($D$25:$D$267,Parameters!$K$2,$E$25:$E$267,Parameters!$M$7,Calendrier!$C$25:$C$267,EV38)+ COUNTIFS($D$25:$D$267,Parameters!$K$3,$E$25:$E$267,Parameters!$M$7,Calendrier!$C$25:$C$267,EV38))</f>
        <v>0</v>
      </c>
      <c r="UA38" s="50">
        <f>IF(EW38="","",COUNTIFS($D$25:$D$267,Parameters!$K$2,$E$25:$E$267,Parameters!$M$7,Calendrier!$C$25:$C$267,EW38)+ COUNTIFS($D$25:$D$267,Parameters!$K$4,$E$25:$E$267,Parameters!$M$7,Calendrier!$C$25:$C$267,EW38))</f>
        <v>0</v>
      </c>
      <c r="UB38" s="50">
        <f>IF(EX38="","",COUNTIFS($D$25:$D$267,Parameters!$K$2,$E$25:$E$267,Parameters!$M$7,Calendrier!$C$25:$C$267,EX38)+ COUNTIFS($D$25:$D$267,Parameters!$K$3,$E$25:$E$267,Parameters!$M$7,Calendrier!$C$25:$C$267,EX38))</f>
        <v>0</v>
      </c>
      <c r="UC38" s="50">
        <f>IF(EY38="","",COUNTIFS($D$25:$D$267,Parameters!$K$2,$E$25:$E$267,Parameters!$M$7,Calendrier!$C$25:$C$267,EY38)+ COUNTIFS($D$25:$D$267,Parameters!$K$4,$E$25:$E$267,Parameters!$M$7,Calendrier!$C$25:$C$267,EY38))</f>
        <v>0</v>
      </c>
      <c r="UD38" s="50">
        <f>IF(EZ38="","",COUNTIFS($D$25:$D$267,Parameters!$K$2,$E$25:$E$267,Parameters!$M$7,Calendrier!$C$25:$C$267,EZ38)+ COUNTIFS($D$25:$D$267,Parameters!$K$3,$E$25:$E$267,Parameters!$M$7,Calendrier!$C$25:$C$267,EZ38))</f>
        <v>0</v>
      </c>
      <c r="UE38" s="57">
        <f>IF(FA38="","",COUNTIFS($D$25:$D$267,Parameters!$K$2,$E$25:$E$267,Parameters!$M$7,Calendrier!$C$25:$C$267,FA38)+ COUNTIFS($D$25:$D$267,Parameters!$K$4,$E$25:$E$267,Parameters!$M$7,Calendrier!$C$25:$C$267,FA38))</f>
        <v>0</v>
      </c>
    </row>
    <row r="39" spans="2:551" x14ac:dyDescent="0.3">
      <c r="B39" s="73">
        <f t="shared" si="317"/>
        <v>2025</v>
      </c>
      <c r="C39" s="27">
        <v>45845</v>
      </c>
      <c r="D39" s="30" t="s">
        <v>30</v>
      </c>
      <c r="E39" s="30" t="s">
        <v>36</v>
      </c>
      <c r="F39" s="61"/>
      <c r="G39" s="77"/>
      <c r="K39" s="31"/>
      <c r="L39" s="22">
        <f t="shared" ref="L39:L40" si="527">X38+1</f>
        <v>12</v>
      </c>
      <c r="M39" s="23"/>
      <c r="N39" s="22">
        <f t="shared" ref="N39:N40" si="528">L39+1</f>
        <v>13</v>
      </c>
      <c r="O39" s="23"/>
      <c r="P39" s="22">
        <f t="shared" ref="P39:P40" si="529">N39+1</f>
        <v>14</v>
      </c>
      <c r="Q39" s="23"/>
      <c r="R39" s="22">
        <f t="shared" ref="R39:R40" si="530">P39+1</f>
        <v>15</v>
      </c>
      <c r="S39" s="23"/>
      <c r="T39" s="22">
        <f t="shared" ref="T39:T40" si="531">R39+1</f>
        <v>16</v>
      </c>
      <c r="U39" s="23"/>
      <c r="V39" s="22">
        <f t="shared" ref="V39:V40" si="532">T39+1</f>
        <v>17</v>
      </c>
      <c r="W39" s="23"/>
      <c r="X39" s="22">
        <f t="shared" ref="X39:X40" si="533">V39+1</f>
        <v>18</v>
      </c>
      <c r="Y39" s="23"/>
      <c r="Z39" s="31"/>
      <c r="AA39" s="31"/>
      <c r="AB39" s="22">
        <f t="shared" si="504"/>
        <v>9</v>
      </c>
      <c r="AC39" s="23"/>
      <c r="AD39" s="22">
        <f t="shared" ref="AD39:AD40" si="534">AB39+1</f>
        <v>10</v>
      </c>
      <c r="AE39" s="23"/>
      <c r="AF39" s="22">
        <f t="shared" ref="AF39:AF40" si="535">AD39+1</f>
        <v>11</v>
      </c>
      <c r="AG39" s="23"/>
      <c r="AH39" s="22">
        <f t="shared" ref="AH39:AH40" si="536">AF39+1</f>
        <v>12</v>
      </c>
      <c r="AI39" s="23"/>
      <c r="AJ39" s="22">
        <f t="shared" ref="AJ39:AJ40" si="537">AH39+1</f>
        <v>13</v>
      </c>
      <c r="AK39" s="23"/>
      <c r="AL39" s="22">
        <f t="shared" ref="AL39:AL40" si="538">AJ39+1</f>
        <v>14</v>
      </c>
      <c r="AM39" s="23"/>
      <c r="AN39" s="22">
        <f t="shared" ref="AN39:AN40" si="539">AL39+1</f>
        <v>15</v>
      </c>
      <c r="AO39" s="23"/>
      <c r="AP39" s="31"/>
      <c r="AQ39" s="31"/>
      <c r="AR39" s="22">
        <f t="shared" ref="AR39:AR40" si="540">BD38+1</f>
        <v>14</v>
      </c>
      <c r="AS39" s="23"/>
      <c r="AT39" s="22">
        <f t="shared" ref="AT39:AT40" si="541">AR39+1</f>
        <v>15</v>
      </c>
      <c r="AU39" s="23"/>
      <c r="AV39" s="22">
        <f t="shared" ref="AV39:AV40" si="542">AT39+1</f>
        <v>16</v>
      </c>
      <c r="AW39" s="23"/>
      <c r="AX39" s="22">
        <f t="shared" ref="AX39:AX40" si="543">AV39+1</f>
        <v>17</v>
      </c>
      <c r="AY39" s="23"/>
      <c r="AZ39" s="22">
        <f t="shared" ref="AZ39:AZ40" si="544">AX39+1</f>
        <v>18</v>
      </c>
      <c r="BA39" s="23"/>
      <c r="BB39" s="22">
        <f t="shared" ref="BB39:BB40" si="545">AZ39+1</f>
        <v>19</v>
      </c>
      <c r="BC39" s="23"/>
      <c r="BD39" s="22">
        <f t="shared" ref="BD39:BD40" si="546">BB39+1</f>
        <v>20</v>
      </c>
      <c r="BE39" s="23"/>
      <c r="BF39" s="31"/>
      <c r="BG39" s="31"/>
      <c r="BJ39" s="42"/>
      <c r="BK39" s="6">
        <v>10</v>
      </c>
      <c r="BL39" s="6">
        <v>10</v>
      </c>
      <c r="BM39" s="6">
        <v>10</v>
      </c>
      <c r="BN39" s="6">
        <v>10</v>
      </c>
      <c r="BO39" s="6">
        <v>10</v>
      </c>
      <c r="BP39" s="6">
        <v>10</v>
      </c>
      <c r="BQ39" s="6">
        <v>10</v>
      </c>
      <c r="BR39" s="6">
        <v>10</v>
      </c>
      <c r="BS39" s="6">
        <v>10</v>
      </c>
      <c r="BT39" s="6">
        <v>10</v>
      </c>
      <c r="BU39" s="6">
        <v>10</v>
      </c>
      <c r="BV39" s="6">
        <v>10</v>
      </c>
      <c r="BW39" s="6">
        <v>10</v>
      </c>
      <c r="CA39" s="6">
        <v>11</v>
      </c>
      <c r="CB39" s="6">
        <v>11</v>
      </c>
      <c r="CC39" s="6">
        <v>11</v>
      </c>
      <c r="CD39" s="6">
        <v>11</v>
      </c>
      <c r="CE39" s="6">
        <v>11</v>
      </c>
      <c r="CF39" s="6">
        <v>11</v>
      </c>
      <c r="CG39" s="6">
        <v>11</v>
      </c>
      <c r="CH39" s="6">
        <v>11</v>
      </c>
      <c r="CI39" s="6">
        <v>11</v>
      </c>
      <c r="CJ39" s="6">
        <v>11</v>
      </c>
      <c r="CK39" s="6">
        <v>11</v>
      </c>
      <c r="CL39" s="6">
        <v>11</v>
      </c>
      <c r="CM39" s="6">
        <v>11</v>
      </c>
      <c r="CQ39" s="6">
        <v>12</v>
      </c>
      <c r="CR39" s="6">
        <v>12</v>
      </c>
      <c r="CS39" s="6">
        <v>12</v>
      </c>
      <c r="CT39" s="6">
        <v>12</v>
      </c>
      <c r="CU39" s="6">
        <v>12</v>
      </c>
      <c r="CV39" s="6">
        <v>12</v>
      </c>
      <c r="CW39" s="6">
        <v>12</v>
      </c>
      <c r="CX39" s="6">
        <v>12</v>
      </c>
      <c r="CY39" s="6">
        <v>12</v>
      </c>
      <c r="CZ39" s="6">
        <v>12</v>
      </c>
      <c r="DA39" s="6">
        <v>12</v>
      </c>
      <c r="DB39" s="6">
        <v>12</v>
      </c>
      <c r="DC39" s="6">
        <v>12</v>
      </c>
      <c r="DG39" s="42"/>
      <c r="DH39" s="43">
        <f t="shared" si="505"/>
        <v>46307</v>
      </c>
      <c r="DI39" s="44">
        <f t="shared" ref="DI39" si="547">DH39</f>
        <v>46307</v>
      </c>
      <c r="DJ39" s="44">
        <f t="shared" si="468"/>
        <v>46308</v>
      </c>
      <c r="DK39" s="44">
        <f t="shared" ref="DK39" si="548">DJ39</f>
        <v>46308</v>
      </c>
      <c r="DL39" s="44">
        <f t="shared" si="470"/>
        <v>46309</v>
      </c>
      <c r="DM39" s="44">
        <f t="shared" ref="DM39" si="549">DL39</f>
        <v>46309</v>
      </c>
      <c r="DN39" s="44">
        <f t="shared" si="472"/>
        <v>46310</v>
      </c>
      <c r="DO39" s="44">
        <f t="shared" ref="DO39" si="550">DN39</f>
        <v>46310</v>
      </c>
      <c r="DP39" s="44">
        <f t="shared" si="474"/>
        <v>46311</v>
      </c>
      <c r="DQ39" s="44">
        <f t="shared" ref="DQ39" si="551">DP39</f>
        <v>46311</v>
      </c>
      <c r="DR39" s="44">
        <f t="shared" si="476"/>
        <v>46312</v>
      </c>
      <c r="DS39" s="44">
        <f t="shared" ref="DS39" si="552">DR39</f>
        <v>46312</v>
      </c>
      <c r="DT39" s="44">
        <f t="shared" si="478"/>
        <v>46313</v>
      </c>
      <c r="DU39" s="45">
        <f t="shared" ref="DU39" si="553">DT39</f>
        <v>46313</v>
      </c>
      <c r="DX39" s="43">
        <f t="shared" si="513"/>
        <v>46335</v>
      </c>
      <c r="DY39" s="44">
        <f t="shared" ref="DY39" si="554">DX39</f>
        <v>46335</v>
      </c>
      <c r="DZ39" s="44">
        <f t="shared" si="480"/>
        <v>46336</v>
      </c>
      <c r="EA39" s="44">
        <f t="shared" ref="EA39" si="555">DZ39</f>
        <v>46336</v>
      </c>
      <c r="EB39" s="44">
        <f t="shared" si="482"/>
        <v>46337</v>
      </c>
      <c r="EC39" s="44">
        <f t="shared" ref="EC39" si="556">EB39</f>
        <v>46337</v>
      </c>
      <c r="ED39" s="44">
        <f t="shared" si="484"/>
        <v>46338</v>
      </c>
      <c r="EE39" s="44">
        <f t="shared" ref="EE39" si="557">ED39</f>
        <v>46338</v>
      </c>
      <c r="EF39" s="44">
        <f t="shared" si="486"/>
        <v>46339</v>
      </c>
      <c r="EG39" s="44">
        <f t="shared" ref="EG39" si="558">EF39</f>
        <v>46339</v>
      </c>
      <c r="EH39" s="44">
        <f t="shared" si="488"/>
        <v>46340</v>
      </c>
      <c r="EI39" s="44">
        <f t="shared" ref="EI39" si="559">EH39</f>
        <v>46340</v>
      </c>
      <c r="EJ39" s="44">
        <f t="shared" si="490"/>
        <v>46341</v>
      </c>
      <c r="EK39" s="45">
        <f t="shared" si="491"/>
        <v>46341</v>
      </c>
      <c r="EN39" s="43">
        <f t="shared" si="520"/>
        <v>46370</v>
      </c>
      <c r="EO39" s="44">
        <f t="shared" ref="EO39" si="560">EN39</f>
        <v>46370</v>
      </c>
      <c r="EP39" s="44">
        <f t="shared" si="492"/>
        <v>46371</v>
      </c>
      <c r="EQ39" s="44">
        <f t="shared" ref="EQ39" si="561">EP39</f>
        <v>46371</v>
      </c>
      <c r="ER39" s="44">
        <f t="shared" si="494"/>
        <v>46372</v>
      </c>
      <c r="ES39" s="44">
        <f t="shared" ref="ES39" si="562">ER39</f>
        <v>46372</v>
      </c>
      <c r="ET39" s="44">
        <f t="shared" si="496"/>
        <v>46373</v>
      </c>
      <c r="EU39" s="44">
        <f t="shared" ref="EU39" si="563">ET39</f>
        <v>46373</v>
      </c>
      <c r="EV39" s="44">
        <f t="shared" si="498"/>
        <v>46374</v>
      </c>
      <c r="EW39" s="44">
        <f t="shared" ref="EW39" si="564">EV39</f>
        <v>46374</v>
      </c>
      <c r="EX39" s="44">
        <f t="shared" si="500"/>
        <v>46375</v>
      </c>
      <c r="EY39" s="44">
        <f t="shared" ref="EY39" si="565">EX39</f>
        <v>46375</v>
      </c>
      <c r="EZ39" s="44">
        <f t="shared" si="502"/>
        <v>46376</v>
      </c>
      <c r="FA39" s="45">
        <f t="shared" si="503"/>
        <v>46376</v>
      </c>
      <c r="FE39" s="49">
        <f>COUNTIFS(Parameters!$S:$S,$D$4,Parameters!$Q:$Q,DH39)</f>
        <v>0</v>
      </c>
      <c r="FF39" s="50">
        <f>COUNTIFS(Parameters!$S:$S,$D$4,Parameters!$Q:$Q,DI39)</f>
        <v>0</v>
      </c>
      <c r="FG39" s="50">
        <f>COUNTIFS(Parameters!$S:$S,$D$4,Parameters!$Q:$Q,DJ39)</f>
        <v>0</v>
      </c>
      <c r="FH39" s="50">
        <f>COUNTIFS(Parameters!$S:$S,$D$4,Parameters!$Q:$Q,DK39)</f>
        <v>0</v>
      </c>
      <c r="FI39" s="50">
        <f>COUNTIFS(Parameters!$S:$S,$D$4,Parameters!$Q:$Q,DL39)</f>
        <v>0</v>
      </c>
      <c r="FJ39" s="50">
        <f>COUNTIFS(Parameters!$S:$S,$D$4,Parameters!$Q:$Q,DM39)</f>
        <v>0</v>
      </c>
      <c r="FK39" s="50">
        <f>COUNTIFS(Parameters!$S:$S,$D$4,Parameters!$Q:$Q,DN39)</f>
        <v>0</v>
      </c>
      <c r="FL39" s="50">
        <f>COUNTIFS(Parameters!$S:$S,$D$4,Parameters!$Q:$Q,DO39)</f>
        <v>0</v>
      </c>
      <c r="FM39" s="50">
        <f>COUNTIFS(Parameters!$S:$S,$D$4,Parameters!$Q:$Q,DP39)</f>
        <v>0</v>
      </c>
      <c r="FN39" s="50">
        <f>COUNTIFS(Parameters!$S:$S,$D$4,Parameters!$Q:$Q,DQ39)</f>
        <v>0</v>
      </c>
      <c r="FO39" s="50">
        <f>COUNTIFS(Parameters!$S:$S,$D$4,Parameters!$Q:$Q,DR39)</f>
        <v>0</v>
      </c>
      <c r="FP39" s="50">
        <f>COUNTIFS(Parameters!$S:$S,$D$4,Parameters!$Q:$Q,DS39)</f>
        <v>0</v>
      </c>
      <c r="FQ39" s="50">
        <f>COUNTIFS(Parameters!$S:$S,$D$4,Parameters!$Q:$Q,DT39)</f>
        <v>0</v>
      </c>
      <c r="FR39" s="57">
        <f>COUNTIFS(Parameters!$S:$S,$D$4,Parameters!$Q:$Q,DU39)</f>
        <v>0</v>
      </c>
      <c r="FU39" s="49">
        <f>COUNTIFS(Parameters!$S:$S,$D$4,Parameters!$Q:$Q,DX39)</f>
        <v>0</v>
      </c>
      <c r="FV39" s="50">
        <f>COUNTIFS(Parameters!$S:$S,$D$4,Parameters!$Q:$Q,DY39)</f>
        <v>0</v>
      </c>
      <c r="FW39" s="50">
        <f>COUNTIFS(Parameters!$S:$S,$D$4,Parameters!$Q:$Q,DZ39)</f>
        <v>0</v>
      </c>
      <c r="FX39" s="50">
        <f>COUNTIFS(Parameters!$S:$S,$D$4,Parameters!$Q:$Q,EA39)</f>
        <v>0</v>
      </c>
      <c r="FY39" s="50">
        <f>COUNTIFS(Parameters!$S:$S,$D$4,Parameters!$Q:$Q,EB39)</f>
        <v>0</v>
      </c>
      <c r="FZ39" s="50">
        <f>COUNTIFS(Parameters!$S:$S,$D$4,Parameters!$Q:$Q,EC39)</f>
        <v>0</v>
      </c>
      <c r="GA39" s="50">
        <f>COUNTIFS(Parameters!$S:$S,$D$4,Parameters!$Q:$Q,ED39)</f>
        <v>0</v>
      </c>
      <c r="GB39" s="50">
        <f>COUNTIFS(Parameters!$S:$S,$D$4,Parameters!$Q:$Q,EE39)</f>
        <v>0</v>
      </c>
      <c r="GC39" s="50">
        <f>COUNTIFS(Parameters!$S:$S,$D$4,Parameters!$Q:$Q,EF39)</f>
        <v>0</v>
      </c>
      <c r="GD39" s="50">
        <f>COUNTIFS(Parameters!$S:$S,$D$4,Parameters!$Q:$Q,EG39)</f>
        <v>0</v>
      </c>
      <c r="GE39" s="50">
        <f>COUNTIFS(Parameters!$S:$S,$D$4,Parameters!$Q:$Q,EH39)</f>
        <v>0</v>
      </c>
      <c r="GF39" s="50">
        <f>COUNTIFS(Parameters!$S:$S,$D$4,Parameters!$Q:$Q,EI39)</f>
        <v>0</v>
      </c>
      <c r="GG39" s="50">
        <f>COUNTIFS(Parameters!$S:$S,$D$4,Parameters!$Q:$Q,EJ39)</f>
        <v>0</v>
      </c>
      <c r="GH39" s="57">
        <f>COUNTIFS(Parameters!$S:$S,$D$4,Parameters!$Q:$Q,EK39)</f>
        <v>0</v>
      </c>
      <c r="GK39" s="49">
        <f>COUNTIFS(Parameters!$S:$S,$D$4,Parameters!$Q:$Q,EN39)</f>
        <v>0</v>
      </c>
      <c r="GL39" s="50">
        <f>COUNTIFS(Parameters!$S:$S,$D$4,Parameters!$Q:$Q,EO39)</f>
        <v>0</v>
      </c>
      <c r="GM39" s="50">
        <f>COUNTIFS(Parameters!$S:$S,$D$4,Parameters!$Q:$Q,EP39)</f>
        <v>0</v>
      </c>
      <c r="GN39" s="50">
        <f>COUNTIFS(Parameters!$S:$S,$D$4,Parameters!$Q:$Q,EQ39)</f>
        <v>0</v>
      </c>
      <c r="GO39" s="50">
        <f>COUNTIFS(Parameters!$S:$S,$D$4,Parameters!$Q:$Q,ER39)</f>
        <v>0</v>
      </c>
      <c r="GP39" s="50">
        <f>COUNTIFS(Parameters!$S:$S,$D$4,Parameters!$Q:$Q,ES39)</f>
        <v>0</v>
      </c>
      <c r="GQ39" s="50">
        <f>COUNTIFS(Parameters!$S:$S,$D$4,Parameters!$Q:$Q,ET39)</f>
        <v>0</v>
      </c>
      <c r="GR39" s="50">
        <f>COUNTIFS(Parameters!$S:$S,$D$4,Parameters!$Q:$Q,EU39)</f>
        <v>0</v>
      </c>
      <c r="GS39" s="50">
        <f>COUNTIFS(Parameters!$S:$S,$D$4,Parameters!$Q:$Q,EV39)</f>
        <v>0</v>
      </c>
      <c r="GT39" s="50">
        <f>COUNTIFS(Parameters!$S:$S,$D$4,Parameters!$Q:$Q,EW39)</f>
        <v>0</v>
      </c>
      <c r="GU39" s="50">
        <f>COUNTIFS(Parameters!$S:$S,$D$4,Parameters!$Q:$Q,EX39)</f>
        <v>0</v>
      </c>
      <c r="GV39" s="50">
        <f>COUNTIFS(Parameters!$S:$S,$D$4,Parameters!$Q:$Q,EY39)</f>
        <v>0</v>
      </c>
      <c r="GW39" s="50">
        <f>COUNTIFS(Parameters!$S:$S,$D$4,Parameters!$Q:$Q,EZ39)</f>
        <v>0</v>
      </c>
      <c r="GX39" s="57">
        <f>COUNTIFS(Parameters!$S:$S,$D$4,Parameters!$Q:$Q,FA39)</f>
        <v>0</v>
      </c>
      <c r="HB39" s="49">
        <f>IF(DH39="","",COUNTIFS($D$25:$D$267,Parameters!$K$2,$E$25:$E$267,Parameters!$M$2,Calendrier!$C$25:$C$267,DH39)+ COUNTIFS($D$25:$D$267,Parameters!$K$3,$E$25:$E$267,Parameters!$M$2,Calendrier!$C$25:$C$267,DH39))</f>
        <v>0</v>
      </c>
      <c r="HC39" s="50">
        <f>IF(DI39="","",COUNTIFS($D$25:$D$267,Parameters!$K$2,$E$25:$E$267,Parameters!$M$2,Calendrier!$C$25:$C$267,DI39)+ COUNTIFS($D$25:$D$267,Parameters!$K$4,$E$25:$E$267,Parameters!$M$2,Calendrier!$C$25:$C$267,DI39))</f>
        <v>0</v>
      </c>
      <c r="HD39" s="50">
        <f>IF(DJ39="","",COUNTIFS($D$25:$D$267,Parameters!$K$2,$E$25:$E$267,Parameters!$M$2,Calendrier!$C$25:$C$267,DJ39)+ COUNTIFS($D$25:$D$267,Parameters!$K$3,$E$25:$E$267,Parameters!$M$2,Calendrier!$C$25:$C$267,DJ39))</f>
        <v>0</v>
      </c>
      <c r="HE39" s="50">
        <f>IF(DK39="","",COUNTIFS($D$25:$D$267,Parameters!$K$2,$E$25:$E$267,Parameters!$M$2,Calendrier!$C$25:$C$267,DK39)+ COUNTIFS($D$25:$D$267,Parameters!$K$4,$E$25:$E$267,Parameters!$M$2,Calendrier!$C$25:$C$267,DK39))</f>
        <v>0</v>
      </c>
      <c r="HF39" s="50">
        <f>IF(DL39="","",COUNTIFS($D$25:$D$267,Parameters!$K$2,$E$25:$E$267,Parameters!$M$2,Calendrier!$C$25:$C$267,DL39)+ COUNTIFS($D$25:$D$267,Parameters!$K$3,$E$25:$E$267,Parameters!$M$2,Calendrier!$C$25:$C$267,DL39))</f>
        <v>0</v>
      </c>
      <c r="HG39" s="50">
        <f>IF(DM39="","",COUNTIFS($D$25:$D$267,Parameters!$K$2,$E$25:$E$267,Parameters!$M$2,Calendrier!$C$25:$C$267,DM39)+ COUNTIFS($D$25:$D$267,Parameters!$K$4,$E$25:$E$267,Parameters!$M$2,Calendrier!$C$25:$C$267,DM39))</f>
        <v>0</v>
      </c>
      <c r="HH39" s="50">
        <f>IF(DN39="","",COUNTIFS($D$25:$D$267,Parameters!$K$2,$E$25:$E$267,Parameters!$M$2,Calendrier!$C$25:$C$267,DN39)+ COUNTIFS($D$25:$D$267,Parameters!$K$3,$E$25:$E$267,Parameters!$M$2,Calendrier!$C$25:$C$267,DN39))</f>
        <v>0</v>
      </c>
      <c r="HI39" s="50">
        <f>IF(DO39="","",COUNTIFS($D$25:$D$267,Parameters!$K$2,$E$25:$E$267,Parameters!$M$2,Calendrier!$C$25:$C$267,DO39)+ COUNTIFS($D$25:$D$267,Parameters!$K$4,$E$25:$E$267,Parameters!$M$2,Calendrier!$C$25:$C$267,DO39))</f>
        <v>0</v>
      </c>
      <c r="HJ39" s="50">
        <f>IF(DP39="","",COUNTIFS($D$25:$D$267,Parameters!$K$2,$E$25:$E$267,Parameters!$M$2,Calendrier!$C$25:$C$267,DP39)+ COUNTIFS($D$25:$D$267,Parameters!$K$3,$E$25:$E$267,Parameters!$M$2,Calendrier!$C$25:$C$267,DP39))</f>
        <v>0</v>
      </c>
      <c r="HK39" s="50">
        <f>IF(DQ39="","",COUNTIFS($D$25:$D$267,Parameters!$K$2,$E$25:$E$267,Parameters!$M$2,Calendrier!$C$25:$C$267,DQ39)+ COUNTIFS($D$25:$D$267,Parameters!$K$4,$E$25:$E$267,Parameters!$M$2,Calendrier!$C$25:$C$267,DQ39))</f>
        <v>0</v>
      </c>
      <c r="HL39" s="50">
        <f>IF(DR39="","",COUNTIFS($D$25:$D$267,Parameters!$K$2,$E$25:$E$267,Parameters!$M$2,Calendrier!$C$25:$C$267,DR39)+ COUNTIFS($D$25:$D$267,Parameters!$K$3,$E$25:$E$267,Parameters!$M$2,Calendrier!$C$25:$C$267,DR39))</f>
        <v>0</v>
      </c>
      <c r="HM39" s="50">
        <f>IF(DS39="","",COUNTIFS($D$25:$D$267,Parameters!$K$2,$E$25:$E$267,Parameters!$M$2,Calendrier!$C$25:$C$267,DS39)+ COUNTIFS($D$25:$D$267,Parameters!$K$4,$E$25:$E$267,Parameters!$M$2,Calendrier!$C$25:$C$267,DS39))</f>
        <v>0</v>
      </c>
      <c r="HN39" s="50">
        <f>IF(DT39="","",COUNTIFS($D$25:$D$267,Parameters!$K$2,$E$25:$E$267,Parameters!$M$2,Calendrier!$C$25:$C$267,DT39)+ COUNTIFS($D$25:$D$267,Parameters!$K$3,$E$25:$E$267,Parameters!$M$2,Calendrier!$C$25:$C$267,DT39))</f>
        <v>0</v>
      </c>
      <c r="HO39" s="57">
        <f>IF(DU39="","",COUNTIFS($D$25:$D$267,Parameters!$K$2,$E$25:$E$267,Parameters!$M$2,Calendrier!$C$25:$C$267,DU39)+ COUNTIFS($D$25:$D$267,Parameters!$K$4,$E$25:$E$267,Parameters!$M$2,Calendrier!$C$25:$C$267,DU39))</f>
        <v>0</v>
      </c>
      <c r="HR39" s="49">
        <f>IF(DX39="","",COUNTIFS($D$25:$D$267,Parameters!$K$2,$E$25:$E$267,Parameters!$M$2,Calendrier!$C$25:$C$267,DX39)+ COUNTIFS($D$25:$D$267,Parameters!$K$3,$E$25:$E$267,Parameters!$M$2,Calendrier!$C$25:$C$267,DX39))</f>
        <v>0</v>
      </c>
      <c r="HS39" s="50">
        <f>IF(DY39="","",COUNTIFS($D$25:$D$267,Parameters!$K$2,$E$25:$E$267,Parameters!$M$2,Calendrier!$C$25:$C$267,DY39)+ COUNTIFS($D$25:$D$267,Parameters!$K$4,$E$25:$E$267,Parameters!$M$2,Calendrier!$C$25:$C$267,DY39))</f>
        <v>0</v>
      </c>
      <c r="HT39" s="50">
        <f>IF(DZ39="","",COUNTIFS($D$25:$D$267,Parameters!$K$2,$E$25:$E$267,Parameters!$M$2,Calendrier!$C$25:$C$267,DZ39)+ COUNTIFS($D$25:$D$267,Parameters!$K$3,$E$25:$E$267,Parameters!$M$2,Calendrier!$C$25:$C$267,DZ39))</f>
        <v>0</v>
      </c>
      <c r="HU39" s="50">
        <f>IF(EA39="","",COUNTIFS($D$25:$D$267,Parameters!$K$2,$E$25:$E$267,Parameters!$M$2,Calendrier!$C$25:$C$267,EA39)+ COUNTIFS($D$25:$D$267,Parameters!$K$4,$E$25:$E$267,Parameters!$M$2,Calendrier!$C$25:$C$267,EA39))</f>
        <v>0</v>
      </c>
      <c r="HV39" s="50">
        <f>IF(EB39="","",COUNTIFS($D$25:$D$267,Parameters!$K$2,$E$25:$E$267,Parameters!$M$2,Calendrier!$C$25:$C$267,EB39)+ COUNTIFS($D$25:$D$267,Parameters!$K$3,$E$25:$E$267,Parameters!$M$2,Calendrier!$C$25:$C$267,EB39))</f>
        <v>0</v>
      </c>
      <c r="HW39" s="50">
        <f>IF(EC39="","",COUNTIFS($D$25:$D$267,Parameters!$K$2,$E$25:$E$267,Parameters!$M$2,Calendrier!$C$25:$C$267,EC39)+ COUNTIFS($D$25:$D$267,Parameters!$K$4,$E$25:$E$267,Parameters!$M$2,Calendrier!$C$25:$C$267,EC39))</f>
        <v>0</v>
      </c>
      <c r="HX39" s="50">
        <f>IF(ED39="","",COUNTIFS($D$25:$D$267,Parameters!$K$2,$E$25:$E$267,Parameters!$M$2,Calendrier!$C$25:$C$267,ED39)+ COUNTIFS($D$25:$D$267,Parameters!$K$3,$E$25:$E$267,Parameters!$M$2,Calendrier!$C$25:$C$267,ED39))</f>
        <v>0</v>
      </c>
      <c r="HY39" s="50">
        <f>IF(EE39="","",COUNTIFS($D$25:$D$267,Parameters!$K$2,$E$25:$E$267,Parameters!$M$2,Calendrier!$C$25:$C$267,EE39)+ COUNTIFS($D$25:$D$267,Parameters!$K$4,$E$25:$E$267,Parameters!$M$2,Calendrier!$C$25:$C$267,EE39))</f>
        <v>0</v>
      </c>
      <c r="HZ39" s="50">
        <f>IF(EF39="","",COUNTIFS($D$25:$D$267,Parameters!$K$2,$E$25:$E$267,Parameters!$M$2,Calendrier!$C$25:$C$267,EF39)+ COUNTIFS($D$25:$D$267,Parameters!$K$3,$E$25:$E$267,Parameters!$M$2,Calendrier!$C$25:$C$267,EF39))</f>
        <v>0</v>
      </c>
      <c r="IA39" s="50">
        <f>IF(EG39="","",COUNTIFS($D$25:$D$267,Parameters!$K$2,$E$25:$E$267,Parameters!$M$2,Calendrier!$C$25:$C$267,EG39)+ COUNTIFS($D$25:$D$267,Parameters!$K$4,$E$25:$E$267,Parameters!$M$2,Calendrier!$C$25:$C$267,EG39))</f>
        <v>0</v>
      </c>
      <c r="IB39" s="50">
        <f>IF(EH39="","",COUNTIFS($D$25:$D$267,Parameters!$K$2,$E$25:$E$267,Parameters!$M$2,Calendrier!$C$25:$C$267,EH39)+ COUNTIFS($D$25:$D$267,Parameters!$K$3,$E$25:$E$267,Parameters!$M$2,Calendrier!$C$25:$C$267,EH39))</f>
        <v>0</v>
      </c>
      <c r="IC39" s="50">
        <f>IF(EI39="","",COUNTIFS($D$25:$D$267,Parameters!$K$2,$E$25:$E$267,Parameters!$M$2,Calendrier!$C$25:$C$267,EI39)+ COUNTIFS($D$25:$D$267,Parameters!$K$4,$E$25:$E$267,Parameters!$M$2,Calendrier!$C$25:$C$267,EI39))</f>
        <v>0</v>
      </c>
      <c r="ID39" s="50">
        <f>IF(EJ39="","",COUNTIFS($D$25:$D$267,Parameters!$K$2,$E$25:$E$267,Parameters!$M$2,Calendrier!$C$25:$C$267,EJ39)+ COUNTIFS($D$25:$D$267,Parameters!$K$3,$E$25:$E$267,Parameters!$M$2,Calendrier!$C$25:$C$267,EJ39))</f>
        <v>0</v>
      </c>
      <c r="IE39" s="57">
        <f>IF(EK39="","",COUNTIFS($D$25:$D$267,Parameters!$K$2,$E$25:$E$267,Parameters!$M$2,Calendrier!$C$25:$C$267,EK39)+ COUNTIFS($D$25:$D$267,Parameters!$K$4,$E$25:$E$267,Parameters!$M$2,Calendrier!$C$25:$C$267,EK39))</f>
        <v>0</v>
      </c>
      <c r="IH39" s="49">
        <f>IF(EN39="","",COUNTIFS($D$25:$D$267,Parameters!$K$2,$E$25:$E$267,Parameters!$M$2,Calendrier!$C$25:$C$267,EN39)+ COUNTIFS($D$25:$D$267,Parameters!$K$3,$E$25:$E$267,Parameters!$M$2,Calendrier!$C$25:$C$267,EN39))</f>
        <v>0</v>
      </c>
      <c r="II39" s="50">
        <f>IF(EO39="","",COUNTIFS($D$25:$D$267,Parameters!$K$2,$E$25:$E$267,Parameters!$M$2,Calendrier!$C$25:$C$267,EO39)+ COUNTIFS($D$25:$D$267,Parameters!$K$4,$E$25:$E$267,Parameters!$M$2,Calendrier!$C$25:$C$267,EO39))</f>
        <v>0</v>
      </c>
      <c r="IJ39" s="50">
        <f>IF(EP39="","",COUNTIFS($D$25:$D$267,Parameters!$K$2,$E$25:$E$267,Parameters!$M$2,Calendrier!$C$25:$C$267,EP39)+ COUNTIFS($D$25:$D$267,Parameters!$K$3,$E$25:$E$267,Parameters!$M$2,Calendrier!$C$25:$C$267,EP39))</f>
        <v>0</v>
      </c>
      <c r="IK39" s="50">
        <f>IF(EQ39="","",COUNTIFS($D$25:$D$267,Parameters!$K$2,$E$25:$E$267,Parameters!$M$2,Calendrier!$C$25:$C$267,EQ39)+ COUNTIFS($D$25:$D$267,Parameters!$K$4,$E$25:$E$267,Parameters!$M$2,Calendrier!$C$25:$C$267,EQ39))</f>
        <v>0</v>
      </c>
      <c r="IL39" s="50">
        <f>IF(ER39="","",COUNTIFS($D$25:$D$267,Parameters!$K$2,$E$25:$E$267,Parameters!$M$2,Calendrier!$C$25:$C$267,ER39)+ COUNTIFS($D$25:$D$267,Parameters!$K$3,$E$25:$E$267,Parameters!$M$2,Calendrier!$C$25:$C$267,ER39))</f>
        <v>0</v>
      </c>
      <c r="IM39" s="50">
        <f>IF(ES39="","",COUNTIFS($D$25:$D$267,Parameters!$K$2,$E$25:$E$267,Parameters!$M$2,Calendrier!$C$25:$C$267,ES39)+ COUNTIFS($D$25:$D$267,Parameters!$K$4,$E$25:$E$267,Parameters!$M$2,Calendrier!$C$25:$C$267,ES39))</f>
        <v>0</v>
      </c>
      <c r="IN39" s="50">
        <f>IF(ET39="","",COUNTIFS($D$25:$D$267,Parameters!$K$2,$E$25:$E$267,Parameters!$M$2,Calendrier!$C$25:$C$267,ET39)+ COUNTIFS($D$25:$D$267,Parameters!$K$3,$E$25:$E$267,Parameters!$M$2,Calendrier!$C$25:$C$267,ET39))</f>
        <v>0</v>
      </c>
      <c r="IO39" s="50">
        <f>IF(EU39="","",COUNTIFS($D$25:$D$267,Parameters!$K$2,$E$25:$E$267,Parameters!$M$2,Calendrier!$C$25:$C$267,EU39)+ COUNTIFS($D$25:$D$267,Parameters!$K$4,$E$25:$E$267,Parameters!$M$2,Calendrier!$C$25:$C$267,EU39))</f>
        <v>0</v>
      </c>
      <c r="IP39" s="50">
        <f>IF(EV39="","",COUNTIFS($D$25:$D$267,Parameters!$K$2,$E$25:$E$267,Parameters!$M$2,Calendrier!$C$25:$C$267,EV39)+ COUNTIFS($D$25:$D$267,Parameters!$K$3,$E$25:$E$267,Parameters!$M$2,Calendrier!$C$25:$C$267,EV39))</f>
        <v>0</v>
      </c>
      <c r="IQ39" s="50">
        <f>IF(EW39="","",COUNTIFS($D$25:$D$267,Parameters!$K$2,$E$25:$E$267,Parameters!$M$2,Calendrier!$C$25:$C$267,EW39)+ COUNTIFS($D$25:$D$267,Parameters!$K$4,$E$25:$E$267,Parameters!$M$2,Calendrier!$C$25:$C$267,EW39))</f>
        <v>0</v>
      </c>
      <c r="IR39" s="50">
        <f>IF(EX39="","",COUNTIFS($D$25:$D$267,Parameters!$K$2,$E$25:$E$267,Parameters!$M$2,Calendrier!$C$25:$C$267,EX39)+ COUNTIFS($D$25:$D$267,Parameters!$K$3,$E$25:$E$267,Parameters!$M$2,Calendrier!$C$25:$C$267,EX39))</f>
        <v>0</v>
      </c>
      <c r="IS39" s="50">
        <f>IF(EY39="","",COUNTIFS($D$25:$D$267,Parameters!$K$2,$E$25:$E$267,Parameters!$M$2,Calendrier!$C$25:$C$267,EY39)+ COUNTIFS($D$25:$D$267,Parameters!$K$4,$E$25:$E$267,Parameters!$M$2,Calendrier!$C$25:$C$267,EY39))</f>
        <v>0</v>
      </c>
      <c r="IT39" s="50">
        <f>IF(EZ39="","",COUNTIFS($D$25:$D$267,Parameters!$K$2,$E$25:$E$267,Parameters!$M$2,Calendrier!$C$25:$C$267,EZ39)+ COUNTIFS($D$25:$D$267,Parameters!$K$3,$E$25:$E$267,Parameters!$M$2,Calendrier!$C$25:$C$267,EZ39))</f>
        <v>0</v>
      </c>
      <c r="IU39" s="57">
        <f>IF(FA39="","",COUNTIFS($D$25:$D$267,Parameters!$K$2,$E$25:$E$267,Parameters!$M$2,Calendrier!$C$25:$C$267,FA39)+ COUNTIFS($D$25:$D$267,Parameters!$K$4,$E$25:$E$267,Parameters!$M$2,Calendrier!$C$25:$C$267,FA39))</f>
        <v>0</v>
      </c>
      <c r="IY39" s="49">
        <f>IF(DH39="","",COUNTIFS($D$25:$D$267,Parameters!$K$2,$E$25:$E$267,Parameters!$M$3,Calendrier!$C$25:$C$267,DH39)+ COUNTIFS($D$25:$D$267,Parameters!$K$3,$E$25:$E$267,Parameters!$M$3,Calendrier!$C$25:$C$267,DH39))</f>
        <v>0</v>
      </c>
      <c r="IZ39" s="50">
        <f>IF(DI39="","",COUNTIFS($D$25:$D$267,Parameters!$K$2,$E$25:$E$267,Parameters!$M$3,Calendrier!$C$25:$C$267,DI39)+ COUNTIFS($D$25:$D$267,Parameters!$K$4,$E$25:$E$267,Parameters!$M$3,Calendrier!$C$25:$C$267,DI39))</f>
        <v>0</v>
      </c>
      <c r="JA39" s="50">
        <f>IF(DJ39="","",COUNTIFS($D$25:$D$267,Parameters!$K$2,$E$25:$E$267,Parameters!$M$3,Calendrier!$C$25:$C$267,DJ39)+ COUNTIFS($D$25:$D$267,Parameters!$K$3,$E$25:$E$267,Parameters!$M$3,Calendrier!$C$25:$C$267,DJ39))</f>
        <v>0</v>
      </c>
      <c r="JB39" s="50">
        <f>IF(DK39="","",COUNTIFS($D$25:$D$267,Parameters!$K$2,$E$25:$E$267,Parameters!$M$3,Calendrier!$C$25:$C$267,DK39)+ COUNTIFS($D$25:$D$267,Parameters!$K$4,$E$25:$E$267,Parameters!$M$3,Calendrier!$C$25:$C$267,DK39))</f>
        <v>0</v>
      </c>
      <c r="JC39" s="50">
        <f>IF(DL39="","",COUNTIFS($D$25:$D$267,Parameters!$K$2,$E$25:$E$267,Parameters!$M$3,Calendrier!$C$25:$C$267,DL39)+ COUNTIFS($D$25:$D$267,Parameters!$K$3,$E$25:$E$267,Parameters!$M$3,Calendrier!$C$25:$C$267,DL39))</f>
        <v>0</v>
      </c>
      <c r="JD39" s="50">
        <f>IF(DM39="","",COUNTIFS($D$25:$D$267,Parameters!$K$2,$E$25:$E$267,Parameters!$M$3,Calendrier!$C$25:$C$267,DM39)+ COUNTIFS($D$25:$D$267,Parameters!$K$4,$E$25:$E$267,Parameters!$M$3,Calendrier!$C$25:$C$267,DM39))</f>
        <v>0</v>
      </c>
      <c r="JE39" s="50">
        <f>IF(DN39="","",COUNTIFS($D$25:$D$267,Parameters!$K$2,$E$25:$E$267,Parameters!$M$3,Calendrier!$C$25:$C$267,DN39)+ COUNTIFS($D$25:$D$267,Parameters!$K$3,$E$25:$E$267,Parameters!$M$3,Calendrier!$C$25:$C$267,DN39))</f>
        <v>0</v>
      </c>
      <c r="JF39" s="50">
        <f>IF(DO39="","",COUNTIFS($D$25:$D$267,Parameters!$K$2,$E$25:$E$267,Parameters!$M$3,Calendrier!$C$25:$C$267,DO39)+ COUNTIFS($D$25:$D$267,Parameters!$K$4,$E$25:$E$267,Parameters!$M$3,Calendrier!$C$25:$C$267,DO39))</f>
        <v>0</v>
      </c>
      <c r="JG39" s="50">
        <f>IF(DP39="","",COUNTIFS($D$25:$D$267,Parameters!$K$2,$E$25:$E$267,Parameters!$M$3,Calendrier!$C$25:$C$267,DP39)+ COUNTIFS($D$25:$D$267,Parameters!$K$3,$E$25:$E$267,Parameters!$M$3,Calendrier!$C$25:$C$267,DP39))</f>
        <v>0</v>
      </c>
      <c r="JH39" s="50">
        <f>IF(DQ39="","",COUNTIFS($D$25:$D$267,Parameters!$K$2,$E$25:$E$267,Parameters!$M$3,Calendrier!$C$25:$C$267,DQ39)+ COUNTIFS($D$25:$D$267,Parameters!$K$4,$E$25:$E$267,Parameters!$M$3,Calendrier!$C$25:$C$267,DQ39))</f>
        <v>0</v>
      </c>
      <c r="JI39" s="50">
        <f>IF(DR39="","",COUNTIFS($D$25:$D$267,Parameters!$K$2,$E$25:$E$267,Parameters!$M$3,Calendrier!$C$25:$C$267,DR39)+ COUNTIFS($D$25:$D$267,Parameters!$K$3,$E$25:$E$267,Parameters!$M$3,Calendrier!$C$25:$C$267,DR39))</f>
        <v>0</v>
      </c>
      <c r="JJ39" s="50">
        <f>IF(DS39="","",COUNTIFS($D$25:$D$267,Parameters!$K$2,$E$25:$E$267,Parameters!$M$3,Calendrier!$C$25:$C$267,DS39)+ COUNTIFS($D$25:$D$267,Parameters!$K$4,$E$25:$E$267,Parameters!$M$3,Calendrier!$C$25:$C$267,DS39))</f>
        <v>0</v>
      </c>
      <c r="JK39" s="50">
        <f>IF(DT39="","",COUNTIFS($D$25:$D$267,Parameters!$K$2,$E$25:$E$267,Parameters!$M$3,Calendrier!$C$25:$C$267,DT39)+ COUNTIFS($D$25:$D$267,Parameters!$K$3,$E$25:$E$267,Parameters!$M$3,Calendrier!$C$25:$C$267,DT39))</f>
        <v>0</v>
      </c>
      <c r="JL39" s="57">
        <f>IF(DU39="","",COUNTIFS($D$25:$D$267,Parameters!$K$2,$E$25:$E$267,Parameters!$M$3,Calendrier!$C$25:$C$267,DU39)+ COUNTIFS($D$25:$D$267,Parameters!$K$4,$E$25:$E$267,Parameters!$M$3,Calendrier!$C$25:$C$267,DU39))</f>
        <v>0</v>
      </c>
      <c r="JO39" s="49">
        <f>IF(DX39="","",COUNTIFS($D$25:$D$267,Parameters!$K$2,$E$25:$E$267,Parameters!$M$3,Calendrier!$C$25:$C$267,DX39)+ COUNTIFS($D$25:$D$267,Parameters!$K$3,$E$25:$E$267,Parameters!$M$3,Calendrier!$C$25:$C$267,DX39))</f>
        <v>0</v>
      </c>
      <c r="JP39" s="50">
        <f>IF(DY39="","",COUNTIFS($D$25:$D$267,Parameters!$K$2,$E$25:$E$267,Parameters!$M$3,Calendrier!$C$25:$C$267,DY39)+ COUNTIFS($D$25:$D$267,Parameters!$K$4,$E$25:$E$267,Parameters!$M$3,Calendrier!$C$25:$C$267,DY39))</f>
        <v>0</v>
      </c>
      <c r="JQ39" s="50">
        <f>IF(DZ39="","",COUNTIFS($D$25:$D$267,Parameters!$K$2,$E$25:$E$267,Parameters!$M$3,Calendrier!$C$25:$C$267,DZ39)+ COUNTIFS($D$25:$D$267,Parameters!$K$3,$E$25:$E$267,Parameters!$M$3,Calendrier!$C$25:$C$267,DZ39))</f>
        <v>0</v>
      </c>
      <c r="JR39" s="50">
        <f>IF(EA39="","",COUNTIFS($D$25:$D$267,Parameters!$K$2,$E$25:$E$267,Parameters!$M$3,Calendrier!$C$25:$C$267,EA39)+ COUNTIFS($D$25:$D$267,Parameters!$K$4,$E$25:$E$267,Parameters!$M$3,Calendrier!$C$25:$C$267,EA39))</f>
        <v>0</v>
      </c>
      <c r="JS39" s="50">
        <f>IF(EB39="","",COUNTIFS($D$25:$D$267,Parameters!$K$2,$E$25:$E$267,Parameters!$M$3,Calendrier!$C$25:$C$267,EB39)+ COUNTIFS($D$25:$D$267,Parameters!$K$3,$E$25:$E$267,Parameters!$M$3,Calendrier!$C$25:$C$267,EB39))</f>
        <v>0</v>
      </c>
      <c r="JT39" s="50">
        <f>IF(EC39="","",COUNTIFS($D$25:$D$267,Parameters!$K$2,$E$25:$E$267,Parameters!$M$3,Calendrier!$C$25:$C$267,EC39)+ COUNTIFS($D$25:$D$267,Parameters!$K$4,$E$25:$E$267,Parameters!$M$3,Calendrier!$C$25:$C$267,EC39))</f>
        <v>0</v>
      </c>
      <c r="JU39" s="50">
        <f>IF(ED39="","",COUNTIFS($D$25:$D$267,Parameters!$K$2,$E$25:$E$267,Parameters!$M$3,Calendrier!$C$25:$C$267,ED39)+ COUNTIFS($D$25:$D$267,Parameters!$K$3,$E$25:$E$267,Parameters!$M$3,Calendrier!$C$25:$C$267,ED39))</f>
        <v>0</v>
      </c>
      <c r="JV39" s="50">
        <f>IF(EE39="","",COUNTIFS($D$25:$D$267,Parameters!$K$2,$E$25:$E$267,Parameters!$M$3,Calendrier!$C$25:$C$267,EE39)+ COUNTIFS($D$25:$D$267,Parameters!$K$4,$E$25:$E$267,Parameters!$M$3,Calendrier!$C$25:$C$267,EE39))</f>
        <v>0</v>
      </c>
      <c r="JW39" s="50">
        <f>IF(EF39="","",COUNTIFS($D$25:$D$267,Parameters!$K$2,$E$25:$E$267,Parameters!$M$3,Calendrier!$C$25:$C$267,EF39)+ COUNTIFS($D$25:$D$267,Parameters!$K$3,$E$25:$E$267,Parameters!$M$3,Calendrier!$C$25:$C$267,EF39))</f>
        <v>0</v>
      </c>
      <c r="JX39" s="50">
        <f>IF(EG39="","",COUNTIFS($D$25:$D$267,Parameters!$K$2,$E$25:$E$267,Parameters!$M$3,Calendrier!$C$25:$C$267,EG39)+ COUNTIFS($D$25:$D$267,Parameters!$K$4,$E$25:$E$267,Parameters!$M$3,Calendrier!$C$25:$C$267,EG39))</f>
        <v>0</v>
      </c>
      <c r="JY39" s="50">
        <f>IF(EH39="","",COUNTIFS($D$25:$D$267,Parameters!$K$2,$E$25:$E$267,Parameters!$M$3,Calendrier!$C$25:$C$267,EH39)+ COUNTIFS($D$25:$D$267,Parameters!$K$3,$E$25:$E$267,Parameters!$M$3,Calendrier!$C$25:$C$267,EH39))</f>
        <v>0</v>
      </c>
      <c r="JZ39" s="50">
        <f>IF(EI39="","",COUNTIFS($D$25:$D$267,Parameters!$K$2,$E$25:$E$267,Parameters!$M$3,Calendrier!$C$25:$C$267,EI39)+ COUNTIFS($D$25:$D$267,Parameters!$K$4,$E$25:$E$267,Parameters!$M$3,Calendrier!$C$25:$C$267,EI39))</f>
        <v>0</v>
      </c>
      <c r="KA39" s="50">
        <f>IF(EJ39="","",COUNTIFS($D$25:$D$267,Parameters!$K$2,$E$25:$E$267,Parameters!$M$3,Calendrier!$C$25:$C$267,EJ39)+ COUNTIFS($D$25:$D$267,Parameters!$K$3,$E$25:$E$267,Parameters!$M$3,Calendrier!$C$25:$C$267,EJ39))</f>
        <v>0</v>
      </c>
      <c r="KB39" s="57">
        <f>IF(EK39="","",COUNTIFS($D$25:$D$267,Parameters!$K$2,$E$25:$E$267,Parameters!$M$3,Calendrier!$C$25:$C$267,EK39)+ COUNTIFS($D$25:$D$267,Parameters!$K$4,$E$25:$E$267,Parameters!$M$3,Calendrier!$C$25:$C$267,EK39))</f>
        <v>0</v>
      </c>
      <c r="KE39" s="49">
        <f>IF(EN39="","",COUNTIFS($D$25:$D$267,Parameters!$K$2,$E$25:$E$267,Parameters!$M$3,Calendrier!$C$25:$C$267,EN39)+ COUNTIFS($D$25:$D$267,Parameters!$K$3,$E$25:$E$267,Parameters!$M$3,Calendrier!$C$25:$C$267,EN39))</f>
        <v>0</v>
      </c>
      <c r="KF39" s="50">
        <f>IF(EO39="","",COUNTIFS($D$25:$D$267,Parameters!$K$2,$E$25:$E$267,Parameters!$M$3,Calendrier!$C$25:$C$267,EO39)+ COUNTIFS($D$25:$D$267,Parameters!$K$4,$E$25:$E$267,Parameters!$M$3,Calendrier!$C$25:$C$267,EO39))</f>
        <v>0</v>
      </c>
      <c r="KG39" s="50">
        <f>IF(EP39="","",COUNTIFS($D$25:$D$267,Parameters!$K$2,$E$25:$E$267,Parameters!$M$3,Calendrier!$C$25:$C$267,EP39)+ COUNTIFS($D$25:$D$267,Parameters!$K$3,$E$25:$E$267,Parameters!$M$3,Calendrier!$C$25:$C$267,EP39))</f>
        <v>0</v>
      </c>
      <c r="KH39" s="50">
        <f>IF(EQ39="","",COUNTIFS($D$25:$D$267,Parameters!$K$2,$E$25:$E$267,Parameters!$M$3,Calendrier!$C$25:$C$267,EQ39)+ COUNTIFS($D$25:$D$267,Parameters!$K$4,$E$25:$E$267,Parameters!$M$3,Calendrier!$C$25:$C$267,EQ39))</f>
        <v>0</v>
      </c>
      <c r="KI39" s="50">
        <f>IF(ER39="","",COUNTIFS($D$25:$D$267,Parameters!$K$2,$E$25:$E$267,Parameters!$M$3,Calendrier!$C$25:$C$267,ER39)+ COUNTIFS($D$25:$D$267,Parameters!$K$3,$E$25:$E$267,Parameters!$M$3,Calendrier!$C$25:$C$267,ER39))</f>
        <v>0</v>
      </c>
      <c r="KJ39" s="50">
        <f>IF(ES39="","",COUNTIFS($D$25:$D$267,Parameters!$K$2,$E$25:$E$267,Parameters!$M$3,Calendrier!$C$25:$C$267,ES39)+ COUNTIFS($D$25:$D$267,Parameters!$K$4,$E$25:$E$267,Parameters!$M$3,Calendrier!$C$25:$C$267,ES39))</f>
        <v>0</v>
      </c>
      <c r="KK39" s="50">
        <f>IF(ET39="","",COUNTIFS($D$25:$D$267,Parameters!$K$2,$E$25:$E$267,Parameters!$M$3,Calendrier!$C$25:$C$267,ET39)+ COUNTIFS($D$25:$D$267,Parameters!$K$3,$E$25:$E$267,Parameters!$M$3,Calendrier!$C$25:$C$267,ET39))</f>
        <v>0</v>
      </c>
      <c r="KL39" s="50">
        <f>IF(EU39="","",COUNTIFS($D$25:$D$267,Parameters!$K$2,$E$25:$E$267,Parameters!$M$3,Calendrier!$C$25:$C$267,EU39)+ COUNTIFS($D$25:$D$267,Parameters!$K$4,$E$25:$E$267,Parameters!$M$3,Calendrier!$C$25:$C$267,EU39))</f>
        <v>0</v>
      </c>
      <c r="KM39" s="50">
        <f>IF(EV39="","",COUNTIFS($D$25:$D$267,Parameters!$K$2,$E$25:$E$267,Parameters!$M$3,Calendrier!$C$25:$C$267,EV39)+ COUNTIFS($D$25:$D$267,Parameters!$K$3,$E$25:$E$267,Parameters!$M$3,Calendrier!$C$25:$C$267,EV39))</f>
        <v>0</v>
      </c>
      <c r="KN39" s="50">
        <f>IF(EW39="","",COUNTIFS($D$25:$D$267,Parameters!$K$2,$E$25:$E$267,Parameters!$M$3,Calendrier!$C$25:$C$267,EW39)+ COUNTIFS($D$25:$D$267,Parameters!$K$4,$E$25:$E$267,Parameters!$M$3,Calendrier!$C$25:$C$267,EW39))</f>
        <v>0</v>
      </c>
      <c r="KO39" s="50">
        <f>IF(EX39="","",COUNTIFS($D$25:$D$267,Parameters!$K$2,$E$25:$E$267,Parameters!$M$3,Calendrier!$C$25:$C$267,EX39)+ COUNTIFS($D$25:$D$267,Parameters!$K$3,$E$25:$E$267,Parameters!$M$3,Calendrier!$C$25:$C$267,EX39))</f>
        <v>0</v>
      </c>
      <c r="KP39" s="50">
        <f>IF(EY39="","",COUNTIFS($D$25:$D$267,Parameters!$K$2,$E$25:$E$267,Parameters!$M$3,Calendrier!$C$25:$C$267,EY39)+ COUNTIFS($D$25:$D$267,Parameters!$K$4,$E$25:$E$267,Parameters!$M$3,Calendrier!$C$25:$C$267,EY39))</f>
        <v>0</v>
      </c>
      <c r="KQ39" s="50">
        <f>IF(EZ39="","",COUNTIFS($D$25:$D$267,Parameters!$K$2,$E$25:$E$267,Parameters!$M$3,Calendrier!$C$25:$C$267,EZ39)+ COUNTIFS($D$25:$D$267,Parameters!$K$3,$E$25:$E$267,Parameters!$M$3,Calendrier!$C$25:$C$267,EZ39))</f>
        <v>0</v>
      </c>
      <c r="KR39" s="57">
        <f>IF(FA39="","",COUNTIFS($D$25:$D$267,Parameters!$K$2,$E$25:$E$267,Parameters!$M$3,Calendrier!$C$25:$C$267,FA39)+ COUNTIFS($D$25:$D$267,Parameters!$K$4,$E$25:$E$267,Parameters!$M$3,Calendrier!$C$25:$C$267,FA39))</f>
        <v>0</v>
      </c>
      <c r="KV39" s="49">
        <f>IF(DH39="","",COUNTIFS($D$25:$D$267,Parameters!$K$2,$E$25:$E$267,Parameters!$M$4,Calendrier!$C$25:$C$267,DH39)+ COUNTIFS($D$25:$D$267,Parameters!$K$3,$E$25:$E$267,Parameters!$M$4,Calendrier!$C$25:$C$267,DH39))</f>
        <v>0</v>
      </c>
      <c r="KW39" s="50">
        <f>IF(DI39="","",COUNTIFS($D$25:$D$267,Parameters!$K$2,$E$25:$E$267,Parameters!$M$4,Calendrier!$C$25:$C$267,DI39)+ COUNTIFS($D$25:$D$267,Parameters!$K$4,$E$25:$E$267,Parameters!$M$4,Calendrier!$C$25:$C$267,DI39))</f>
        <v>0</v>
      </c>
      <c r="KX39" s="50">
        <f>IF(DJ39="","",COUNTIFS($D$25:$D$267,Parameters!$K$2,$E$25:$E$267,Parameters!$M$4,Calendrier!$C$25:$C$267,DJ39)+ COUNTIFS($D$25:$D$267,Parameters!$K$3,$E$25:$E$267,Parameters!$M$4,Calendrier!$C$25:$C$267,DJ39))</f>
        <v>0</v>
      </c>
      <c r="KY39" s="50">
        <f>IF(DK39="","",COUNTIFS($D$25:$D$267,Parameters!$K$2,$E$25:$E$267,Parameters!$M$4,Calendrier!$C$25:$C$267,DK39)+ COUNTIFS($D$25:$D$267,Parameters!$K$4,$E$25:$E$267,Parameters!$M$4,Calendrier!$C$25:$C$267,DK39))</f>
        <v>0</v>
      </c>
      <c r="KZ39" s="50">
        <f>IF(DL39="","",COUNTIFS($D$25:$D$267,Parameters!$K$2,$E$25:$E$267,Parameters!$M$4,Calendrier!$C$25:$C$267,DL39)+ COUNTIFS($D$25:$D$267,Parameters!$K$3,$E$25:$E$267,Parameters!$M$4,Calendrier!$C$25:$C$267,DL39))</f>
        <v>0</v>
      </c>
      <c r="LA39" s="50">
        <f>IF(DM39="","",COUNTIFS($D$25:$D$267,Parameters!$K$2,$E$25:$E$267,Parameters!$M$4,Calendrier!$C$25:$C$267,DM39)+ COUNTIFS($D$25:$D$267,Parameters!$K$4,$E$25:$E$267,Parameters!$M$4,Calendrier!$C$25:$C$267,DM39))</f>
        <v>0</v>
      </c>
      <c r="LB39" s="50">
        <f>IF(DN39="","",COUNTIFS($D$25:$D$267,Parameters!$K$2,$E$25:$E$267,Parameters!$M$4,Calendrier!$C$25:$C$267,DN39)+ COUNTIFS($D$25:$D$267,Parameters!$K$3,$E$25:$E$267,Parameters!$M$4,Calendrier!$C$25:$C$267,DN39))</f>
        <v>0</v>
      </c>
      <c r="LC39" s="50">
        <f>IF(DO39="","",COUNTIFS($D$25:$D$267,Parameters!$K$2,$E$25:$E$267,Parameters!$M$4,Calendrier!$C$25:$C$267,DO39)+ COUNTIFS($D$25:$D$267,Parameters!$K$4,$E$25:$E$267,Parameters!$M$4,Calendrier!$C$25:$C$267,DO39))</f>
        <v>0</v>
      </c>
      <c r="LD39" s="50">
        <f>IF(DP39="","",COUNTIFS($D$25:$D$267,Parameters!$K$2,$E$25:$E$267,Parameters!$M$4,Calendrier!$C$25:$C$267,DP39)+ COUNTIFS($D$25:$D$267,Parameters!$K$3,$E$25:$E$267,Parameters!$M$4,Calendrier!$C$25:$C$267,DP39))</f>
        <v>0</v>
      </c>
      <c r="LE39" s="50">
        <f>IF(DQ39="","",COUNTIFS($D$25:$D$267,Parameters!$K$2,$E$25:$E$267,Parameters!$M$4,Calendrier!$C$25:$C$267,DQ39)+ COUNTIFS($D$25:$D$267,Parameters!$K$4,$E$25:$E$267,Parameters!$M$4,Calendrier!$C$25:$C$267,DQ39))</f>
        <v>0</v>
      </c>
      <c r="LF39" s="50">
        <f>IF(DR39="","",COUNTIFS($D$25:$D$267,Parameters!$K$2,$E$25:$E$267,Parameters!$M$4,Calendrier!$C$25:$C$267,DR39)+ COUNTIFS($D$25:$D$267,Parameters!$K$3,$E$25:$E$267,Parameters!$M$4,Calendrier!$C$25:$C$267,DR39))</f>
        <v>0</v>
      </c>
      <c r="LG39" s="50">
        <f>IF(DS39="","",COUNTIFS($D$25:$D$267,Parameters!$K$2,$E$25:$E$267,Parameters!$M$4,Calendrier!$C$25:$C$267,DS39)+ COUNTIFS($D$25:$D$267,Parameters!$K$4,$E$25:$E$267,Parameters!$M$4,Calendrier!$C$25:$C$267,DS39))</f>
        <v>0</v>
      </c>
      <c r="LH39" s="50">
        <f>IF(DT39="","",COUNTIFS($D$25:$D$267,Parameters!$K$2,$E$25:$E$267,Parameters!$M$4,Calendrier!$C$25:$C$267,DT39)+ COUNTIFS($D$25:$D$267,Parameters!$K$3,$E$25:$E$267,Parameters!$M$4,Calendrier!$C$25:$C$267,DT39))</f>
        <v>0</v>
      </c>
      <c r="LI39" s="57">
        <f>IF(DU39="","",COUNTIFS($D$25:$D$267,Parameters!$K$2,$E$25:$E$267,Parameters!$M$4,Calendrier!$C$25:$C$267,DU39)+ COUNTIFS($D$25:$D$267,Parameters!$K$4,$E$25:$E$267,Parameters!$M$4,Calendrier!$C$25:$C$267,DU39))</f>
        <v>0</v>
      </c>
      <c r="LL39" s="49">
        <f>IF(DX39="","",COUNTIFS($D$25:$D$267,Parameters!$K$2,$E$25:$E$267,Parameters!$M$4,Calendrier!$C$25:$C$267,DX39)+ COUNTIFS($D$25:$D$267,Parameters!$K$3,$E$25:$E$267,Parameters!$M$4,Calendrier!$C$25:$C$267,DX39))</f>
        <v>0</v>
      </c>
      <c r="LM39" s="50">
        <f>IF(DY39="","",COUNTIFS($D$25:$D$267,Parameters!$K$2,$E$25:$E$267,Parameters!$M$4,Calendrier!$C$25:$C$267,DY39)+ COUNTIFS($D$25:$D$267,Parameters!$K$4,$E$25:$E$267,Parameters!$M$4,Calendrier!$C$25:$C$267,DY39))</f>
        <v>0</v>
      </c>
      <c r="LN39" s="50">
        <f>IF(DZ39="","",COUNTIFS($D$25:$D$267,Parameters!$K$2,$E$25:$E$267,Parameters!$M$4,Calendrier!$C$25:$C$267,DZ39)+ COUNTIFS($D$25:$D$267,Parameters!$K$3,$E$25:$E$267,Parameters!$M$4,Calendrier!$C$25:$C$267,DZ39))</f>
        <v>0</v>
      </c>
      <c r="LO39" s="50">
        <f>IF(EA39="","",COUNTIFS($D$25:$D$267,Parameters!$K$2,$E$25:$E$267,Parameters!$M$4,Calendrier!$C$25:$C$267,EA39)+ COUNTIFS($D$25:$D$267,Parameters!$K$4,$E$25:$E$267,Parameters!$M$4,Calendrier!$C$25:$C$267,EA39))</f>
        <v>0</v>
      </c>
      <c r="LP39" s="50">
        <f>IF(EB39="","",COUNTIFS($D$25:$D$267,Parameters!$K$2,$E$25:$E$267,Parameters!$M$4,Calendrier!$C$25:$C$267,EB39)+ COUNTIFS($D$25:$D$267,Parameters!$K$3,$E$25:$E$267,Parameters!$M$4,Calendrier!$C$25:$C$267,EB39))</f>
        <v>0</v>
      </c>
      <c r="LQ39" s="50">
        <f>IF(EC39="","",COUNTIFS($D$25:$D$267,Parameters!$K$2,$E$25:$E$267,Parameters!$M$4,Calendrier!$C$25:$C$267,EC39)+ COUNTIFS($D$25:$D$267,Parameters!$K$4,$E$25:$E$267,Parameters!$M$4,Calendrier!$C$25:$C$267,EC39))</f>
        <v>0</v>
      </c>
      <c r="LR39" s="50">
        <f>IF(ED39="","",COUNTIFS($D$25:$D$267,Parameters!$K$2,$E$25:$E$267,Parameters!$M$4,Calendrier!$C$25:$C$267,ED39)+ COUNTIFS($D$25:$D$267,Parameters!$K$3,$E$25:$E$267,Parameters!$M$4,Calendrier!$C$25:$C$267,ED39))</f>
        <v>0</v>
      </c>
      <c r="LS39" s="50">
        <f>IF(EE39="","",COUNTIFS($D$25:$D$267,Parameters!$K$2,$E$25:$E$267,Parameters!$M$4,Calendrier!$C$25:$C$267,EE39)+ COUNTIFS($D$25:$D$267,Parameters!$K$4,$E$25:$E$267,Parameters!$M$4,Calendrier!$C$25:$C$267,EE39))</f>
        <v>0</v>
      </c>
      <c r="LT39" s="50">
        <f>IF(EF39="","",COUNTIFS($D$25:$D$267,Parameters!$K$2,$E$25:$E$267,Parameters!$M$4,Calendrier!$C$25:$C$267,EF39)+ COUNTIFS($D$25:$D$267,Parameters!$K$3,$E$25:$E$267,Parameters!$M$4,Calendrier!$C$25:$C$267,EF39))</f>
        <v>0</v>
      </c>
      <c r="LU39" s="50">
        <f>IF(EG39="","",COUNTIFS($D$25:$D$267,Parameters!$K$2,$E$25:$E$267,Parameters!$M$4,Calendrier!$C$25:$C$267,EG39)+ COUNTIFS($D$25:$D$267,Parameters!$K$4,$E$25:$E$267,Parameters!$M$4,Calendrier!$C$25:$C$267,EG39))</f>
        <v>0</v>
      </c>
      <c r="LV39" s="50">
        <f>IF(EH39="","",COUNTIFS($D$25:$D$267,Parameters!$K$2,$E$25:$E$267,Parameters!$M$4,Calendrier!$C$25:$C$267,EH39)+ COUNTIFS($D$25:$D$267,Parameters!$K$3,$E$25:$E$267,Parameters!$M$4,Calendrier!$C$25:$C$267,EH39))</f>
        <v>0</v>
      </c>
      <c r="LW39" s="50">
        <f>IF(EI39="","",COUNTIFS($D$25:$D$267,Parameters!$K$2,$E$25:$E$267,Parameters!$M$4,Calendrier!$C$25:$C$267,EI39)+ COUNTIFS($D$25:$D$267,Parameters!$K$4,$E$25:$E$267,Parameters!$M$4,Calendrier!$C$25:$C$267,EI39))</f>
        <v>0</v>
      </c>
      <c r="LX39" s="50">
        <f>IF(EJ39="","",COUNTIFS($D$25:$D$267,Parameters!$K$2,$E$25:$E$267,Parameters!$M$4,Calendrier!$C$25:$C$267,EJ39)+ COUNTIFS($D$25:$D$267,Parameters!$K$3,$E$25:$E$267,Parameters!$M$4,Calendrier!$C$25:$C$267,EJ39))</f>
        <v>0</v>
      </c>
      <c r="LY39" s="57">
        <f>IF(EK39="","",COUNTIFS($D$25:$D$267,Parameters!$K$2,$E$25:$E$267,Parameters!$M$4,Calendrier!$C$25:$C$267,EK39)+ COUNTIFS($D$25:$D$267,Parameters!$K$4,$E$25:$E$267,Parameters!$M$4,Calendrier!$C$25:$C$267,EK39))</f>
        <v>0</v>
      </c>
      <c r="MB39" s="49">
        <f>IF(EN39="","",COUNTIFS($D$25:$D$267,Parameters!$K$2,$E$25:$E$267,Parameters!$M$4,Calendrier!$C$25:$C$267,EN39)+ COUNTIFS($D$25:$D$267,Parameters!$K$3,$E$25:$E$267,Parameters!$M$4,Calendrier!$C$25:$C$267,EN39))</f>
        <v>0</v>
      </c>
      <c r="MC39" s="50">
        <f>IF(EO39="","",COUNTIFS($D$25:$D$267,Parameters!$K$2,$E$25:$E$267,Parameters!$M$4,Calendrier!$C$25:$C$267,EO39)+ COUNTIFS($D$25:$D$267,Parameters!$K$4,$E$25:$E$267,Parameters!$M$4,Calendrier!$C$25:$C$267,EO39))</f>
        <v>0</v>
      </c>
      <c r="MD39" s="50">
        <f>IF(EP39="","",COUNTIFS($D$25:$D$267,Parameters!$K$2,$E$25:$E$267,Parameters!$M$4,Calendrier!$C$25:$C$267,EP39)+ COUNTIFS($D$25:$D$267,Parameters!$K$3,$E$25:$E$267,Parameters!$M$4,Calendrier!$C$25:$C$267,EP39))</f>
        <v>0</v>
      </c>
      <c r="ME39" s="50">
        <f>IF(EQ39="","",COUNTIFS($D$25:$D$267,Parameters!$K$2,$E$25:$E$267,Parameters!$M$4,Calendrier!$C$25:$C$267,EQ39)+ COUNTIFS($D$25:$D$267,Parameters!$K$4,$E$25:$E$267,Parameters!$M$4,Calendrier!$C$25:$C$267,EQ39))</f>
        <v>0</v>
      </c>
      <c r="MF39" s="50">
        <f>IF(ER39="","",COUNTIFS($D$25:$D$267,Parameters!$K$2,$E$25:$E$267,Parameters!$M$4,Calendrier!$C$25:$C$267,ER39)+ COUNTIFS($D$25:$D$267,Parameters!$K$3,$E$25:$E$267,Parameters!$M$4,Calendrier!$C$25:$C$267,ER39))</f>
        <v>0</v>
      </c>
      <c r="MG39" s="50">
        <f>IF(ES39="","",COUNTIFS($D$25:$D$267,Parameters!$K$2,$E$25:$E$267,Parameters!$M$4,Calendrier!$C$25:$C$267,ES39)+ COUNTIFS($D$25:$D$267,Parameters!$K$4,$E$25:$E$267,Parameters!$M$4,Calendrier!$C$25:$C$267,ES39))</f>
        <v>0</v>
      </c>
      <c r="MH39" s="50">
        <f>IF(ET39="","",COUNTIFS($D$25:$D$267,Parameters!$K$2,$E$25:$E$267,Parameters!$M$4,Calendrier!$C$25:$C$267,ET39)+ COUNTIFS($D$25:$D$267,Parameters!$K$3,$E$25:$E$267,Parameters!$M$4,Calendrier!$C$25:$C$267,ET39))</f>
        <v>0</v>
      </c>
      <c r="MI39" s="50">
        <f>IF(EU39="","",COUNTIFS($D$25:$D$267,Parameters!$K$2,$E$25:$E$267,Parameters!$M$4,Calendrier!$C$25:$C$267,EU39)+ COUNTIFS($D$25:$D$267,Parameters!$K$4,$E$25:$E$267,Parameters!$M$4,Calendrier!$C$25:$C$267,EU39))</f>
        <v>0</v>
      </c>
      <c r="MJ39" s="50">
        <f>IF(EV39="","",COUNTIFS($D$25:$D$267,Parameters!$K$2,$E$25:$E$267,Parameters!$M$4,Calendrier!$C$25:$C$267,EV39)+ COUNTIFS($D$25:$D$267,Parameters!$K$3,$E$25:$E$267,Parameters!$M$4,Calendrier!$C$25:$C$267,EV39))</f>
        <v>0</v>
      </c>
      <c r="MK39" s="50">
        <f>IF(EW39="","",COUNTIFS($D$25:$D$267,Parameters!$K$2,$E$25:$E$267,Parameters!$M$4,Calendrier!$C$25:$C$267,EW39)+ COUNTIFS($D$25:$D$267,Parameters!$K$4,$E$25:$E$267,Parameters!$M$4,Calendrier!$C$25:$C$267,EW39))</f>
        <v>0</v>
      </c>
      <c r="ML39" s="50">
        <f>IF(EX39="","",COUNTIFS($D$25:$D$267,Parameters!$K$2,$E$25:$E$267,Parameters!$M$4,Calendrier!$C$25:$C$267,EX39)+ COUNTIFS($D$25:$D$267,Parameters!$K$3,$E$25:$E$267,Parameters!$M$4,Calendrier!$C$25:$C$267,EX39))</f>
        <v>0</v>
      </c>
      <c r="MM39" s="50">
        <f>IF(EY39="","",COUNTIFS($D$25:$D$267,Parameters!$K$2,$E$25:$E$267,Parameters!$M$4,Calendrier!$C$25:$C$267,EY39)+ COUNTIFS($D$25:$D$267,Parameters!$K$4,$E$25:$E$267,Parameters!$M$4,Calendrier!$C$25:$C$267,EY39))</f>
        <v>0</v>
      </c>
      <c r="MN39" s="50">
        <f>IF(EZ39="","",COUNTIFS($D$25:$D$267,Parameters!$K$2,$E$25:$E$267,Parameters!$M$4,Calendrier!$C$25:$C$267,EZ39)+ COUNTIFS($D$25:$D$267,Parameters!$K$3,$E$25:$E$267,Parameters!$M$4,Calendrier!$C$25:$C$267,EZ39))</f>
        <v>0</v>
      </c>
      <c r="MO39" s="57">
        <f>IF(FA39="","",COUNTIFS($D$25:$D$267,Parameters!$K$2,$E$25:$E$267,Parameters!$M$4,Calendrier!$C$25:$C$267,FA39)+ COUNTIFS($D$25:$D$267,Parameters!$K$4,$E$25:$E$267,Parameters!$M$4,Calendrier!$C$25:$C$267,FA39))</f>
        <v>0</v>
      </c>
      <c r="MS39" s="49">
        <f>IF(DH39="","",COUNTIFS($D$25:$D$267,Parameters!$K$2,$E$25:$E$267,Parameters!$M$5,Calendrier!$C$25:$C$267,DH39)+ COUNTIFS($D$25:$D$267,Parameters!$K$3,$E$25:$E$267,Parameters!$M$5,Calendrier!$C$25:$C$267,DH39))</f>
        <v>0</v>
      </c>
      <c r="MT39" s="50">
        <f>IF(DI39="","",COUNTIFS($D$25:$D$267,Parameters!$K$2,$E$25:$E$267,Parameters!$M$5,Calendrier!$C$25:$C$267,DI39)+ COUNTIFS($D$25:$D$267,Parameters!$K$4,$E$25:$E$267,Parameters!$M$5,Calendrier!$C$25:$C$267,DI39))</f>
        <v>0</v>
      </c>
      <c r="MU39" s="50">
        <f>IF(DJ39="","",COUNTIFS($D$25:$D$267,Parameters!$K$2,$E$25:$E$267,Parameters!$M$5,Calendrier!$C$25:$C$267,DJ39)+ COUNTIFS($D$25:$D$267,Parameters!$K$3,$E$25:$E$267,Parameters!$M$5,Calendrier!$C$25:$C$267,DJ39))</f>
        <v>0</v>
      </c>
      <c r="MV39" s="50">
        <f>IF(DK39="","",COUNTIFS($D$25:$D$267,Parameters!$K$2,$E$25:$E$267,Parameters!$M$5,Calendrier!$C$25:$C$267,DK39)+ COUNTIFS($D$25:$D$267,Parameters!$K$4,$E$25:$E$267,Parameters!$M$5,Calendrier!$C$25:$C$267,DK39))</f>
        <v>0</v>
      </c>
      <c r="MW39" s="50">
        <f>IF(DL39="","",COUNTIFS($D$25:$D$267,Parameters!$K$2,$E$25:$E$267,Parameters!$M$5,Calendrier!$C$25:$C$267,DL39)+ COUNTIFS($D$25:$D$267,Parameters!$K$3,$E$25:$E$267,Parameters!$M$5,Calendrier!$C$25:$C$267,DL39))</f>
        <v>0</v>
      </c>
      <c r="MX39" s="50">
        <f>IF(DM39="","",COUNTIFS($D$25:$D$267,Parameters!$K$2,$E$25:$E$267,Parameters!$M$5,Calendrier!$C$25:$C$267,DM39)+ COUNTIFS($D$25:$D$267,Parameters!$K$4,$E$25:$E$267,Parameters!$M$5,Calendrier!$C$25:$C$267,DM39))</f>
        <v>0</v>
      </c>
      <c r="MY39" s="50">
        <f>IF(DN39="","",COUNTIFS($D$25:$D$267,Parameters!$K$2,$E$25:$E$267,Parameters!$M$5,Calendrier!$C$25:$C$267,DN39)+ COUNTIFS($D$25:$D$267,Parameters!$K$3,$E$25:$E$267,Parameters!$M$5,Calendrier!$C$25:$C$267,DN39))</f>
        <v>0</v>
      </c>
      <c r="MZ39" s="50">
        <f>IF(DO39="","",COUNTIFS($D$25:$D$267,Parameters!$K$2,$E$25:$E$267,Parameters!$M$5,Calendrier!$C$25:$C$267,DO39)+ COUNTIFS($D$25:$D$267,Parameters!$K$4,$E$25:$E$267,Parameters!$M$5,Calendrier!$C$25:$C$267,DO39))</f>
        <v>0</v>
      </c>
      <c r="NA39" s="50">
        <f>IF(DP39="","",COUNTIFS($D$25:$D$267,Parameters!$K$2,$E$25:$E$267,Parameters!$M$5,Calendrier!$C$25:$C$267,DP39)+ COUNTIFS($D$25:$D$267,Parameters!$K$3,$E$25:$E$267,Parameters!$M$5,Calendrier!$C$25:$C$267,DP39))</f>
        <v>0</v>
      </c>
      <c r="NB39" s="50">
        <f>IF(DQ39="","",COUNTIFS($D$25:$D$267,Parameters!$K$2,$E$25:$E$267,Parameters!$M$5,Calendrier!$C$25:$C$267,DQ39)+ COUNTIFS($D$25:$D$267,Parameters!$K$4,$E$25:$E$267,Parameters!$M$5,Calendrier!$C$25:$C$267,DQ39))</f>
        <v>0</v>
      </c>
      <c r="NC39" s="50">
        <f>IF(DR39="","",COUNTIFS($D$25:$D$267,Parameters!$K$2,$E$25:$E$267,Parameters!$M$5,Calendrier!$C$25:$C$267,DR39)+ COUNTIFS($D$25:$D$267,Parameters!$K$3,$E$25:$E$267,Parameters!$M$5,Calendrier!$C$25:$C$267,DR39))</f>
        <v>0</v>
      </c>
      <c r="ND39" s="50">
        <f>IF(DS39="","",COUNTIFS($D$25:$D$267,Parameters!$K$2,$E$25:$E$267,Parameters!$M$5,Calendrier!$C$25:$C$267,DS39)+ COUNTIFS($D$25:$D$267,Parameters!$K$4,$E$25:$E$267,Parameters!$M$5,Calendrier!$C$25:$C$267,DS39))</f>
        <v>0</v>
      </c>
      <c r="NE39" s="50">
        <f>IF(DT39="","",COUNTIFS($D$25:$D$267,Parameters!$K$2,$E$25:$E$267,Parameters!$M$5,Calendrier!$C$25:$C$267,DT39)+ COUNTIFS($D$25:$D$267,Parameters!$K$3,$E$25:$E$267,Parameters!$M$5,Calendrier!$C$25:$C$267,DT39))</f>
        <v>0</v>
      </c>
      <c r="NF39" s="57">
        <f>IF(DU39="","",COUNTIFS($D$25:$D$267,Parameters!$K$2,$E$25:$E$267,Parameters!$M$5,Calendrier!$C$25:$C$267,DU39)+ COUNTIFS($D$25:$D$267,Parameters!$K$4,$E$25:$E$267,Parameters!$M$5,Calendrier!$C$25:$C$267,DU39))</f>
        <v>0</v>
      </c>
      <c r="NI39" s="49">
        <f>IF(DX39="","",COUNTIFS($D$25:$D$267,Parameters!$K$2,$E$25:$E$267,Parameters!$M$5,Calendrier!$C$25:$C$267,DX39)+ COUNTIFS($D$25:$D$267,Parameters!$K$3,$E$25:$E$267,Parameters!$M$5,Calendrier!$C$25:$C$267,DX39))</f>
        <v>0</v>
      </c>
      <c r="NJ39" s="50">
        <f>IF(DY39="","",COUNTIFS($D$25:$D$267,Parameters!$K$2,$E$25:$E$267,Parameters!$M$5,Calendrier!$C$25:$C$267,DY39)+ COUNTIFS($D$25:$D$267,Parameters!$K$4,$E$25:$E$267,Parameters!$M$5,Calendrier!$C$25:$C$267,DY39))</f>
        <v>0</v>
      </c>
      <c r="NK39" s="50">
        <f>IF(DZ39="","",COUNTIFS($D$25:$D$267,Parameters!$K$2,$E$25:$E$267,Parameters!$M$5,Calendrier!$C$25:$C$267,DZ39)+ COUNTIFS($D$25:$D$267,Parameters!$K$3,$E$25:$E$267,Parameters!$M$5,Calendrier!$C$25:$C$267,DZ39))</f>
        <v>0</v>
      </c>
      <c r="NL39" s="50">
        <f>IF(EA39="","",COUNTIFS($D$25:$D$267,Parameters!$K$2,$E$25:$E$267,Parameters!$M$5,Calendrier!$C$25:$C$267,EA39)+ COUNTIFS($D$25:$D$267,Parameters!$K$4,$E$25:$E$267,Parameters!$M$5,Calendrier!$C$25:$C$267,EA39))</f>
        <v>0</v>
      </c>
      <c r="NM39" s="50">
        <f>IF(EB39="","",COUNTIFS($D$25:$D$267,Parameters!$K$2,$E$25:$E$267,Parameters!$M$5,Calendrier!$C$25:$C$267,EB39)+ COUNTIFS($D$25:$D$267,Parameters!$K$3,$E$25:$E$267,Parameters!$M$5,Calendrier!$C$25:$C$267,EB39))</f>
        <v>0</v>
      </c>
      <c r="NN39" s="50">
        <f>IF(EC39="","",COUNTIFS($D$25:$D$267,Parameters!$K$2,$E$25:$E$267,Parameters!$M$5,Calendrier!$C$25:$C$267,EC39)+ COUNTIFS($D$25:$D$267,Parameters!$K$4,$E$25:$E$267,Parameters!$M$5,Calendrier!$C$25:$C$267,EC39))</f>
        <v>0</v>
      </c>
      <c r="NO39" s="50">
        <f>IF(ED39="","",COUNTIFS($D$25:$D$267,Parameters!$K$2,$E$25:$E$267,Parameters!$M$5,Calendrier!$C$25:$C$267,ED39)+ COUNTIFS($D$25:$D$267,Parameters!$K$3,$E$25:$E$267,Parameters!$M$5,Calendrier!$C$25:$C$267,ED39))</f>
        <v>0</v>
      </c>
      <c r="NP39" s="50">
        <f>IF(EE39="","",COUNTIFS($D$25:$D$267,Parameters!$K$2,$E$25:$E$267,Parameters!$M$5,Calendrier!$C$25:$C$267,EE39)+ COUNTIFS($D$25:$D$267,Parameters!$K$4,$E$25:$E$267,Parameters!$M$5,Calendrier!$C$25:$C$267,EE39))</f>
        <v>0</v>
      </c>
      <c r="NQ39" s="50">
        <f>IF(EF39="","",COUNTIFS($D$25:$D$267,Parameters!$K$2,$E$25:$E$267,Parameters!$M$5,Calendrier!$C$25:$C$267,EF39)+ COUNTIFS($D$25:$D$267,Parameters!$K$3,$E$25:$E$267,Parameters!$M$5,Calendrier!$C$25:$C$267,EF39))</f>
        <v>0</v>
      </c>
      <c r="NR39" s="50">
        <f>IF(EG39="","",COUNTIFS($D$25:$D$267,Parameters!$K$2,$E$25:$E$267,Parameters!$M$5,Calendrier!$C$25:$C$267,EG39)+ COUNTIFS($D$25:$D$267,Parameters!$K$4,$E$25:$E$267,Parameters!$M$5,Calendrier!$C$25:$C$267,EG39))</f>
        <v>0</v>
      </c>
      <c r="NS39" s="50">
        <f>IF(EH39="","",COUNTIFS($D$25:$D$267,Parameters!$K$2,$E$25:$E$267,Parameters!$M$5,Calendrier!$C$25:$C$267,EH39)+ COUNTIFS($D$25:$D$267,Parameters!$K$3,$E$25:$E$267,Parameters!$M$5,Calendrier!$C$25:$C$267,EH39))</f>
        <v>0</v>
      </c>
      <c r="NT39" s="50">
        <f>IF(EI39="","",COUNTIFS($D$25:$D$267,Parameters!$K$2,$E$25:$E$267,Parameters!$M$5,Calendrier!$C$25:$C$267,EI39)+ COUNTIFS($D$25:$D$267,Parameters!$K$4,$E$25:$E$267,Parameters!$M$5,Calendrier!$C$25:$C$267,EI39))</f>
        <v>0</v>
      </c>
      <c r="NU39" s="50">
        <f>IF(EJ39="","",COUNTIFS($D$25:$D$267,Parameters!$K$2,$E$25:$E$267,Parameters!$M$5,Calendrier!$C$25:$C$267,EJ39)+ COUNTIFS($D$25:$D$267,Parameters!$K$3,$E$25:$E$267,Parameters!$M$5,Calendrier!$C$25:$C$267,EJ39))</f>
        <v>0</v>
      </c>
      <c r="NV39" s="57">
        <f>IF(EK39="","",COUNTIFS($D$25:$D$267,Parameters!$K$2,$E$25:$E$267,Parameters!$M$5,Calendrier!$C$25:$C$267,EK39)+ COUNTIFS($D$25:$D$267,Parameters!$K$4,$E$25:$E$267,Parameters!$M$5,Calendrier!$C$25:$C$267,EK39))</f>
        <v>0</v>
      </c>
      <c r="NY39" s="49">
        <f>IF(EN39="","",COUNTIFS($D$25:$D$267,Parameters!$K$2,$E$25:$E$267,Parameters!$M$5,Calendrier!$C$25:$C$267,EN39)+ COUNTIFS($D$25:$D$267,Parameters!$K$3,$E$25:$E$267,Parameters!$M$5,Calendrier!$C$25:$C$267,EN39))</f>
        <v>0</v>
      </c>
      <c r="NZ39" s="50">
        <f>IF(EO39="","",COUNTIFS($D$25:$D$267,Parameters!$K$2,$E$25:$E$267,Parameters!$M$5,Calendrier!$C$25:$C$267,EO39)+ COUNTIFS($D$25:$D$267,Parameters!$K$4,$E$25:$E$267,Parameters!$M$5,Calendrier!$C$25:$C$267,EO39))</f>
        <v>0</v>
      </c>
      <c r="OA39" s="50">
        <f>IF(EP39="","",COUNTIFS($D$25:$D$267,Parameters!$K$2,$E$25:$E$267,Parameters!$M$5,Calendrier!$C$25:$C$267,EP39)+ COUNTIFS($D$25:$D$267,Parameters!$K$3,$E$25:$E$267,Parameters!$M$5,Calendrier!$C$25:$C$267,EP39))</f>
        <v>0</v>
      </c>
      <c r="OB39" s="50">
        <f>IF(EQ39="","",COUNTIFS($D$25:$D$267,Parameters!$K$2,$E$25:$E$267,Parameters!$M$5,Calendrier!$C$25:$C$267,EQ39)+ COUNTIFS($D$25:$D$267,Parameters!$K$4,$E$25:$E$267,Parameters!$M$5,Calendrier!$C$25:$C$267,EQ39))</f>
        <v>0</v>
      </c>
      <c r="OC39" s="50">
        <f>IF(ER39="","",COUNTIFS($D$25:$D$267,Parameters!$K$2,$E$25:$E$267,Parameters!$M$5,Calendrier!$C$25:$C$267,ER39)+ COUNTIFS($D$25:$D$267,Parameters!$K$3,$E$25:$E$267,Parameters!$M$5,Calendrier!$C$25:$C$267,ER39))</f>
        <v>0</v>
      </c>
      <c r="OD39" s="50">
        <f>IF(ES39="","",COUNTIFS($D$25:$D$267,Parameters!$K$2,$E$25:$E$267,Parameters!$M$5,Calendrier!$C$25:$C$267,ES39)+ COUNTIFS($D$25:$D$267,Parameters!$K$4,$E$25:$E$267,Parameters!$M$5,Calendrier!$C$25:$C$267,ES39))</f>
        <v>0</v>
      </c>
      <c r="OE39" s="50">
        <f>IF(ET39="","",COUNTIFS($D$25:$D$267,Parameters!$K$2,$E$25:$E$267,Parameters!$M$5,Calendrier!$C$25:$C$267,ET39)+ COUNTIFS($D$25:$D$267,Parameters!$K$3,$E$25:$E$267,Parameters!$M$5,Calendrier!$C$25:$C$267,ET39))</f>
        <v>0</v>
      </c>
      <c r="OF39" s="50">
        <f>IF(EU39="","",COUNTIFS($D$25:$D$267,Parameters!$K$2,$E$25:$E$267,Parameters!$M$5,Calendrier!$C$25:$C$267,EU39)+ COUNTIFS($D$25:$D$267,Parameters!$K$4,$E$25:$E$267,Parameters!$M$5,Calendrier!$C$25:$C$267,EU39))</f>
        <v>0</v>
      </c>
      <c r="OG39" s="50">
        <f>IF(EV39="","",COUNTIFS($D$25:$D$267,Parameters!$K$2,$E$25:$E$267,Parameters!$M$5,Calendrier!$C$25:$C$267,EV39)+ COUNTIFS($D$25:$D$267,Parameters!$K$3,$E$25:$E$267,Parameters!$M$5,Calendrier!$C$25:$C$267,EV39))</f>
        <v>0</v>
      </c>
      <c r="OH39" s="50">
        <f>IF(EW39="","",COUNTIFS($D$25:$D$267,Parameters!$K$2,$E$25:$E$267,Parameters!$M$5,Calendrier!$C$25:$C$267,EW39)+ COUNTIFS($D$25:$D$267,Parameters!$K$4,$E$25:$E$267,Parameters!$M$5,Calendrier!$C$25:$C$267,EW39))</f>
        <v>0</v>
      </c>
      <c r="OI39" s="50">
        <f>IF(EX39="","",COUNTIFS($D$25:$D$267,Parameters!$K$2,$E$25:$E$267,Parameters!$M$5,Calendrier!$C$25:$C$267,EX39)+ COUNTIFS($D$25:$D$267,Parameters!$K$3,$E$25:$E$267,Parameters!$M$5,Calendrier!$C$25:$C$267,EX39))</f>
        <v>0</v>
      </c>
      <c r="OJ39" s="50">
        <f>IF(EY39="","",COUNTIFS($D$25:$D$267,Parameters!$K$2,$E$25:$E$267,Parameters!$M$5,Calendrier!$C$25:$C$267,EY39)+ COUNTIFS($D$25:$D$267,Parameters!$K$4,$E$25:$E$267,Parameters!$M$5,Calendrier!$C$25:$C$267,EY39))</f>
        <v>0</v>
      </c>
      <c r="OK39" s="50">
        <f>IF(EZ39="","",COUNTIFS($D$25:$D$267,Parameters!$K$2,$E$25:$E$267,Parameters!$M$5,Calendrier!$C$25:$C$267,EZ39)+ COUNTIFS($D$25:$D$267,Parameters!$K$3,$E$25:$E$267,Parameters!$M$5,Calendrier!$C$25:$C$267,EZ39))</f>
        <v>0</v>
      </c>
      <c r="OL39" s="57">
        <f>IF(FA39="","",COUNTIFS($D$25:$D$267,Parameters!$K$2,$E$25:$E$267,Parameters!$M$5,Calendrier!$C$25:$C$267,FA39)+ COUNTIFS($D$25:$D$267,Parameters!$K$4,$E$25:$E$267,Parameters!$M$5,Calendrier!$C$25:$C$267,FA39))</f>
        <v>0</v>
      </c>
      <c r="OP39" s="49">
        <f>IF(DH39="","",COUNTIFS(Parameters!$Y:$Y,$BF$4,Parameters!$X:$X,DH39))</f>
        <v>0</v>
      </c>
      <c r="OQ39" s="50">
        <f>IF(DI39="","",COUNTIFS(Parameters!$Y:$Y,$BF$4,Parameters!$X:$X,DI39))</f>
        <v>0</v>
      </c>
      <c r="OR39" s="50">
        <f>IF(DJ39="","",COUNTIFS(Parameters!$Y:$Y,$BF$4,Parameters!$X:$X,DJ39))</f>
        <v>0</v>
      </c>
      <c r="OS39" s="50">
        <f>IF(DK39="","",COUNTIFS(Parameters!$Y:$Y,$BF$4,Parameters!$X:$X,DK39))</f>
        <v>0</v>
      </c>
      <c r="OT39" s="50">
        <f>IF(DL39="","",COUNTIFS(Parameters!$Y:$Y,$BF$4,Parameters!$X:$X,DL39))</f>
        <v>0</v>
      </c>
      <c r="OU39" s="50">
        <f>IF(DM39="","",COUNTIFS(Parameters!$Y:$Y,$BF$4,Parameters!$X:$X,DM39))</f>
        <v>0</v>
      </c>
      <c r="OV39" s="50">
        <f>IF(DN39="","",COUNTIFS(Parameters!$Y:$Y,$BF$4,Parameters!$X:$X,DN39))</f>
        <v>0</v>
      </c>
      <c r="OW39" s="50">
        <f>IF(DO39="","",COUNTIFS(Parameters!$Y:$Y,$BF$4,Parameters!$X:$X,DO39))</f>
        <v>0</v>
      </c>
      <c r="OX39" s="50">
        <f>IF(DP39="","",COUNTIFS(Parameters!$Y:$Y,$BF$4,Parameters!$X:$X,DP39))</f>
        <v>0</v>
      </c>
      <c r="OY39" s="50">
        <f>IF(DQ39="","",COUNTIFS(Parameters!$Y:$Y,$BF$4,Parameters!$X:$X,DQ39))</f>
        <v>0</v>
      </c>
      <c r="OZ39" s="50">
        <f>IF(DR39="","",COUNTIFS(Parameters!$Y:$Y,$BF$4,Parameters!$X:$X,DR39))</f>
        <v>0</v>
      </c>
      <c r="PA39" s="50">
        <f>IF(DS39="","",COUNTIFS(Parameters!$Y:$Y,$BF$4,Parameters!$X:$X,DS39))</f>
        <v>0</v>
      </c>
      <c r="PB39" s="50">
        <f>IF(DT39="","",COUNTIFS(Parameters!$Y:$Y,$BF$4,Parameters!$X:$X,DT39))</f>
        <v>0</v>
      </c>
      <c r="PC39" s="57">
        <f>IF(DU39="","",COUNTIFS(Parameters!$Y:$Y,$BF$4,Parameters!$X:$X,DU39))</f>
        <v>0</v>
      </c>
      <c r="PF39" s="49">
        <f>IF(DX39="","",COUNTIFS(Parameters!$Y:$Y,$BF$4,Parameters!$X:$X,DX39))</f>
        <v>0</v>
      </c>
      <c r="PG39" s="50">
        <f>IF(DY39="","",COUNTIFS(Parameters!$Y:$Y,$BF$4,Parameters!$X:$X,DY39))</f>
        <v>0</v>
      </c>
      <c r="PH39" s="50">
        <f>IF(DZ39="","",COUNTIFS(Parameters!$Y:$Y,$BF$4,Parameters!$X:$X,DZ39))</f>
        <v>0</v>
      </c>
      <c r="PI39" s="50">
        <f>IF(EA39="","",COUNTIFS(Parameters!$Y:$Y,$BF$4,Parameters!$X:$X,EA39))</f>
        <v>0</v>
      </c>
      <c r="PJ39" s="50">
        <f>IF(EB39="","",COUNTIFS(Parameters!$Y:$Y,$BF$4,Parameters!$X:$X,EB39))</f>
        <v>0</v>
      </c>
      <c r="PK39" s="50">
        <f>IF(EC39="","",COUNTIFS(Parameters!$Y:$Y,$BF$4,Parameters!$X:$X,EC39))</f>
        <v>0</v>
      </c>
      <c r="PL39" s="50">
        <f>IF(ED39="","",COUNTIFS(Parameters!$Y:$Y,$BF$4,Parameters!$X:$X,ED39))</f>
        <v>0</v>
      </c>
      <c r="PM39" s="50">
        <f>IF(EE39="","",COUNTIFS(Parameters!$Y:$Y,$BF$4,Parameters!$X:$X,EE39))</f>
        <v>0</v>
      </c>
      <c r="PN39" s="50">
        <f>IF(EF39="","",COUNTIFS(Parameters!$Y:$Y,$BF$4,Parameters!$X:$X,EF39))</f>
        <v>0</v>
      </c>
      <c r="PO39" s="50">
        <f>IF(EG39="","",COUNTIFS(Parameters!$Y:$Y,$BF$4,Parameters!$X:$X,EG39))</f>
        <v>0</v>
      </c>
      <c r="PP39" s="50">
        <f>IF(EH39="","",COUNTIFS(Parameters!$Y:$Y,$BF$4,Parameters!$X:$X,EH39))</f>
        <v>0</v>
      </c>
      <c r="PQ39" s="50">
        <f>IF(EI39="","",COUNTIFS(Parameters!$Y:$Y,$BF$4,Parameters!$X:$X,EI39))</f>
        <v>0</v>
      </c>
      <c r="PR39" s="50">
        <f>IF(EJ39="","",COUNTIFS(Parameters!$Y:$Y,$BF$4,Parameters!$X:$X,EJ39))</f>
        <v>0</v>
      </c>
      <c r="PS39" s="57">
        <f>IF(EK39="","",COUNTIFS(Parameters!$Y:$Y,$BF$4,Parameters!$X:$X,EK39))</f>
        <v>0</v>
      </c>
      <c r="PV39" s="49">
        <f>IF(EN39="","",COUNTIFS(Parameters!$Y:$Y,$BF$4,Parameters!$X:$X,EN39))</f>
        <v>0</v>
      </c>
      <c r="PW39" s="50">
        <f>IF(EO39="","",COUNTIFS(Parameters!$Y:$Y,$BF$4,Parameters!$X:$X,EO39))</f>
        <v>0</v>
      </c>
      <c r="PX39" s="50">
        <f>IF(EP39="","",COUNTIFS(Parameters!$Y:$Y,$BF$4,Parameters!$X:$X,EP39))</f>
        <v>0</v>
      </c>
      <c r="PY39" s="50">
        <f>IF(EQ39="","",COUNTIFS(Parameters!$Y:$Y,$BF$4,Parameters!$X:$X,EQ39))</f>
        <v>0</v>
      </c>
      <c r="PZ39" s="50">
        <f>IF(ER39="","",COUNTIFS(Parameters!$Y:$Y,$BF$4,Parameters!$X:$X,ER39))</f>
        <v>0</v>
      </c>
      <c r="QA39" s="50">
        <f>IF(ES39="","",COUNTIFS(Parameters!$Y:$Y,$BF$4,Parameters!$X:$X,ES39))</f>
        <v>0</v>
      </c>
      <c r="QB39" s="50">
        <f>IF(ET39="","",COUNTIFS(Parameters!$Y:$Y,$BF$4,Parameters!$X:$X,ET39))</f>
        <v>0</v>
      </c>
      <c r="QC39" s="50">
        <f>IF(EU39="","",COUNTIFS(Parameters!$Y:$Y,$BF$4,Parameters!$X:$X,EU39))</f>
        <v>0</v>
      </c>
      <c r="QD39" s="50">
        <f>IF(EV39="","",COUNTIFS(Parameters!$Y:$Y,$BF$4,Parameters!$X:$X,EV39))</f>
        <v>0</v>
      </c>
      <c r="QE39" s="50">
        <f>IF(EW39="","",COUNTIFS(Parameters!$Y:$Y,$BF$4,Parameters!$X:$X,EW39))</f>
        <v>0</v>
      </c>
      <c r="QF39" s="50">
        <f>IF(EX39="","",COUNTIFS(Parameters!$Y:$Y,$BF$4,Parameters!$X:$X,EX39))</f>
        <v>0</v>
      </c>
      <c r="QG39" s="50">
        <f>IF(EY39="","",COUNTIFS(Parameters!$Y:$Y,$BF$4,Parameters!$X:$X,EY39))</f>
        <v>0</v>
      </c>
      <c r="QH39" s="50">
        <f>IF(EZ39="","",COUNTIFS(Parameters!$Y:$Y,$BF$4,Parameters!$X:$X,EZ39))</f>
        <v>0</v>
      </c>
      <c r="QI39" s="57">
        <f>IF(FA39="","",COUNTIFS(Parameters!$Y:$Y,$BF$4,Parameters!$X:$X,FA39))</f>
        <v>0</v>
      </c>
      <c r="QN39" s="49">
        <f>IF(DH39="","",COUNTIFS($D$25:$D$267,Parameters!$K$2,$E$25:$E$267,Parameters!$M$6,Calendrier!$C$25:$C$267,DH39)+ COUNTIFS($D$25:$D$267,Parameters!$K$3,$E$25:$E$267,Parameters!$M$6,Calendrier!$C$25:$C$267,DH39))</f>
        <v>0</v>
      </c>
      <c r="QO39" s="50">
        <f>IF(DI39="","",COUNTIFS($D$25:$D$267,Parameters!$K$2,$E$25:$E$267,Parameters!$M$6,Calendrier!$C$25:$C$267,DI39)+ COUNTIFS($D$25:$D$267,Parameters!$K$4,$E$25:$E$267,Parameters!$M$6,Calendrier!$C$25:$C$267,DI39))</f>
        <v>0</v>
      </c>
      <c r="QP39" s="50">
        <f>IF(DJ39="","",COUNTIFS($D$25:$D$267,Parameters!$K$2,$E$25:$E$267,Parameters!$M$6,Calendrier!$C$25:$C$267,DJ39)+ COUNTIFS($D$25:$D$267,Parameters!$K$3,$E$25:$E$267,Parameters!$M$6,Calendrier!$C$25:$C$267,DJ39))</f>
        <v>0</v>
      </c>
      <c r="QQ39" s="50">
        <f>IF(DK39="","",COUNTIFS($D$25:$D$267,Parameters!$K$2,$E$25:$E$267,Parameters!$M$6,Calendrier!$C$25:$C$267,DK39)+ COUNTIFS($D$25:$D$267,Parameters!$K$4,$E$25:$E$267,Parameters!$M$6,Calendrier!$C$25:$C$267,DK39))</f>
        <v>0</v>
      </c>
      <c r="QR39" s="50">
        <f>IF(DL39="","",COUNTIFS($D$25:$D$267,Parameters!$K$2,$E$25:$E$267,Parameters!$M$6,Calendrier!$C$25:$C$267,DL39)+ COUNTIFS($D$25:$D$267,Parameters!$K$3,$E$25:$E$267,Parameters!$M$6,Calendrier!$C$25:$C$267,DL39))</f>
        <v>0</v>
      </c>
      <c r="QS39" s="50">
        <f>IF(DM39="","",COUNTIFS($D$25:$D$267,Parameters!$K$2,$E$25:$E$267,Parameters!$M$6,Calendrier!$C$25:$C$267,DM39)+ COUNTIFS($D$25:$D$267,Parameters!$K$4,$E$25:$E$267,Parameters!$M$6,Calendrier!$C$25:$C$267,DM39))</f>
        <v>0</v>
      </c>
      <c r="QT39" s="50">
        <f>IF(DN39="","",COUNTIFS($D$25:$D$267,Parameters!$K$2,$E$25:$E$267,Parameters!$M$6,Calendrier!$C$25:$C$267,DN39)+ COUNTIFS($D$25:$D$267,Parameters!$K$3,$E$25:$E$267,Parameters!$M$6,Calendrier!$C$25:$C$267,DN39))</f>
        <v>0</v>
      </c>
      <c r="QU39" s="50">
        <f>IF(DO39="","",COUNTIFS($D$25:$D$267,Parameters!$K$2,$E$25:$E$267,Parameters!$M$6,Calendrier!$C$25:$C$267,DO39)+ COUNTIFS($D$25:$D$267,Parameters!$K$4,$E$25:$E$267,Parameters!$M$6,Calendrier!$C$25:$C$267,DO39))</f>
        <v>0</v>
      </c>
      <c r="QV39" s="50">
        <f>IF(DP39="","",COUNTIFS($D$25:$D$267,Parameters!$K$2,$E$25:$E$267,Parameters!$M$6,Calendrier!$C$25:$C$267,DP39)+ COUNTIFS($D$25:$D$267,Parameters!$K$3,$E$25:$E$267,Parameters!$M$6,Calendrier!$C$25:$C$267,DP39))</f>
        <v>0</v>
      </c>
      <c r="QW39" s="50">
        <f>IF(DQ39="","",COUNTIFS($D$25:$D$267,Parameters!$K$2,$E$25:$E$267,Parameters!$M$6,Calendrier!$C$25:$C$267,DQ39)+ COUNTIFS($D$25:$D$267,Parameters!$K$4,$E$25:$E$267,Parameters!$M$6,Calendrier!$C$25:$C$267,DQ39))</f>
        <v>0</v>
      </c>
      <c r="QX39" s="50">
        <f>IF(DR39="","",COUNTIFS($D$25:$D$267,Parameters!$K$2,$E$25:$E$267,Parameters!$M$6,Calendrier!$C$25:$C$267,DR39)+ COUNTIFS($D$25:$D$267,Parameters!$K$3,$E$25:$E$267,Parameters!$M$6,Calendrier!$C$25:$C$267,DR39))</f>
        <v>0</v>
      </c>
      <c r="QY39" s="50">
        <f>IF(DS39="","",COUNTIFS($D$25:$D$267,Parameters!$K$2,$E$25:$E$267,Parameters!$M$6,Calendrier!$C$25:$C$267,DS39)+ COUNTIFS($D$25:$D$267,Parameters!$K$4,$E$25:$E$267,Parameters!$M$6,Calendrier!$C$25:$C$267,DS39))</f>
        <v>0</v>
      </c>
      <c r="QZ39" s="50">
        <f>IF(DT39="","",COUNTIFS($D$25:$D$267,Parameters!$K$2,$E$25:$E$267,Parameters!$M$6,Calendrier!$C$25:$C$267,DT39)+ COUNTIFS($D$25:$D$267,Parameters!$K$3,$E$25:$E$267,Parameters!$M$6,Calendrier!$C$25:$C$267,DT39))</f>
        <v>0</v>
      </c>
      <c r="RA39" s="57">
        <f>IF(DU39="","",COUNTIFS($D$25:$D$267,Parameters!$K$2,$E$25:$E$267,Parameters!$M$6,Calendrier!$C$25:$C$267,DU39)+ COUNTIFS($D$25:$D$267,Parameters!$K$4,$E$25:$E$267,Parameters!$M$6,Calendrier!$C$25:$C$267,DU39))</f>
        <v>0</v>
      </c>
      <c r="RD39" s="49">
        <f>IF(DX39="","",COUNTIFS($D$25:$D$267,Parameters!$K$2,$E$25:$E$267,Parameters!$M$6,Calendrier!$C$25:$C$267,DX39)+ COUNTIFS($D$25:$D$267,Parameters!$K$3,$E$25:$E$267,Parameters!$M$6,Calendrier!$C$25:$C$267,DX39))</f>
        <v>0</v>
      </c>
      <c r="RE39" s="50">
        <f>IF(DY39="","",COUNTIFS($D$25:$D$267,Parameters!$K$2,$E$25:$E$267,Parameters!$M$6,Calendrier!$C$25:$C$267,DY39)+ COUNTIFS($D$25:$D$267,Parameters!$K$4,$E$25:$E$267,Parameters!$M$6,Calendrier!$C$25:$C$267,DY39))</f>
        <v>0</v>
      </c>
      <c r="RF39" s="50">
        <f>IF(DZ39="","",COUNTIFS($D$25:$D$267,Parameters!$K$2,$E$25:$E$267,Parameters!$M$6,Calendrier!$C$25:$C$267,DZ39)+ COUNTIFS($D$25:$D$267,Parameters!$K$3,$E$25:$E$267,Parameters!$M$6,Calendrier!$C$25:$C$267,DZ39))</f>
        <v>0</v>
      </c>
      <c r="RG39" s="50">
        <f>IF(EA39="","",COUNTIFS($D$25:$D$267,Parameters!$K$2,$E$25:$E$267,Parameters!$M$6,Calendrier!$C$25:$C$267,EA39)+ COUNTIFS($D$25:$D$267,Parameters!$K$4,$E$25:$E$267,Parameters!$M$6,Calendrier!$C$25:$C$267,EA39))</f>
        <v>0</v>
      </c>
      <c r="RH39" s="50">
        <f>IF(EB39="","",COUNTIFS($D$25:$D$267,Parameters!$K$2,$E$25:$E$267,Parameters!$M$6,Calendrier!$C$25:$C$267,EB39)+ COUNTIFS($D$25:$D$267,Parameters!$K$3,$E$25:$E$267,Parameters!$M$6,Calendrier!$C$25:$C$267,EB39))</f>
        <v>0</v>
      </c>
      <c r="RI39" s="50">
        <f>IF(EC39="","",COUNTIFS($D$25:$D$267,Parameters!$K$2,$E$25:$E$267,Parameters!$M$6,Calendrier!$C$25:$C$267,EC39)+ COUNTIFS($D$25:$D$267,Parameters!$K$4,$E$25:$E$267,Parameters!$M$6,Calendrier!$C$25:$C$267,EC39))</f>
        <v>0</v>
      </c>
      <c r="RJ39" s="50">
        <f>IF(ED39="","",COUNTIFS($D$25:$D$267,Parameters!$K$2,$E$25:$E$267,Parameters!$M$6,Calendrier!$C$25:$C$267,ED39)+ COUNTIFS($D$25:$D$267,Parameters!$K$3,$E$25:$E$267,Parameters!$M$6,Calendrier!$C$25:$C$267,ED39))</f>
        <v>0</v>
      </c>
      <c r="RK39" s="50">
        <f>IF(EE39="","",COUNTIFS($D$25:$D$267,Parameters!$K$2,$E$25:$E$267,Parameters!$M$6,Calendrier!$C$25:$C$267,EE39)+ COUNTIFS($D$25:$D$267,Parameters!$K$4,$E$25:$E$267,Parameters!$M$6,Calendrier!$C$25:$C$267,EE39))</f>
        <v>0</v>
      </c>
      <c r="RL39" s="50">
        <f>IF(EF39="","",COUNTIFS($D$25:$D$267,Parameters!$K$2,$E$25:$E$267,Parameters!$M$6,Calendrier!$C$25:$C$267,EF39)+ COUNTIFS($D$25:$D$267,Parameters!$K$3,$E$25:$E$267,Parameters!$M$6,Calendrier!$C$25:$C$267,EF39))</f>
        <v>0</v>
      </c>
      <c r="RM39" s="50">
        <f>IF(EG39="","",COUNTIFS($D$25:$D$267,Parameters!$K$2,$E$25:$E$267,Parameters!$M$6,Calendrier!$C$25:$C$267,EG39)+ COUNTIFS($D$25:$D$267,Parameters!$K$4,$E$25:$E$267,Parameters!$M$6,Calendrier!$C$25:$C$267,EG39))</f>
        <v>0</v>
      </c>
      <c r="RN39" s="50">
        <f>IF(EH39="","",COUNTIFS($D$25:$D$267,Parameters!$K$2,$E$25:$E$267,Parameters!$M$6,Calendrier!$C$25:$C$267,EH39)+ COUNTIFS($D$25:$D$267,Parameters!$K$3,$E$25:$E$267,Parameters!$M$6,Calendrier!$C$25:$C$267,EH39))</f>
        <v>0</v>
      </c>
      <c r="RO39" s="50">
        <f>IF(EI39="","",COUNTIFS($D$25:$D$267,Parameters!$K$2,$E$25:$E$267,Parameters!$M$6,Calendrier!$C$25:$C$267,EI39)+ COUNTIFS($D$25:$D$267,Parameters!$K$4,$E$25:$E$267,Parameters!$M$6,Calendrier!$C$25:$C$267,EI39))</f>
        <v>0</v>
      </c>
      <c r="RP39" s="50">
        <f>IF(EJ39="","",COUNTIFS($D$25:$D$267,Parameters!$K$2,$E$25:$E$267,Parameters!$M$6,Calendrier!$C$25:$C$267,EJ39)+ COUNTIFS($D$25:$D$267,Parameters!$K$3,$E$25:$E$267,Parameters!$M$6,Calendrier!$C$25:$C$267,EJ39))</f>
        <v>0</v>
      </c>
      <c r="RQ39" s="57">
        <f>IF(EK39="","",COUNTIFS($D$25:$D$267,Parameters!$K$2,$E$25:$E$267,Parameters!$M$6,Calendrier!$C$25:$C$267,EK39)+ COUNTIFS($D$25:$D$267,Parameters!$K$4,$E$25:$E$267,Parameters!$M$6,Calendrier!$C$25:$C$267,EK39))</f>
        <v>0</v>
      </c>
      <c r="RT39" s="49">
        <f>IF(EN39="","",COUNTIFS($D$25:$D$267,Parameters!$K$2,$E$25:$E$267,Parameters!$M$6,Calendrier!$C$25:$C$267,EN39)+ COUNTIFS($D$25:$D$267,Parameters!$K$3,$E$25:$E$267,Parameters!$M$6,Calendrier!$C$25:$C$267,EN39))</f>
        <v>0</v>
      </c>
      <c r="RU39" s="50">
        <f>IF(EO39="","",COUNTIFS($D$25:$D$267,Parameters!$K$2,$E$25:$E$267,Parameters!$M$6,Calendrier!$C$25:$C$267,EO39)+ COUNTIFS($D$25:$D$267,Parameters!$K$4,$E$25:$E$267,Parameters!$M$6,Calendrier!$C$25:$C$267,EO39))</f>
        <v>0</v>
      </c>
      <c r="RV39" s="50">
        <f>IF(EP39="","",COUNTIFS($D$25:$D$267,Parameters!$K$2,$E$25:$E$267,Parameters!$M$6,Calendrier!$C$25:$C$267,EP39)+ COUNTIFS($D$25:$D$267,Parameters!$K$3,$E$25:$E$267,Parameters!$M$6,Calendrier!$C$25:$C$267,EP39))</f>
        <v>0</v>
      </c>
      <c r="RW39" s="50">
        <f>IF(EQ39="","",COUNTIFS($D$25:$D$267,Parameters!$K$2,$E$25:$E$267,Parameters!$M$6,Calendrier!$C$25:$C$267,EQ39)+ COUNTIFS($D$25:$D$267,Parameters!$K$4,$E$25:$E$267,Parameters!$M$6,Calendrier!$C$25:$C$267,EQ39))</f>
        <v>0</v>
      </c>
      <c r="RX39" s="50">
        <f>IF(ER39="","",COUNTIFS($D$25:$D$267,Parameters!$K$2,$E$25:$E$267,Parameters!$M$6,Calendrier!$C$25:$C$267,ER39)+ COUNTIFS($D$25:$D$267,Parameters!$K$3,$E$25:$E$267,Parameters!$M$6,Calendrier!$C$25:$C$267,ER39))</f>
        <v>0</v>
      </c>
      <c r="RY39" s="50">
        <f>IF(ES39="","",COUNTIFS($D$25:$D$267,Parameters!$K$2,$E$25:$E$267,Parameters!$M$6,Calendrier!$C$25:$C$267,ES39)+ COUNTIFS($D$25:$D$267,Parameters!$K$4,$E$25:$E$267,Parameters!$M$6,Calendrier!$C$25:$C$267,ES39))</f>
        <v>0</v>
      </c>
      <c r="RZ39" s="50">
        <f>IF(ET39="","",COUNTIFS($D$25:$D$267,Parameters!$K$2,$E$25:$E$267,Parameters!$M$6,Calendrier!$C$25:$C$267,ET39)+ COUNTIFS($D$25:$D$267,Parameters!$K$3,$E$25:$E$267,Parameters!$M$6,Calendrier!$C$25:$C$267,ET39))</f>
        <v>0</v>
      </c>
      <c r="SA39" s="50">
        <f>IF(EU39="","",COUNTIFS($D$25:$D$267,Parameters!$K$2,$E$25:$E$267,Parameters!$M$6,Calendrier!$C$25:$C$267,EU39)+ COUNTIFS($D$25:$D$267,Parameters!$K$4,$E$25:$E$267,Parameters!$M$6,Calendrier!$C$25:$C$267,EU39))</f>
        <v>0</v>
      </c>
      <c r="SB39" s="50">
        <f>IF(EV39="","",COUNTIFS($D$25:$D$267,Parameters!$K$2,$E$25:$E$267,Parameters!$M$6,Calendrier!$C$25:$C$267,EV39)+ COUNTIFS($D$25:$D$267,Parameters!$K$3,$E$25:$E$267,Parameters!$M$6,Calendrier!$C$25:$C$267,EV39))</f>
        <v>0</v>
      </c>
      <c r="SC39" s="50">
        <f>IF(EW39="","",COUNTIFS($D$25:$D$267,Parameters!$K$2,$E$25:$E$267,Parameters!$M$6,Calendrier!$C$25:$C$267,EW39)+ COUNTIFS($D$25:$D$267,Parameters!$K$4,$E$25:$E$267,Parameters!$M$6,Calendrier!$C$25:$C$267,EW39))</f>
        <v>0</v>
      </c>
      <c r="SD39" s="50">
        <f>IF(EX39="","",COUNTIFS($D$25:$D$267,Parameters!$K$2,$E$25:$E$267,Parameters!$M$6,Calendrier!$C$25:$C$267,EX39)+ COUNTIFS($D$25:$D$267,Parameters!$K$3,$E$25:$E$267,Parameters!$M$6,Calendrier!$C$25:$C$267,EX39))</f>
        <v>0</v>
      </c>
      <c r="SE39" s="50">
        <f>IF(EY39="","",COUNTIFS($D$25:$D$267,Parameters!$K$2,$E$25:$E$267,Parameters!$M$6,Calendrier!$C$25:$C$267,EY39)+ COUNTIFS($D$25:$D$267,Parameters!$K$4,$E$25:$E$267,Parameters!$M$6,Calendrier!$C$25:$C$267,EY39))</f>
        <v>0</v>
      </c>
      <c r="SF39" s="50">
        <f>IF(EZ39="","",COUNTIFS($D$25:$D$267,Parameters!$K$2,$E$25:$E$267,Parameters!$M$6,Calendrier!$C$25:$C$267,EZ39)+ COUNTIFS($D$25:$D$267,Parameters!$K$3,$E$25:$E$267,Parameters!$M$6,Calendrier!$C$25:$C$267,EZ39))</f>
        <v>0</v>
      </c>
      <c r="SG39" s="57">
        <f>IF(FA39="","",COUNTIFS($D$25:$D$267,Parameters!$K$2,$E$25:$E$267,Parameters!$M$6,Calendrier!$C$25:$C$267,FA39)+ COUNTIFS($D$25:$D$267,Parameters!$K$4,$E$25:$E$267,Parameters!$M$6,Calendrier!$C$25:$C$267,FA39))</f>
        <v>0</v>
      </c>
      <c r="SL39" s="49">
        <f>IF(DH39="","",COUNTIFS($D$25:$D$267,Parameters!$K$2,$E$25:$E$267,Parameters!$M$7,Calendrier!$C$25:$C$267,DH39)+ COUNTIFS($D$25:$D$267,Parameters!$K$3,$E$25:$E$267,Parameters!$M$7,Calendrier!$C$25:$C$267,DH39))</f>
        <v>0</v>
      </c>
      <c r="SM39" s="50">
        <f>IF(DI39="","",COUNTIFS($D$25:$D$267,Parameters!$K$2,$E$25:$E$267,Parameters!$M$7,Calendrier!$C$25:$C$267,DI39)+ COUNTIFS($D$25:$D$267,Parameters!$K$4,$E$25:$E$267,Parameters!$M$7,Calendrier!$C$25:$C$267,DI39))</f>
        <v>0</v>
      </c>
      <c r="SN39" s="50">
        <f>IF(DJ39="","",COUNTIFS($D$25:$D$267,Parameters!$K$2,$E$25:$E$267,Parameters!$M$7,Calendrier!$C$25:$C$267,DJ39)+ COUNTIFS($D$25:$D$267,Parameters!$K$3,$E$25:$E$267,Parameters!$M$7,Calendrier!$C$25:$C$267,DJ39))</f>
        <v>0</v>
      </c>
      <c r="SO39" s="50">
        <f>IF(DK39="","",COUNTIFS($D$25:$D$267,Parameters!$K$2,$E$25:$E$267,Parameters!$M$7,Calendrier!$C$25:$C$267,DK39)+ COUNTIFS($D$25:$D$267,Parameters!$K$4,$E$25:$E$267,Parameters!$M$7,Calendrier!$C$25:$C$267,DK39))</f>
        <v>0</v>
      </c>
      <c r="SP39" s="50">
        <f>IF(DL39="","",COUNTIFS($D$25:$D$267,Parameters!$K$2,$E$25:$E$267,Parameters!$M$7,Calendrier!$C$25:$C$267,DL39)+ COUNTIFS($D$25:$D$267,Parameters!$K$3,$E$25:$E$267,Parameters!$M$7,Calendrier!$C$25:$C$267,DL39))</f>
        <v>0</v>
      </c>
      <c r="SQ39" s="50">
        <f>IF(DM39="","",COUNTIFS($D$25:$D$267,Parameters!$K$2,$E$25:$E$267,Parameters!$M$7,Calendrier!$C$25:$C$267,DM39)+ COUNTIFS($D$25:$D$267,Parameters!$K$4,$E$25:$E$267,Parameters!$M$7,Calendrier!$C$25:$C$267,DM39))</f>
        <v>0</v>
      </c>
      <c r="SR39" s="50">
        <f>IF(DN39="","",COUNTIFS($D$25:$D$267,Parameters!$K$2,$E$25:$E$267,Parameters!$M$7,Calendrier!$C$25:$C$267,DN39)+ COUNTIFS($D$25:$D$267,Parameters!$K$3,$E$25:$E$267,Parameters!$M$7,Calendrier!$C$25:$C$267,DN39))</f>
        <v>0</v>
      </c>
      <c r="SS39" s="50">
        <f>IF(DO39="","",COUNTIFS($D$25:$D$267,Parameters!$K$2,$E$25:$E$267,Parameters!$M$7,Calendrier!$C$25:$C$267,DO39)+ COUNTIFS($D$25:$D$267,Parameters!$K$4,$E$25:$E$267,Parameters!$M$7,Calendrier!$C$25:$C$267,DO39))</f>
        <v>0</v>
      </c>
      <c r="ST39" s="50">
        <f>IF(DP39="","",COUNTIFS($D$25:$D$267,Parameters!$K$2,$E$25:$E$267,Parameters!$M$7,Calendrier!$C$25:$C$267,DP39)+ COUNTIFS($D$25:$D$267,Parameters!$K$3,$E$25:$E$267,Parameters!$M$7,Calendrier!$C$25:$C$267,DP39))</f>
        <v>0</v>
      </c>
      <c r="SU39" s="50">
        <f>IF(DQ39="","",COUNTIFS($D$25:$D$267,Parameters!$K$2,$E$25:$E$267,Parameters!$M$7,Calendrier!$C$25:$C$267,DQ39)+ COUNTIFS($D$25:$D$267,Parameters!$K$4,$E$25:$E$267,Parameters!$M$7,Calendrier!$C$25:$C$267,DQ39))</f>
        <v>0</v>
      </c>
      <c r="SV39" s="50">
        <f>IF(DR39="","",COUNTIFS($D$25:$D$267,Parameters!$K$2,$E$25:$E$267,Parameters!$M$7,Calendrier!$C$25:$C$267,DR39)+ COUNTIFS($D$25:$D$267,Parameters!$K$3,$E$25:$E$267,Parameters!$M$7,Calendrier!$C$25:$C$267,DR39))</f>
        <v>0</v>
      </c>
      <c r="SW39" s="50">
        <f>IF(DS39="","",COUNTIFS($D$25:$D$267,Parameters!$K$2,$E$25:$E$267,Parameters!$M$7,Calendrier!$C$25:$C$267,DS39)+ COUNTIFS($D$25:$D$267,Parameters!$K$4,$E$25:$E$267,Parameters!$M$7,Calendrier!$C$25:$C$267,DS39))</f>
        <v>0</v>
      </c>
      <c r="SX39" s="50">
        <f>IF(DT39="","",COUNTIFS($D$25:$D$267,Parameters!$K$2,$E$25:$E$267,Parameters!$M$7,Calendrier!$C$25:$C$267,DT39)+ COUNTIFS($D$25:$D$267,Parameters!$K$3,$E$25:$E$267,Parameters!$M$7,Calendrier!$C$25:$C$267,DT39))</f>
        <v>0</v>
      </c>
      <c r="SY39" s="57">
        <f>IF(DU39="","",COUNTIFS($D$25:$D$267,Parameters!$K$2,$E$25:$E$267,Parameters!$M$7,Calendrier!$C$25:$C$267,DU39)+ COUNTIFS($D$25:$D$267,Parameters!$K$4,$E$25:$E$267,Parameters!$M$7,Calendrier!$C$25:$C$267,DU39))</f>
        <v>0</v>
      </c>
      <c r="TB39" s="49">
        <f>IF(DX39="","",COUNTIFS($D$25:$D$267,Parameters!$K$2,$E$25:$E$267,Parameters!$M$7,Calendrier!$C$25:$C$267,DX39)+ COUNTIFS($D$25:$D$267,Parameters!$K$3,$E$25:$E$267,Parameters!$M$7,Calendrier!$C$25:$C$267,DX39))</f>
        <v>0</v>
      </c>
      <c r="TC39" s="50">
        <f>IF(DY39="","",COUNTIFS($D$25:$D$267,Parameters!$K$2,$E$25:$E$267,Parameters!$M$7,Calendrier!$C$25:$C$267,DY39)+ COUNTIFS($D$25:$D$267,Parameters!$K$4,$E$25:$E$267,Parameters!$M$7,Calendrier!$C$25:$C$267,DY39))</f>
        <v>0</v>
      </c>
      <c r="TD39" s="50">
        <f>IF(DZ39="","",COUNTIFS($D$25:$D$267,Parameters!$K$2,$E$25:$E$267,Parameters!$M$7,Calendrier!$C$25:$C$267,DZ39)+ COUNTIFS($D$25:$D$267,Parameters!$K$3,$E$25:$E$267,Parameters!$M$7,Calendrier!$C$25:$C$267,DZ39))</f>
        <v>0</v>
      </c>
      <c r="TE39" s="50">
        <f>IF(EA39="","",COUNTIFS($D$25:$D$267,Parameters!$K$2,$E$25:$E$267,Parameters!$M$7,Calendrier!$C$25:$C$267,EA39)+ COUNTIFS($D$25:$D$267,Parameters!$K$4,$E$25:$E$267,Parameters!$M$7,Calendrier!$C$25:$C$267,EA39))</f>
        <v>0</v>
      </c>
      <c r="TF39" s="50">
        <f>IF(EB39="","",COUNTIFS($D$25:$D$267,Parameters!$K$2,$E$25:$E$267,Parameters!$M$7,Calendrier!$C$25:$C$267,EB39)+ COUNTIFS($D$25:$D$267,Parameters!$K$3,$E$25:$E$267,Parameters!$M$7,Calendrier!$C$25:$C$267,EB39))</f>
        <v>0</v>
      </c>
      <c r="TG39" s="50">
        <f>IF(EC39="","",COUNTIFS($D$25:$D$267,Parameters!$K$2,$E$25:$E$267,Parameters!$M$7,Calendrier!$C$25:$C$267,EC39)+ COUNTIFS($D$25:$D$267,Parameters!$K$4,$E$25:$E$267,Parameters!$M$7,Calendrier!$C$25:$C$267,EC39))</f>
        <v>0</v>
      </c>
      <c r="TH39" s="50">
        <f>IF(ED39="","",COUNTIFS($D$25:$D$267,Parameters!$K$2,$E$25:$E$267,Parameters!$M$7,Calendrier!$C$25:$C$267,ED39)+ COUNTIFS($D$25:$D$267,Parameters!$K$3,$E$25:$E$267,Parameters!$M$7,Calendrier!$C$25:$C$267,ED39))</f>
        <v>0</v>
      </c>
      <c r="TI39" s="50">
        <f>IF(EE39="","",COUNTIFS($D$25:$D$267,Parameters!$K$2,$E$25:$E$267,Parameters!$M$7,Calendrier!$C$25:$C$267,EE39)+ COUNTIFS($D$25:$D$267,Parameters!$K$4,$E$25:$E$267,Parameters!$M$7,Calendrier!$C$25:$C$267,EE39))</f>
        <v>0</v>
      </c>
      <c r="TJ39" s="50">
        <f>IF(EF39="","",COUNTIFS($D$25:$D$267,Parameters!$K$2,$E$25:$E$267,Parameters!$M$7,Calendrier!$C$25:$C$267,EF39)+ COUNTIFS($D$25:$D$267,Parameters!$K$3,$E$25:$E$267,Parameters!$M$7,Calendrier!$C$25:$C$267,EF39))</f>
        <v>0</v>
      </c>
      <c r="TK39" s="50">
        <f>IF(EG39="","",COUNTIFS($D$25:$D$267,Parameters!$K$2,$E$25:$E$267,Parameters!$M$7,Calendrier!$C$25:$C$267,EG39)+ COUNTIFS($D$25:$D$267,Parameters!$K$4,$E$25:$E$267,Parameters!$M$7,Calendrier!$C$25:$C$267,EG39))</f>
        <v>0</v>
      </c>
      <c r="TL39" s="50">
        <f>IF(EH39="","",COUNTIFS($D$25:$D$267,Parameters!$K$2,$E$25:$E$267,Parameters!$M$7,Calendrier!$C$25:$C$267,EH39)+ COUNTIFS($D$25:$D$267,Parameters!$K$3,$E$25:$E$267,Parameters!$M$7,Calendrier!$C$25:$C$267,EH39))</f>
        <v>0</v>
      </c>
      <c r="TM39" s="50">
        <f>IF(EI39="","",COUNTIFS($D$25:$D$267,Parameters!$K$2,$E$25:$E$267,Parameters!$M$7,Calendrier!$C$25:$C$267,EI39)+ COUNTIFS($D$25:$D$267,Parameters!$K$4,$E$25:$E$267,Parameters!$M$7,Calendrier!$C$25:$C$267,EI39))</f>
        <v>0</v>
      </c>
      <c r="TN39" s="50">
        <f>IF(EJ39="","",COUNTIFS($D$25:$D$267,Parameters!$K$2,$E$25:$E$267,Parameters!$M$7,Calendrier!$C$25:$C$267,EJ39)+ COUNTIFS($D$25:$D$267,Parameters!$K$3,$E$25:$E$267,Parameters!$M$7,Calendrier!$C$25:$C$267,EJ39))</f>
        <v>0</v>
      </c>
      <c r="TO39" s="57">
        <f>IF(EK39="","",COUNTIFS($D$25:$D$267,Parameters!$K$2,$E$25:$E$267,Parameters!$M$7,Calendrier!$C$25:$C$267,EK39)+ COUNTIFS($D$25:$D$267,Parameters!$K$4,$E$25:$E$267,Parameters!$M$7,Calendrier!$C$25:$C$267,EK39))</f>
        <v>0</v>
      </c>
      <c r="TR39" s="49">
        <f>IF(EN39="","",COUNTIFS($D$25:$D$267,Parameters!$K$2,$E$25:$E$267,Parameters!$M$7,Calendrier!$C$25:$C$267,EN39)+ COUNTIFS($D$25:$D$267,Parameters!$K$3,$E$25:$E$267,Parameters!$M$7,Calendrier!$C$25:$C$267,EN39))</f>
        <v>0</v>
      </c>
      <c r="TS39" s="50">
        <f>IF(EO39="","",COUNTIFS($D$25:$D$267,Parameters!$K$2,$E$25:$E$267,Parameters!$M$7,Calendrier!$C$25:$C$267,EO39)+ COUNTIFS($D$25:$D$267,Parameters!$K$4,$E$25:$E$267,Parameters!$M$7,Calendrier!$C$25:$C$267,EO39))</f>
        <v>0</v>
      </c>
      <c r="TT39" s="50">
        <f>IF(EP39="","",COUNTIFS($D$25:$D$267,Parameters!$K$2,$E$25:$E$267,Parameters!$M$7,Calendrier!$C$25:$C$267,EP39)+ COUNTIFS($D$25:$D$267,Parameters!$K$3,$E$25:$E$267,Parameters!$M$7,Calendrier!$C$25:$C$267,EP39))</f>
        <v>0</v>
      </c>
      <c r="TU39" s="50">
        <f>IF(EQ39="","",COUNTIFS($D$25:$D$267,Parameters!$K$2,$E$25:$E$267,Parameters!$M$7,Calendrier!$C$25:$C$267,EQ39)+ COUNTIFS($D$25:$D$267,Parameters!$K$4,$E$25:$E$267,Parameters!$M$7,Calendrier!$C$25:$C$267,EQ39))</f>
        <v>0</v>
      </c>
      <c r="TV39" s="50">
        <f>IF(ER39="","",COUNTIFS($D$25:$D$267,Parameters!$K$2,$E$25:$E$267,Parameters!$M$7,Calendrier!$C$25:$C$267,ER39)+ COUNTIFS($D$25:$D$267,Parameters!$K$3,$E$25:$E$267,Parameters!$M$7,Calendrier!$C$25:$C$267,ER39))</f>
        <v>0</v>
      </c>
      <c r="TW39" s="50">
        <f>IF(ES39="","",COUNTIFS($D$25:$D$267,Parameters!$K$2,$E$25:$E$267,Parameters!$M$7,Calendrier!$C$25:$C$267,ES39)+ COUNTIFS($D$25:$D$267,Parameters!$K$4,$E$25:$E$267,Parameters!$M$7,Calendrier!$C$25:$C$267,ES39))</f>
        <v>0</v>
      </c>
      <c r="TX39" s="50">
        <f>IF(ET39="","",COUNTIFS($D$25:$D$267,Parameters!$K$2,$E$25:$E$267,Parameters!$M$7,Calendrier!$C$25:$C$267,ET39)+ COUNTIFS($D$25:$D$267,Parameters!$K$3,$E$25:$E$267,Parameters!$M$7,Calendrier!$C$25:$C$267,ET39))</f>
        <v>0</v>
      </c>
      <c r="TY39" s="50">
        <f>IF(EU39="","",COUNTIFS($D$25:$D$267,Parameters!$K$2,$E$25:$E$267,Parameters!$M$7,Calendrier!$C$25:$C$267,EU39)+ COUNTIFS($D$25:$D$267,Parameters!$K$4,$E$25:$E$267,Parameters!$M$7,Calendrier!$C$25:$C$267,EU39))</f>
        <v>0</v>
      </c>
      <c r="TZ39" s="50">
        <f>IF(EV39="","",COUNTIFS($D$25:$D$267,Parameters!$K$2,$E$25:$E$267,Parameters!$M$7,Calendrier!$C$25:$C$267,EV39)+ COUNTIFS($D$25:$D$267,Parameters!$K$3,$E$25:$E$267,Parameters!$M$7,Calendrier!$C$25:$C$267,EV39))</f>
        <v>0</v>
      </c>
      <c r="UA39" s="50">
        <f>IF(EW39="","",COUNTIFS($D$25:$D$267,Parameters!$K$2,$E$25:$E$267,Parameters!$M$7,Calendrier!$C$25:$C$267,EW39)+ COUNTIFS($D$25:$D$267,Parameters!$K$4,$E$25:$E$267,Parameters!$M$7,Calendrier!$C$25:$C$267,EW39))</f>
        <v>0</v>
      </c>
      <c r="UB39" s="50">
        <f>IF(EX39="","",COUNTIFS($D$25:$D$267,Parameters!$K$2,$E$25:$E$267,Parameters!$M$7,Calendrier!$C$25:$C$267,EX39)+ COUNTIFS($D$25:$D$267,Parameters!$K$3,$E$25:$E$267,Parameters!$M$7,Calendrier!$C$25:$C$267,EX39))</f>
        <v>0</v>
      </c>
      <c r="UC39" s="50">
        <f>IF(EY39="","",COUNTIFS($D$25:$D$267,Parameters!$K$2,$E$25:$E$267,Parameters!$M$7,Calendrier!$C$25:$C$267,EY39)+ COUNTIFS($D$25:$D$267,Parameters!$K$4,$E$25:$E$267,Parameters!$M$7,Calendrier!$C$25:$C$267,EY39))</f>
        <v>0</v>
      </c>
      <c r="UD39" s="50">
        <f>IF(EZ39="","",COUNTIFS($D$25:$D$267,Parameters!$K$2,$E$25:$E$267,Parameters!$M$7,Calendrier!$C$25:$C$267,EZ39)+ COUNTIFS($D$25:$D$267,Parameters!$K$3,$E$25:$E$267,Parameters!$M$7,Calendrier!$C$25:$C$267,EZ39))</f>
        <v>0</v>
      </c>
      <c r="UE39" s="57">
        <f>IF(FA39="","",COUNTIFS($D$25:$D$267,Parameters!$K$2,$E$25:$E$267,Parameters!$M$7,Calendrier!$C$25:$C$267,FA39)+ COUNTIFS($D$25:$D$267,Parameters!$K$4,$E$25:$E$267,Parameters!$M$7,Calendrier!$C$25:$C$267,FA39))</f>
        <v>0</v>
      </c>
    </row>
    <row r="40" spans="2:551" x14ac:dyDescent="0.3">
      <c r="B40" s="73">
        <f t="shared" si="317"/>
        <v>2025</v>
      </c>
      <c r="C40" s="27">
        <v>45846</v>
      </c>
      <c r="D40" s="30" t="s">
        <v>30</v>
      </c>
      <c r="E40" s="30" t="s">
        <v>36</v>
      </c>
      <c r="F40" s="61"/>
      <c r="G40" s="77"/>
      <c r="K40" s="31"/>
      <c r="L40" s="22">
        <f t="shared" si="527"/>
        <v>19</v>
      </c>
      <c r="M40" s="23"/>
      <c r="N40" s="22">
        <f t="shared" si="528"/>
        <v>20</v>
      </c>
      <c r="O40" s="23"/>
      <c r="P40" s="22">
        <f t="shared" si="529"/>
        <v>21</v>
      </c>
      <c r="Q40" s="23"/>
      <c r="R40" s="22">
        <f t="shared" si="530"/>
        <v>22</v>
      </c>
      <c r="S40" s="23"/>
      <c r="T40" s="22">
        <f t="shared" si="531"/>
        <v>23</v>
      </c>
      <c r="U40" s="23"/>
      <c r="V40" s="22">
        <f t="shared" si="532"/>
        <v>24</v>
      </c>
      <c r="W40" s="23"/>
      <c r="X40" s="22">
        <f t="shared" si="533"/>
        <v>25</v>
      </c>
      <c r="Y40" s="23"/>
      <c r="Z40" s="31"/>
      <c r="AA40" s="31"/>
      <c r="AB40" s="22">
        <f t="shared" si="504"/>
        <v>16</v>
      </c>
      <c r="AC40" s="23"/>
      <c r="AD40" s="22">
        <f t="shared" si="534"/>
        <v>17</v>
      </c>
      <c r="AE40" s="23"/>
      <c r="AF40" s="22">
        <f t="shared" si="535"/>
        <v>18</v>
      </c>
      <c r="AG40" s="23"/>
      <c r="AH40" s="22">
        <f t="shared" si="536"/>
        <v>19</v>
      </c>
      <c r="AI40" s="23"/>
      <c r="AJ40" s="22">
        <f t="shared" si="537"/>
        <v>20</v>
      </c>
      <c r="AK40" s="23"/>
      <c r="AL40" s="22">
        <f t="shared" si="538"/>
        <v>21</v>
      </c>
      <c r="AM40" s="23"/>
      <c r="AN40" s="22">
        <f t="shared" si="539"/>
        <v>22</v>
      </c>
      <c r="AO40" s="23"/>
      <c r="AP40" s="31"/>
      <c r="AQ40" s="31"/>
      <c r="AR40" s="22">
        <f t="shared" si="540"/>
        <v>21</v>
      </c>
      <c r="AS40" s="23"/>
      <c r="AT40" s="22">
        <f t="shared" si="541"/>
        <v>22</v>
      </c>
      <c r="AU40" s="23"/>
      <c r="AV40" s="22">
        <f t="shared" si="542"/>
        <v>23</v>
      </c>
      <c r="AW40" s="23"/>
      <c r="AX40" s="22">
        <f t="shared" si="543"/>
        <v>24</v>
      </c>
      <c r="AY40" s="23"/>
      <c r="AZ40" s="22">
        <f t="shared" si="544"/>
        <v>25</v>
      </c>
      <c r="BA40" s="23"/>
      <c r="BB40" s="22">
        <f t="shared" si="545"/>
        <v>26</v>
      </c>
      <c r="BC40" s="23"/>
      <c r="BD40" s="22">
        <f t="shared" si="546"/>
        <v>27</v>
      </c>
      <c r="BE40" s="23"/>
      <c r="BF40" s="31"/>
      <c r="BG40" s="31"/>
      <c r="BJ40" s="42"/>
      <c r="BK40" s="6">
        <v>10</v>
      </c>
      <c r="BL40" s="6">
        <v>10</v>
      </c>
      <c r="BM40" s="6">
        <v>10</v>
      </c>
      <c r="BN40" s="6">
        <v>10</v>
      </c>
      <c r="BO40" s="6">
        <v>10</v>
      </c>
      <c r="BP40" s="6">
        <v>10</v>
      </c>
      <c r="BQ40" s="6">
        <v>10</v>
      </c>
      <c r="BR40" s="6">
        <v>10</v>
      </c>
      <c r="BS40" s="6">
        <v>10</v>
      </c>
      <c r="BT40" s="6">
        <v>10</v>
      </c>
      <c r="BU40" s="6">
        <v>10</v>
      </c>
      <c r="BV40" s="6">
        <v>10</v>
      </c>
      <c r="BW40" s="6">
        <v>10</v>
      </c>
      <c r="CA40" s="6">
        <v>11</v>
      </c>
      <c r="CB40" s="6">
        <v>11</v>
      </c>
      <c r="CC40" s="6">
        <v>11</v>
      </c>
      <c r="CD40" s="6">
        <v>11</v>
      </c>
      <c r="CE40" s="6">
        <v>11</v>
      </c>
      <c r="CF40" s="6">
        <v>11</v>
      </c>
      <c r="CG40" s="6">
        <v>11</v>
      </c>
      <c r="CH40" s="6">
        <v>11</v>
      </c>
      <c r="CI40" s="6">
        <v>11</v>
      </c>
      <c r="CJ40" s="6">
        <v>11</v>
      </c>
      <c r="CK40" s="6">
        <v>11</v>
      </c>
      <c r="CL40" s="6">
        <v>11</v>
      </c>
      <c r="CM40" s="6">
        <v>11</v>
      </c>
      <c r="CQ40" s="6">
        <v>12</v>
      </c>
      <c r="CR40" s="6">
        <v>12</v>
      </c>
      <c r="CS40" s="6">
        <v>12</v>
      </c>
      <c r="CT40" s="6">
        <v>12</v>
      </c>
      <c r="CU40" s="6">
        <v>12</v>
      </c>
      <c r="CV40" s="6">
        <v>12</v>
      </c>
      <c r="CW40" s="6">
        <v>12</v>
      </c>
      <c r="CX40" s="6">
        <v>12</v>
      </c>
      <c r="CY40" s="6">
        <v>12</v>
      </c>
      <c r="CZ40" s="6">
        <v>12</v>
      </c>
      <c r="DA40" s="6">
        <v>12</v>
      </c>
      <c r="DB40" s="6">
        <v>12</v>
      </c>
      <c r="DC40" s="6">
        <v>12</v>
      </c>
      <c r="DG40" s="42"/>
      <c r="DH40" s="43">
        <f t="shared" si="505"/>
        <v>46314</v>
      </c>
      <c r="DI40" s="44">
        <f t="shared" ref="DI40" si="566">DH40</f>
        <v>46314</v>
      </c>
      <c r="DJ40" s="44">
        <f t="shared" si="468"/>
        <v>46315</v>
      </c>
      <c r="DK40" s="44">
        <f t="shared" ref="DK40" si="567">DJ40</f>
        <v>46315</v>
      </c>
      <c r="DL40" s="44">
        <f t="shared" si="470"/>
        <v>46316</v>
      </c>
      <c r="DM40" s="44">
        <f t="shared" ref="DM40" si="568">DL40</f>
        <v>46316</v>
      </c>
      <c r="DN40" s="44">
        <f t="shared" si="472"/>
        <v>46317</v>
      </c>
      <c r="DO40" s="44">
        <f t="shared" ref="DO40" si="569">DN40</f>
        <v>46317</v>
      </c>
      <c r="DP40" s="44">
        <f t="shared" si="474"/>
        <v>46318</v>
      </c>
      <c r="DQ40" s="44">
        <f t="shared" ref="DQ40" si="570">DP40</f>
        <v>46318</v>
      </c>
      <c r="DR40" s="44">
        <f t="shared" si="476"/>
        <v>46319</v>
      </c>
      <c r="DS40" s="44">
        <f t="shared" ref="DS40" si="571">DR40</f>
        <v>46319</v>
      </c>
      <c r="DT40" s="44">
        <f t="shared" si="478"/>
        <v>46320</v>
      </c>
      <c r="DU40" s="45">
        <f t="shared" ref="DU40" si="572">DT40</f>
        <v>46320</v>
      </c>
      <c r="DX40" s="43">
        <f t="shared" si="513"/>
        <v>46342</v>
      </c>
      <c r="DY40" s="44">
        <f t="shared" ref="DY40" si="573">DX40</f>
        <v>46342</v>
      </c>
      <c r="DZ40" s="44">
        <f t="shared" si="480"/>
        <v>46343</v>
      </c>
      <c r="EA40" s="44">
        <f t="shared" ref="EA40" si="574">DZ40</f>
        <v>46343</v>
      </c>
      <c r="EB40" s="44">
        <f t="shared" si="482"/>
        <v>46344</v>
      </c>
      <c r="EC40" s="44">
        <f t="shared" ref="EC40" si="575">EB40</f>
        <v>46344</v>
      </c>
      <c r="ED40" s="44">
        <f t="shared" si="484"/>
        <v>46345</v>
      </c>
      <c r="EE40" s="44">
        <f t="shared" ref="EE40" si="576">ED40</f>
        <v>46345</v>
      </c>
      <c r="EF40" s="44">
        <f t="shared" si="486"/>
        <v>46346</v>
      </c>
      <c r="EG40" s="44">
        <f t="shared" ref="EG40" si="577">EF40</f>
        <v>46346</v>
      </c>
      <c r="EH40" s="44">
        <f t="shared" si="488"/>
        <v>46347</v>
      </c>
      <c r="EI40" s="44">
        <f t="shared" ref="EI40" si="578">EH40</f>
        <v>46347</v>
      </c>
      <c r="EJ40" s="44">
        <f t="shared" si="490"/>
        <v>46348</v>
      </c>
      <c r="EK40" s="45">
        <f t="shared" si="491"/>
        <v>46348</v>
      </c>
      <c r="EN40" s="43">
        <f t="shared" si="520"/>
        <v>46377</v>
      </c>
      <c r="EO40" s="44">
        <f t="shared" ref="EO40" si="579">EN40</f>
        <v>46377</v>
      </c>
      <c r="EP40" s="44">
        <f t="shared" si="492"/>
        <v>46378</v>
      </c>
      <c r="EQ40" s="44">
        <f t="shared" ref="EQ40" si="580">EP40</f>
        <v>46378</v>
      </c>
      <c r="ER40" s="44">
        <f t="shared" si="494"/>
        <v>46379</v>
      </c>
      <c r="ES40" s="44">
        <f t="shared" ref="ES40" si="581">ER40</f>
        <v>46379</v>
      </c>
      <c r="ET40" s="44">
        <f t="shared" si="496"/>
        <v>46380</v>
      </c>
      <c r="EU40" s="44">
        <f t="shared" ref="EU40" si="582">ET40</f>
        <v>46380</v>
      </c>
      <c r="EV40" s="44">
        <f t="shared" si="498"/>
        <v>46381</v>
      </c>
      <c r="EW40" s="44">
        <f t="shared" ref="EW40" si="583">EV40</f>
        <v>46381</v>
      </c>
      <c r="EX40" s="44">
        <f t="shared" si="500"/>
        <v>46382</v>
      </c>
      <c r="EY40" s="44">
        <f t="shared" ref="EY40" si="584">EX40</f>
        <v>46382</v>
      </c>
      <c r="EZ40" s="44">
        <f t="shared" si="502"/>
        <v>46383</v>
      </c>
      <c r="FA40" s="45">
        <f t="shared" si="503"/>
        <v>46383</v>
      </c>
      <c r="FE40" s="49">
        <f>COUNTIFS(Parameters!$S:$S,$D$4,Parameters!$Q:$Q,DH40)</f>
        <v>0</v>
      </c>
      <c r="FF40" s="50">
        <f>COUNTIFS(Parameters!$S:$S,$D$4,Parameters!$Q:$Q,DI40)</f>
        <v>0</v>
      </c>
      <c r="FG40" s="50">
        <f>COUNTIFS(Parameters!$S:$S,$D$4,Parameters!$Q:$Q,DJ40)</f>
        <v>0</v>
      </c>
      <c r="FH40" s="50">
        <f>COUNTIFS(Parameters!$S:$S,$D$4,Parameters!$Q:$Q,DK40)</f>
        <v>0</v>
      </c>
      <c r="FI40" s="50">
        <f>COUNTIFS(Parameters!$S:$S,$D$4,Parameters!$Q:$Q,DL40)</f>
        <v>0</v>
      </c>
      <c r="FJ40" s="50">
        <f>COUNTIFS(Parameters!$S:$S,$D$4,Parameters!$Q:$Q,DM40)</f>
        <v>0</v>
      </c>
      <c r="FK40" s="50">
        <f>COUNTIFS(Parameters!$S:$S,$D$4,Parameters!$Q:$Q,DN40)</f>
        <v>0</v>
      </c>
      <c r="FL40" s="50">
        <f>COUNTIFS(Parameters!$S:$S,$D$4,Parameters!$Q:$Q,DO40)</f>
        <v>0</v>
      </c>
      <c r="FM40" s="50">
        <f>COUNTIFS(Parameters!$S:$S,$D$4,Parameters!$Q:$Q,DP40)</f>
        <v>0</v>
      </c>
      <c r="FN40" s="50">
        <f>COUNTIFS(Parameters!$S:$S,$D$4,Parameters!$Q:$Q,DQ40)</f>
        <v>0</v>
      </c>
      <c r="FO40" s="50">
        <f>COUNTIFS(Parameters!$S:$S,$D$4,Parameters!$Q:$Q,DR40)</f>
        <v>0</v>
      </c>
      <c r="FP40" s="50">
        <f>COUNTIFS(Parameters!$S:$S,$D$4,Parameters!$Q:$Q,DS40)</f>
        <v>0</v>
      </c>
      <c r="FQ40" s="50">
        <f>COUNTIFS(Parameters!$S:$S,$D$4,Parameters!$Q:$Q,DT40)</f>
        <v>0</v>
      </c>
      <c r="FR40" s="57">
        <f>COUNTIFS(Parameters!$S:$S,$D$4,Parameters!$Q:$Q,DU40)</f>
        <v>0</v>
      </c>
      <c r="FU40" s="49">
        <f>COUNTIFS(Parameters!$S:$S,$D$4,Parameters!$Q:$Q,DX40)</f>
        <v>0</v>
      </c>
      <c r="FV40" s="50">
        <f>COUNTIFS(Parameters!$S:$S,$D$4,Parameters!$Q:$Q,DY40)</f>
        <v>0</v>
      </c>
      <c r="FW40" s="50">
        <f>COUNTIFS(Parameters!$S:$S,$D$4,Parameters!$Q:$Q,DZ40)</f>
        <v>0</v>
      </c>
      <c r="FX40" s="50">
        <f>COUNTIFS(Parameters!$S:$S,$D$4,Parameters!$Q:$Q,EA40)</f>
        <v>0</v>
      </c>
      <c r="FY40" s="50">
        <f>COUNTIFS(Parameters!$S:$S,$D$4,Parameters!$Q:$Q,EB40)</f>
        <v>0</v>
      </c>
      <c r="FZ40" s="50">
        <f>COUNTIFS(Parameters!$S:$S,$D$4,Parameters!$Q:$Q,EC40)</f>
        <v>0</v>
      </c>
      <c r="GA40" s="50">
        <f>COUNTIFS(Parameters!$S:$S,$D$4,Parameters!$Q:$Q,ED40)</f>
        <v>0</v>
      </c>
      <c r="GB40" s="50">
        <f>COUNTIFS(Parameters!$S:$S,$D$4,Parameters!$Q:$Q,EE40)</f>
        <v>0</v>
      </c>
      <c r="GC40" s="50">
        <f>COUNTIFS(Parameters!$S:$S,$D$4,Parameters!$Q:$Q,EF40)</f>
        <v>0</v>
      </c>
      <c r="GD40" s="50">
        <f>COUNTIFS(Parameters!$S:$S,$D$4,Parameters!$Q:$Q,EG40)</f>
        <v>0</v>
      </c>
      <c r="GE40" s="50">
        <f>COUNTIFS(Parameters!$S:$S,$D$4,Parameters!$Q:$Q,EH40)</f>
        <v>0</v>
      </c>
      <c r="GF40" s="50">
        <f>COUNTIFS(Parameters!$S:$S,$D$4,Parameters!$Q:$Q,EI40)</f>
        <v>0</v>
      </c>
      <c r="GG40" s="50">
        <f>COUNTIFS(Parameters!$S:$S,$D$4,Parameters!$Q:$Q,EJ40)</f>
        <v>0</v>
      </c>
      <c r="GH40" s="57">
        <f>COUNTIFS(Parameters!$S:$S,$D$4,Parameters!$Q:$Q,EK40)</f>
        <v>0</v>
      </c>
      <c r="GK40" s="49">
        <f>COUNTIFS(Parameters!$S:$S,$D$4,Parameters!$Q:$Q,EN40)</f>
        <v>0</v>
      </c>
      <c r="GL40" s="50">
        <f>COUNTIFS(Parameters!$S:$S,$D$4,Parameters!$Q:$Q,EO40)</f>
        <v>0</v>
      </c>
      <c r="GM40" s="50">
        <f>COUNTIFS(Parameters!$S:$S,$D$4,Parameters!$Q:$Q,EP40)</f>
        <v>0</v>
      </c>
      <c r="GN40" s="50">
        <f>COUNTIFS(Parameters!$S:$S,$D$4,Parameters!$Q:$Q,EQ40)</f>
        <v>0</v>
      </c>
      <c r="GO40" s="50">
        <f>COUNTIFS(Parameters!$S:$S,$D$4,Parameters!$Q:$Q,ER40)</f>
        <v>0</v>
      </c>
      <c r="GP40" s="50">
        <f>COUNTIFS(Parameters!$S:$S,$D$4,Parameters!$Q:$Q,ES40)</f>
        <v>0</v>
      </c>
      <c r="GQ40" s="50">
        <f>COUNTIFS(Parameters!$S:$S,$D$4,Parameters!$Q:$Q,ET40)</f>
        <v>0</v>
      </c>
      <c r="GR40" s="50">
        <f>COUNTIFS(Parameters!$S:$S,$D$4,Parameters!$Q:$Q,EU40)</f>
        <v>0</v>
      </c>
      <c r="GS40" s="50">
        <f>COUNTIFS(Parameters!$S:$S,$D$4,Parameters!$Q:$Q,EV40)</f>
        <v>1</v>
      </c>
      <c r="GT40" s="50">
        <f>COUNTIFS(Parameters!$S:$S,$D$4,Parameters!$Q:$Q,EW40)</f>
        <v>1</v>
      </c>
      <c r="GU40" s="50">
        <f>COUNTIFS(Parameters!$S:$S,$D$4,Parameters!$Q:$Q,EX40)</f>
        <v>0</v>
      </c>
      <c r="GV40" s="50">
        <f>COUNTIFS(Parameters!$S:$S,$D$4,Parameters!$Q:$Q,EY40)</f>
        <v>0</v>
      </c>
      <c r="GW40" s="50">
        <f>COUNTIFS(Parameters!$S:$S,$D$4,Parameters!$Q:$Q,EZ40)</f>
        <v>0</v>
      </c>
      <c r="GX40" s="57">
        <f>COUNTIFS(Parameters!$S:$S,$D$4,Parameters!$Q:$Q,FA40)</f>
        <v>0</v>
      </c>
      <c r="HB40" s="49">
        <f>IF(DH40="","",COUNTIFS($D$25:$D$267,Parameters!$K$2,$E$25:$E$267,Parameters!$M$2,Calendrier!$C$25:$C$267,DH40)+ COUNTIFS($D$25:$D$267,Parameters!$K$3,$E$25:$E$267,Parameters!$M$2,Calendrier!$C$25:$C$267,DH40))</f>
        <v>1</v>
      </c>
      <c r="HC40" s="50">
        <f>IF(DI40="","",COUNTIFS($D$25:$D$267,Parameters!$K$2,$E$25:$E$267,Parameters!$M$2,Calendrier!$C$25:$C$267,DI40)+ COUNTIFS($D$25:$D$267,Parameters!$K$4,$E$25:$E$267,Parameters!$M$2,Calendrier!$C$25:$C$267,DI40))</f>
        <v>1</v>
      </c>
      <c r="HD40" s="50">
        <f>IF(DJ40="","",COUNTIFS($D$25:$D$267,Parameters!$K$2,$E$25:$E$267,Parameters!$M$2,Calendrier!$C$25:$C$267,DJ40)+ COUNTIFS($D$25:$D$267,Parameters!$K$3,$E$25:$E$267,Parameters!$M$2,Calendrier!$C$25:$C$267,DJ40))</f>
        <v>1</v>
      </c>
      <c r="HE40" s="50">
        <f>IF(DK40="","",COUNTIFS($D$25:$D$267,Parameters!$K$2,$E$25:$E$267,Parameters!$M$2,Calendrier!$C$25:$C$267,DK40)+ COUNTIFS($D$25:$D$267,Parameters!$K$4,$E$25:$E$267,Parameters!$M$2,Calendrier!$C$25:$C$267,DK40))</f>
        <v>1</v>
      </c>
      <c r="HF40" s="50">
        <f>IF(DL40="","",COUNTIFS($D$25:$D$267,Parameters!$K$2,$E$25:$E$267,Parameters!$M$2,Calendrier!$C$25:$C$267,DL40)+ COUNTIFS($D$25:$D$267,Parameters!$K$3,$E$25:$E$267,Parameters!$M$2,Calendrier!$C$25:$C$267,DL40))</f>
        <v>1</v>
      </c>
      <c r="HG40" s="50">
        <f>IF(DM40="","",COUNTIFS($D$25:$D$267,Parameters!$K$2,$E$25:$E$267,Parameters!$M$2,Calendrier!$C$25:$C$267,DM40)+ COUNTIFS($D$25:$D$267,Parameters!$K$4,$E$25:$E$267,Parameters!$M$2,Calendrier!$C$25:$C$267,DM40))</f>
        <v>1</v>
      </c>
      <c r="HH40" s="50">
        <f>IF(DN40="","",COUNTIFS($D$25:$D$267,Parameters!$K$2,$E$25:$E$267,Parameters!$M$2,Calendrier!$C$25:$C$267,DN40)+ COUNTIFS($D$25:$D$267,Parameters!$K$3,$E$25:$E$267,Parameters!$M$2,Calendrier!$C$25:$C$267,DN40))</f>
        <v>1</v>
      </c>
      <c r="HI40" s="50">
        <f>IF(DO40="","",COUNTIFS($D$25:$D$267,Parameters!$K$2,$E$25:$E$267,Parameters!$M$2,Calendrier!$C$25:$C$267,DO40)+ COUNTIFS($D$25:$D$267,Parameters!$K$4,$E$25:$E$267,Parameters!$M$2,Calendrier!$C$25:$C$267,DO40))</f>
        <v>1</v>
      </c>
      <c r="HJ40" s="50">
        <f>IF(DP40="","",COUNTIFS($D$25:$D$267,Parameters!$K$2,$E$25:$E$267,Parameters!$M$2,Calendrier!$C$25:$C$267,DP40)+ COUNTIFS($D$25:$D$267,Parameters!$K$3,$E$25:$E$267,Parameters!$M$2,Calendrier!$C$25:$C$267,DP40))</f>
        <v>0</v>
      </c>
      <c r="HK40" s="50">
        <f>IF(DQ40="","",COUNTIFS($D$25:$D$267,Parameters!$K$2,$E$25:$E$267,Parameters!$M$2,Calendrier!$C$25:$C$267,DQ40)+ COUNTIFS($D$25:$D$267,Parameters!$K$4,$E$25:$E$267,Parameters!$M$2,Calendrier!$C$25:$C$267,DQ40))</f>
        <v>0</v>
      </c>
      <c r="HL40" s="50">
        <f>IF(DR40="","",COUNTIFS($D$25:$D$267,Parameters!$K$2,$E$25:$E$267,Parameters!$M$2,Calendrier!$C$25:$C$267,DR40)+ COUNTIFS($D$25:$D$267,Parameters!$K$3,$E$25:$E$267,Parameters!$M$2,Calendrier!$C$25:$C$267,DR40))</f>
        <v>0</v>
      </c>
      <c r="HM40" s="50">
        <f>IF(DS40="","",COUNTIFS($D$25:$D$267,Parameters!$K$2,$E$25:$E$267,Parameters!$M$2,Calendrier!$C$25:$C$267,DS40)+ COUNTIFS($D$25:$D$267,Parameters!$K$4,$E$25:$E$267,Parameters!$M$2,Calendrier!$C$25:$C$267,DS40))</f>
        <v>0</v>
      </c>
      <c r="HN40" s="50">
        <f>IF(DT40="","",COUNTIFS($D$25:$D$267,Parameters!$K$2,$E$25:$E$267,Parameters!$M$2,Calendrier!$C$25:$C$267,DT40)+ COUNTIFS($D$25:$D$267,Parameters!$K$3,$E$25:$E$267,Parameters!$M$2,Calendrier!$C$25:$C$267,DT40))</f>
        <v>0</v>
      </c>
      <c r="HO40" s="57">
        <f>IF(DU40="","",COUNTIFS($D$25:$D$267,Parameters!$K$2,$E$25:$E$267,Parameters!$M$2,Calendrier!$C$25:$C$267,DU40)+ COUNTIFS($D$25:$D$267,Parameters!$K$4,$E$25:$E$267,Parameters!$M$2,Calendrier!$C$25:$C$267,DU40))</f>
        <v>0</v>
      </c>
      <c r="HR40" s="49">
        <f>IF(DX40="","",COUNTIFS($D$25:$D$267,Parameters!$K$2,$E$25:$E$267,Parameters!$M$2,Calendrier!$C$25:$C$267,DX40)+ COUNTIFS($D$25:$D$267,Parameters!$K$3,$E$25:$E$267,Parameters!$M$2,Calendrier!$C$25:$C$267,DX40))</f>
        <v>0</v>
      </c>
      <c r="HS40" s="50">
        <f>IF(DY40="","",COUNTIFS($D$25:$D$267,Parameters!$K$2,$E$25:$E$267,Parameters!$M$2,Calendrier!$C$25:$C$267,DY40)+ COUNTIFS($D$25:$D$267,Parameters!$K$4,$E$25:$E$267,Parameters!$M$2,Calendrier!$C$25:$C$267,DY40))</f>
        <v>0</v>
      </c>
      <c r="HT40" s="50">
        <f>IF(DZ40="","",COUNTIFS($D$25:$D$267,Parameters!$K$2,$E$25:$E$267,Parameters!$M$2,Calendrier!$C$25:$C$267,DZ40)+ COUNTIFS($D$25:$D$267,Parameters!$K$3,$E$25:$E$267,Parameters!$M$2,Calendrier!$C$25:$C$267,DZ40))</f>
        <v>0</v>
      </c>
      <c r="HU40" s="50">
        <f>IF(EA40="","",COUNTIFS($D$25:$D$267,Parameters!$K$2,$E$25:$E$267,Parameters!$M$2,Calendrier!$C$25:$C$267,EA40)+ COUNTIFS($D$25:$D$267,Parameters!$K$4,$E$25:$E$267,Parameters!$M$2,Calendrier!$C$25:$C$267,EA40))</f>
        <v>0</v>
      </c>
      <c r="HV40" s="50">
        <f>IF(EB40="","",COUNTIFS($D$25:$D$267,Parameters!$K$2,$E$25:$E$267,Parameters!$M$2,Calendrier!$C$25:$C$267,EB40)+ COUNTIFS($D$25:$D$267,Parameters!$K$3,$E$25:$E$267,Parameters!$M$2,Calendrier!$C$25:$C$267,EB40))</f>
        <v>0</v>
      </c>
      <c r="HW40" s="50">
        <f>IF(EC40="","",COUNTIFS($D$25:$D$267,Parameters!$K$2,$E$25:$E$267,Parameters!$M$2,Calendrier!$C$25:$C$267,EC40)+ COUNTIFS($D$25:$D$267,Parameters!$K$4,$E$25:$E$267,Parameters!$M$2,Calendrier!$C$25:$C$267,EC40))</f>
        <v>0</v>
      </c>
      <c r="HX40" s="50">
        <f>IF(ED40="","",COUNTIFS($D$25:$D$267,Parameters!$K$2,$E$25:$E$267,Parameters!$M$2,Calendrier!$C$25:$C$267,ED40)+ COUNTIFS($D$25:$D$267,Parameters!$K$3,$E$25:$E$267,Parameters!$M$2,Calendrier!$C$25:$C$267,ED40))</f>
        <v>0</v>
      </c>
      <c r="HY40" s="50">
        <f>IF(EE40="","",COUNTIFS($D$25:$D$267,Parameters!$K$2,$E$25:$E$267,Parameters!$M$2,Calendrier!$C$25:$C$267,EE40)+ COUNTIFS($D$25:$D$267,Parameters!$K$4,$E$25:$E$267,Parameters!$M$2,Calendrier!$C$25:$C$267,EE40))</f>
        <v>0</v>
      </c>
      <c r="HZ40" s="50">
        <f>IF(EF40="","",COUNTIFS($D$25:$D$267,Parameters!$K$2,$E$25:$E$267,Parameters!$M$2,Calendrier!$C$25:$C$267,EF40)+ COUNTIFS($D$25:$D$267,Parameters!$K$3,$E$25:$E$267,Parameters!$M$2,Calendrier!$C$25:$C$267,EF40))</f>
        <v>0</v>
      </c>
      <c r="IA40" s="50">
        <f>IF(EG40="","",COUNTIFS($D$25:$D$267,Parameters!$K$2,$E$25:$E$267,Parameters!$M$2,Calendrier!$C$25:$C$267,EG40)+ COUNTIFS($D$25:$D$267,Parameters!$K$4,$E$25:$E$267,Parameters!$M$2,Calendrier!$C$25:$C$267,EG40))</f>
        <v>0</v>
      </c>
      <c r="IB40" s="50">
        <f>IF(EH40="","",COUNTIFS($D$25:$D$267,Parameters!$K$2,$E$25:$E$267,Parameters!$M$2,Calendrier!$C$25:$C$267,EH40)+ COUNTIFS($D$25:$D$267,Parameters!$K$3,$E$25:$E$267,Parameters!$M$2,Calendrier!$C$25:$C$267,EH40))</f>
        <v>0</v>
      </c>
      <c r="IC40" s="50">
        <f>IF(EI40="","",COUNTIFS($D$25:$D$267,Parameters!$K$2,$E$25:$E$267,Parameters!$M$2,Calendrier!$C$25:$C$267,EI40)+ COUNTIFS($D$25:$D$267,Parameters!$K$4,$E$25:$E$267,Parameters!$M$2,Calendrier!$C$25:$C$267,EI40))</f>
        <v>0</v>
      </c>
      <c r="ID40" s="50">
        <f>IF(EJ40="","",COUNTIFS($D$25:$D$267,Parameters!$K$2,$E$25:$E$267,Parameters!$M$2,Calendrier!$C$25:$C$267,EJ40)+ COUNTIFS($D$25:$D$267,Parameters!$K$3,$E$25:$E$267,Parameters!$M$2,Calendrier!$C$25:$C$267,EJ40))</f>
        <v>0</v>
      </c>
      <c r="IE40" s="57">
        <f>IF(EK40="","",COUNTIFS($D$25:$D$267,Parameters!$K$2,$E$25:$E$267,Parameters!$M$2,Calendrier!$C$25:$C$267,EK40)+ COUNTIFS($D$25:$D$267,Parameters!$K$4,$E$25:$E$267,Parameters!$M$2,Calendrier!$C$25:$C$267,EK40))</f>
        <v>0</v>
      </c>
      <c r="IH40" s="49">
        <f>IF(EN40="","",COUNTIFS($D$25:$D$267,Parameters!$K$2,$E$25:$E$267,Parameters!$M$2,Calendrier!$C$25:$C$267,EN40)+ COUNTIFS($D$25:$D$267,Parameters!$K$3,$E$25:$E$267,Parameters!$M$2,Calendrier!$C$25:$C$267,EN40))</f>
        <v>0</v>
      </c>
      <c r="II40" s="50">
        <f>IF(EO40="","",COUNTIFS($D$25:$D$267,Parameters!$K$2,$E$25:$E$267,Parameters!$M$2,Calendrier!$C$25:$C$267,EO40)+ COUNTIFS($D$25:$D$267,Parameters!$K$4,$E$25:$E$267,Parameters!$M$2,Calendrier!$C$25:$C$267,EO40))</f>
        <v>0</v>
      </c>
      <c r="IJ40" s="50">
        <f>IF(EP40="","",COUNTIFS($D$25:$D$267,Parameters!$K$2,$E$25:$E$267,Parameters!$M$2,Calendrier!$C$25:$C$267,EP40)+ COUNTIFS($D$25:$D$267,Parameters!$K$3,$E$25:$E$267,Parameters!$M$2,Calendrier!$C$25:$C$267,EP40))</f>
        <v>0</v>
      </c>
      <c r="IK40" s="50">
        <f>IF(EQ40="","",COUNTIFS($D$25:$D$267,Parameters!$K$2,$E$25:$E$267,Parameters!$M$2,Calendrier!$C$25:$C$267,EQ40)+ COUNTIFS($D$25:$D$267,Parameters!$K$4,$E$25:$E$267,Parameters!$M$2,Calendrier!$C$25:$C$267,EQ40))</f>
        <v>0</v>
      </c>
      <c r="IL40" s="50">
        <f>IF(ER40="","",COUNTIFS($D$25:$D$267,Parameters!$K$2,$E$25:$E$267,Parameters!$M$2,Calendrier!$C$25:$C$267,ER40)+ COUNTIFS($D$25:$D$267,Parameters!$K$3,$E$25:$E$267,Parameters!$M$2,Calendrier!$C$25:$C$267,ER40))</f>
        <v>0</v>
      </c>
      <c r="IM40" s="50">
        <f>IF(ES40="","",COUNTIFS($D$25:$D$267,Parameters!$K$2,$E$25:$E$267,Parameters!$M$2,Calendrier!$C$25:$C$267,ES40)+ COUNTIFS($D$25:$D$267,Parameters!$K$4,$E$25:$E$267,Parameters!$M$2,Calendrier!$C$25:$C$267,ES40))</f>
        <v>0</v>
      </c>
      <c r="IN40" s="50">
        <f>IF(ET40="","",COUNTIFS($D$25:$D$267,Parameters!$K$2,$E$25:$E$267,Parameters!$M$2,Calendrier!$C$25:$C$267,ET40)+ COUNTIFS($D$25:$D$267,Parameters!$K$3,$E$25:$E$267,Parameters!$M$2,Calendrier!$C$25:$C$267,ET40))</f>
        <v>0</v>
      </c>
      <c r="IO40" s="50">
        <f>IF(EU40="","",COUNTIFS($D$25:$D$267,Parameters!$K$2,$E$25:$E$267,Parameters!$M$2,Calendrier!$C$25:$C$267,EU40)+ COUNTIFS($D$25:$D$267,Parameters!$K$4,$E$25:$E$267,Parameters!$M$2,Calendrier!$C$25:$C$267,EU40))</f>
        <v>0</v>
      </c>
      <c r="IP40" s="50">
        <f>IF(EV40="","",COUNTIFS($D$25:$D$267,Parameters!$K$2,$E$25:$E$267,Parameters!$M$2,Calendrier!$C$25:$C$267,EV40)+ COUNTIFS($D$25:$D$267,Parameters!$K$3,$E$25:$E$267,Parameters!$M$2,Calendrier!$C$25:$C$267,EV40))</f>
        <v>0</v>
      </c>
      <c r="IQ40" s="50">
        <f>IF(EW40="","",COUNTIFS($D$25:$D$267,Parameters!$K$2,$E$25:$E$267,Parameters!$M$2,Calendrier!$C$25:$C$267,EW40)+ COUNTIFS($D$25:$D$267,Parameters!$K$4,$E$25:$E$267,Parameters!$M$2,Calendrier!$C$25:$C$267,EW40))</f>
        <v>0</v>
      </c>
      <c r="IR40" s="50">
        <f>IF(EX40="","",COUNTIFS($D$25:$D$267,Parameters!$K$2,$E$25:$E$267,Parameters!$M$2,Calendrier!$C$25:$C$267,EX40)+ COUNTIFS($D$25:$D$267,Parameters!$K$3,$E$25:$E$267,Parameters!$M$2,Calendrier!$C$25:$C$267,EX40))</f>
        <v>0</v>
      </c>
      <c r="IS40" s="50">
        <f>IF(EY40="","",COUNTIFS($D$25:$D$267,Parameters!$K$2,$E$25:$E$267,Parameters!$M$2,Calendrier!$C$25:$C$267,EY40)+ COUNTIFS($D$25:$D$267,Parameters!$K$4,$E$25:$E$267,Parameters!$M$2,Calendrier!$C$25:$C$267,EY40))</f>
        <v>0</v>
      </c>
      <c r="IT40" s="50">
        <f>IF(EZ40="","",COUNTIFS($D$25:$D$267,Parameters!$K$2,$E$25:$E$267,Parameters!$M$2,Calendrier!$C$25:$C$267,EZ40)+ COUNTIFS($D$25:$D$267,Parameters!$K$3,$E$25:$E$267,Parameters!$M$2,Calendrier!$C$25:$C$267,EZ40))</f>
        <v>0</v>
      </c>
      <c r="IU40" s="57">
        <f>IF(FA40="","",COUNTIFS($D$25:$D$267,Parameters!$K$2,$E$25:$E$267,Parameters!$M$2,Calendrier!$C$25:$C$267,FA40)+ COUNTIFS($D$25:$D$267,Parameters!$K$4,$E$25:$E$267,Parameters!$M$2,Calendrier!$C$25:$C$267,FA40))</f>
        <v>0</v>
      </c>
      <c r="IY40" s="49">
        <f>IF(DH40="","",COUNTIFS($D$25:$D$267,Parameters!$K$2,$E$25:$E$267,Parameters!$M$3,Calendrier!$C$25:$C$267,DH40)+ COUNTIFS($D$25:$D$267,Parameters!$K$3,$E$25:$E$267,Parameters!$M$3,Calendrier!$C$25:$C$267,DH40))</f>
        <v>0</v>
      </c>
      <c r="IZ40" s="50">
        <f>IF(DI40="","",COUNTIFS($D$25:$D$267,Parameters!$K$2,$E$25:$E$267,Parameters!$M$3,Calendrier!$C$25:$C$267,DI40)+ COUNTIFS($D$25:$D$267,Parameters!$K$4,$E$25:$E$267,Parameters!$M$3,Calendrier!$C$25:$C$267,DI40))</f>
        <v>0</v>
      </c>
      <c r="JA40" s="50">
        <f>IF(DJ40="","",COUNTIFS($D$25:$D$267,Parameters!$K$2,$E$25:$E$267,Parameters!$M$3,Calendrier!$C$25:$C$267,DJ40)+ COUNTIFS($D$25:$D$267,Parameters!$K$3,$E$25:$E$267,Parameters!$M$3,Calendrier!$C$25:$C$267,DJ40))</f>
        <v>0</v>
      </c>
      <c r="JB40" s="50">
        <f>IF(DK40="","",COUNTIFS($D$25:$D$267,Parameters!$K$2,$E$25:$E$267,Parameters!$M$3,Calendrier!$C$25:$C$267,DK40)+ COUNTIFS($D$25:$D$267,Parameters!$K$4,$E$25:$E$267,Parameters!$M$3,Calendrier!$C$25:$C$267,DK40))</f>
        <v>0</v>
      </c>
      <c r="JC40" s="50">
        <f>IF(DL40="","",COUNTIFS($D$25:$D$267,Parameters!$K$2,$E$25:$E$267,Parameters!$M$3,Calendrier!$C$25:$C$267,DL40)+ COUNTIFS($D$25:$D$267,Parameters!$K$3,$E$25:$E$267,Parameters!$M$3,Calendrier!$C$25:$C$267,DL40))</f>
        <v>0</v>
      </c>
      <c r="JD40" s="50">
        <f>IF(DM40="","",COUNTIFS($D$25:$D$267,Parameters!$K$2,$E$25:$E$267,Parameters!$M$3,Calendrier!$C$25:$C$267,DM40)+ COUNTIFS($D$25:$D$267,Parameters!$K$4,$E$25:$E$267,Parameters!$M$3,Calendrier!$C$25:$C$267,DM40))</f>
        <v>0</v>
      </c>
      <c r="JE40" s="50">
        <f>IF(DN40="","",COUNTIFS($D$25:$D$267,Parameters!$K$2,$E$25:$E$267,Parameters!$M$3,Calendrier!$C$25:$C$267,DN40)+ COUNTIFS($D$25:$D$267,Parameters!$K$3,$E$25:$E$267,Parameters!$M$3,Calendrier!$C$25:$C$267,DN40))</f>
        <v>0</v>
      </c>
      <c r="JF40" s="50">
        <f>IF(DO40="","",COUNTIFS($D$25:$D$267,Parameters!$K$2,$E$25:$E$267,Parameters!$M$3,Calendrier!$C$25:$C$267,DO40)+ COUNTIFS($D$25:$D$267,Parameters!$K$4,$E$25:$E$267,Parameters!$M$3,Calendrier!$C$25:$C$267,DO40))</f>
        <v>0</v>
      </c>
      <c r="JG40" s="50">
        <f>IF(DP40="","",COUNTIFS($D$25:$D$267,Parameters!$K$2,$E$25:$E$267,Parameters!$M$3,Calendrier!$C$25:$C$267,DP40)+ COUNTIFS($D$25:$D$267,Parameters!$K$3,$E$25:$E$267,Parameters!$M$3,Calendrier!$C$25:$C$267,DP40))</f>
        <v>0</v>
      </c>
      <c r="JH40" s="50">
        <f>IF(DQ40="","",COUNTIFS($D$25:$D$267,Parameters!$K$2,$E$25:$E$267,Parameters!$M$3,Calendrier!$C$25:$C$267,DQ40)+ COUNTIFS($D$25:$D$267,Parameters!$K$4,$E$25:$E$267,Parameters!$M$3,Calendrier!$C$25:$C$267,DQ40))</f>
        <v>0</v>
      </c>
      <c r="JI40" s="50">
        <f>IF(DR40="","",COUNTIFS($D$25:$D$267,Parameters!$K$2,$E$25:$E$267,Parameters!$M$3,Calendrier!$C$25:$C$267,DR40)+ COUNTIFS($D$25:$D$267,Parameters!$K$3,$E$25:$E$267,Parameters!$M$3,Calendrier!$C$25:$C$267,DR40))</f>
        <v>0</v>
      </c>
      <c r="JJ40" s="50">
        <f>IF(DS40="","",COUNTIFS($D$25:$D$267,Parameters!$K$2,$E$25:$E$267,Parameters!$M$3,Calendrier!$C$25:$C$267,DS40)+ COUNTIFS($D$25:$D$267,Parameters!$K$4,$E$25:$E$267,Parameters!$M$3,Calendrier!$C$25:$C$267,DS40))</f>
        <v>0</v>
      </c>
      <c r="JK40" s="50">
        <f>IF(DT40="","",COUNTIFS($D$25:$D$267,Parameters!$K$2,$E$25:$E$267,Parameters!$M$3,Calendrier!$C$25:$C$267,DT40)+ COUNTIFS($D$25:$D$267,Parameters!$K$3,$E$25:$E$267,Parameters!$M$3,Calendrier!$C$25:$C$267,DT40))</f>
        <v>0</v>
      </c>
      <c r="JL40" s="57">
        <f>IF(DU40="","",COUNTIFS($D$25:$D$267,Parameters!$K$2,$E$25:$E$267,Parameters!$M$3,Calendrier!$C$25:$C$267,DU40)+ COUNTIFS($D$25:$D$267,Parameters!$K$4,$E$25:$E$267,Parameters!$M$3,Calendrier!$C$25:$C$267,DU40))</f>
        <v>0</v>
      </c>
      <c r="JO40" s="49">
        <f>IF(DX40="","",COUNTIFS($D$25:$D$267,Parameters!$K$2,$E$25:$E$267,Parameters!$M$3,Calendrier!$C$25:$C$267,DX40)+ COUNTIFS($D$25:$D$267,Parameters!$K$3,$E$25:$E$267,Parameters!$M$3,Calendrier!$C$25:$C$267,DX40))</f>
        <v>0</v>
      </c>
      <c r="JP40" s="50">
        <f>IF(DY40="","",COUNTIFS($D$25:$D$267,Parameters!$K$2,$E$25:$E$267,Parameters!$M$3,Calendrier!$C$25:$C$267,DY40)+ COUNTIFS($D$25:$D$267,Parameters!$K$4,$E$25:$E$267,Parameters!$M$3,Calendrier!$C$25:$C$267,DY40))</f>
        <v>0</v>
      </c>
      <c r="JQ40" s="50">
        <f>IF(DZ40="","",COUNTIFS($D$25:$D$267,Parameters!$K$2,$E$25:$E$267,Parameters!$M$3,Calendrier!$C$25:$C$267,DZ40)+ COUNTIFS($D$25:$D$267,Parameters!$K$3,$E$25:$E$267,Parameters!$M$3,Calendrier!$C$25:$C$267,DZ40))</f>
        <v>0</v>
      </c>
      <c r="JR40" s="50">
        <f>IF(EA40="","",COUNTIFS($D$25:$D$267,Parameters!$K$2,$E$25:$E$267,Parameters!$M$3,Calendrier!$C$25:$C$267,EA40)+ COUNTIFS($D$25:$D$267,Parameters!$K$4,$E$25:$E$267,Parameters!$M$3,Calendrier!$C$25:$C$267,EA40))</f>
        <v>0</v>
      </c>
      <c r="JS40" s="50">
        <f>IF(EB40="","",COUNTIFS($D$25:$D$267,Parameters!$K$2,$E$25:$E$267,Parameters!$M$3,Calendrier!$C$25:$C$267,EB40)+ COUNTIFS($D$25:$D$267,Parameters!$K$3,$E$25:$E$267,Parameters!$M$3,Calendrier!$C$25:$C$267,EB40))</f>
        <v>0</v>
      </c>
      <c r="JT40" s="50">
        <f>IF(EC40="","",COUNTIFS($D$25:$D$267,Parameters!$K$2,$E$25:$E$267,Parameters!$M$3,Calendrier!$C$25:$C$267,EC40)+ COUNTIFS($D$25:$D$267,Parameters!$K$4,$E$25:$E$267,Parameters!$M$3,Calendrier!$C$25:$C$267,EC40))</f>
        <v>0</v>
      </c>
      <c r="JU40" s="50">
        <f>IF(ED40="","",COUNTIFS($D$25:$D$267,Parameters!$K$2,$E$25:$E$267,Parameters!$M$3,Calendrier!$C$25:$C$267,ED40)+ COUNTIFS($D$25:$D$267,Parameters!$K$3,$E$25:$E$267,Parameters!$M$3,Calendrier!$C$25:$C$267,ED40))</f>
        <v>0</v>
      </c>
      <c r="JV40" s="50">
        <f>IF(EE40="","",COUNTIFS($D$25:$D$267,Parameters!$K$2,$E$25:$E$267,Parameters!$M$3,Calendrier!$C$25:$C$267,EE40)+ COUNTIFS($D$25:$D$267,Parameters!$K$4,$E$25:$E$267,Parameters!$M$3,Calendrier!$C$25:$C$267,EE40))</f>
        <v>0</v>
      </c>
      <c r="JW40" s="50">
        <f>IF(EF40="","",COUNTIFS($D$25:$D$267,Parameters!$K$2,$E$25:$E$267,Parameters!$M$3,Calendrier!$C$25:$C$267,EF40)+ COUNTIFS($D$25:$D$267,Parameters!$K$3,$E$25:$E$267,Parameters!$M$3,Calendrier!$C$25:$C$267,EF40))</f>
        <v>0</v>
      </c>
      <c r="JX40" s="50">
        <f>IF(EG40="","",COUNTIFS($D$25:$D$267,Parameters!$K$2,$E$25:$E$267,Parameters!$M$3,Calendrier!$C$25:$C$267,EG40)+ COUNTIFS($D$25:$D$267,Parameters!$K$4,$E$25:$E$267,Parameters!$M$3,Calendrier!$C$25:$C$267,EG40))</f>
        <v>0</v>
      </c>
      <c r="JY40" s="50">
        <f>IF(EH40="","",COUNTIFS($D$25:$D$267,Parameters!$K$2,$E$25:$E$267,Parameters!$M$3,Calendrier!$C$25:$C$267,EH40)+ COUNTIFS($D$25:$D$267,Parameters!$K$3,$E$25:$E$267,Parameters!$M$3,Calendrier!$C$25:$C$267,EH40))</f>
        <v>0</v>
      </c>
      <c r="JZ40" s="50">
        <f>IF(EI40="","",COUNTIFS($D$25:$D$267,Parameters!$K$2,$E$25:$E$267,Parameters!$M$3,Calendrier!$C$25:$C$267,EI40)+ COUNTIFS($D$25:$D$267,Parameters!$K$4,$E$25:$E$267,Parameters!$M$3,Calendrier!$C$25:$C$267,EI40))</f>
        <v>0</v>
      </c>
      <c r="KA40" s="50">
        <f>IF(EJ40="","",COUNTIFS($D$25:$D$267,Parameters!$K$2,$E$25:$E$267,Parameters!$M$3,Calendrier!$C$25:$C$267,EJ40)+ COUNTIFS($D$25:$D$267,Parameters!$K$3,$E$25:$E$267,Parameters!$M$3,Calendrier!$C$25:$C$267,EJ40))</f>
        <v>0</v>
      </c>
      <c r="KB40" s="57">
        <f>IF(EK40="","",COUNTIFS($D$25:$D$267,Parameters!$K$2,$E$25:$E$267,Parameters!$M$3,Calendrier!$C$25:$C$267,EK40)+ COUNTIFS($D$25:$D$267,Parameters!$K$4,$E$25:$E$267,Parameters!$M$3,Calendrier!$C$25:$C$267,EK40))</f>
        <v>0</v>
      </c>
      <c r="KE40" s="49">
        <f>IF(EN40="","",COUNTIFS($D$25:$D$267,Parameters!$K$2,$E$25:$E$267,Parameters!$M$3,Calendrier!$C$25:$C$267,EN40)+ COUNTIFS($D$25:$D$267,Parameters!$K$3,$E$25:$E$267,Parameters!$M$3,Calendrier!$C$25:$C$267,EN40))</f>
        <v>0</v>
      </c>
      <c r="KF40" s="50">
        <f>IF(EO40="","",COUNTIFS($D$25:$D$267,Parameters!$K$2,$E$25:$E$267,Parameters!$M$3,Calendrier!$C$25:$C$267,EO40)+ COUNTIFS($D$25:$D$267,Parameters!$K$4,$E$25:$E$267,Parameters!$M$3,Calendrier!$C$25:$C$267,EO40))</f>
        <v>0</v>
      </c>
      <c r="KG40" s="50">
        <f>IF(EP40="","",COUNTIFS($D$25:$D$267,Parameters!$K$2,$E$25:$E$267,Parameters!$M$3,Calendrier!$C$25:$C$267,EP40)+ COUNTIFS($D$25:$D$267,Parameters!$K$3,$E$25:$E$267,Parameters!$M$3,Calendrier!$C$25:$C$267,EP40))</f>
        <v>0</v>
      </c>
      <c r="KH40" s="50">
        <f>IF(EQ40="","",COUNTIFS($D$25:$D$267,Parameters!$K$2,$E$25:$E$267,Parameters!$M$3,Calendrier!$C$25:$C$267,EQ40)+ COUNTIFS($D$25:$D$267,Parameters!$K$4,$E$25:$E$267,Parameters!$M$3,Calendrier!$C$25:$C$267,EQ40))</f>
        <v>0</v>
      </c>
      <c r="KI40" s="50">
        <f>IF(ER40="","",COUNTIFS($D$25:$D$267,Parameters!$K$2,$E$25:$E$267,Parameters!$M$3,Calendrier!$C$25:$C$267,ER40)+ COUNTIFS($D$25:$D$267,Parameters!$K$3,$E$25:$E$267,Parameters!$M$3,Calendrier!$C$25:$C$267,ER40))</f>
        <v>0</v>
      </c>
      <c r="KJ40" s="50">
        <f>IF(ES40="","",COUNTIFS($D$25:$D$267,Parameters!$K$2,$E$25:$E$267,Parameters!$M$3,Calendrier!$C$25:$C$267,ES40)+ COUNTIFS($D$25:$D$267,Parameters!$K$4,$E$25:$E$267,Parameters!$M$3,Calendrier!$C$25:$C$267,ES40))</f>
        <v>0</v>
      </c>
      <c r="KK40" s="50">
        <f>IF(ET40="","",COUNTIFS($D$25:$D$267,Parameters!$K$2,$E$25:$E$267,Parameters!$M$3,Calendrier!$C$25:$C$267,ET40)+ COUNTIFS($D$25:$D$267,Parameters!$K$3,$E$25:$E$267,Parameters!$M$3,Calendrier!$C$25:$C$267,ET40))</f>
        <v>0</v>
      </c>
      <c r="KL40" s="50">
        <f>IF(EU40="","",COUNTIFS($D$25:$D$267,Parameters!$K$2,$E$25:$E$267,Parameters!$M$3,Calendrier!$C$25:$C$267,EU40)+ COUNTIFS($D$25:$D$267,Parameters!$K$4,$E$25:$E$267,Parameters!$M$3,Calendrier!$C$25:$C$267,EU40))</f>
        <v>0</v>
      </c>
      <c r="KM40" s="50">
        <f>IF(EV40="","",COUNTIFS($D$25:$D$267,Parameters!$K$2,$E$25:$E$267,Parameters!$M$3,Calendrier!$C$25:$C$267,EV40)+ COUNTIFS($D$25:$D$267,Parameters!$K$3,$E$25:$E$267,Parameters!$M$3,Calendrier!$C$25:$C$267,EV40))</f>
        <v>0</v>
      </c>
      <c r="KN40" s="50">
        <f>IF(EW40="","",COUNTIFS($D$25:$D$267,Parameters!$K$2,$E$25:$E$267,Parameters!$M$3,Calendrier!$C$25:$C$267,EW40)+ COUNTIFS($D$25:$D$267,Parameters!$K$4,$E$25:$E$267,Parameters!$M$3,Calendrier!$C$25:$C$267,EW40))</f>
        <v>0</v>
      </c>
      <c r="KO40" s="50">
        <f>IF(EX40="","",COUNTIFS($D$25:$D$267,Parameters!$K$2,$E$25:$E$267,Parameters!$M$3,Calendrier!$C$25:$C$267,EX40)+ COUNTIFS($D$25:$D$267,Parameters!$K$3,$E$25:$E$267,Parameters!$M$3,Calendrier!$C$25:$C$267,EX40))</f>
        <v>0</v>
      </c>
      <c r="KP40" s="50">
        <f>IF(EY40="","",COUNTIFS($D$25:$D$267,Parameters!$K$2,$E$25:$E$267,Parameters!$M$3,Calendrier!$C$25:$C$267,EY40)+ COUNTIFS($D$25:$D$267,Parameters!$K$4,$E$25:$E$267,Parameters!$M$3,Calendrier!$C$25:$C$267,EY40))</f>
        <v>0</v>
      </c>
      <c r="KQ40" s="50">
        <f>IF(EZ40="","",COUNTIFS($D$25:$D$267,Parameters!$K$2,$E$25:$E$267,Parameters!$M$3,Calendrier!$C$25:$C$267,EZ40)+ COUNTIFS($D$25:$D$267,Parameters!$K$3,$E$25:$E$267,Parameters!$M$3,Calendrier!$C$25:$C$267,EZ40))</f>
        <v>0</v>
      </c>
      <c r="KR40" s="57">
        <f>IF(FA40="","",COUNTIFS($D$25:$D$267,Parameters!$K$2,$E$25:$E$267,Parameters!$M$3,Calendrier!$C$25:$C$267,FA40)+ COUNTIFS($D$25:$D$267,Parameters!$K$4,$E$25:$E$267,Parameters!$M$3,Calendrier!$C$25:$C$267,FA40))</f>
        <v>0</v>
      </c>
      <c r="KV40" s="49">
        <f>IF(DH40="","",COUNTIFS($D$25:$D$267,Parameters!$K$2,$E$25:$E$267,Parameters!$M$4,Calendrier!$C$25:$C$267,DH40)+ COUNTIFS($D$25:$D$267,Parameters!$K$3,$E$25:$E$267,Parameters!$M$4,Calendrier!$C$25:$C$267,DH40))</f>
        <v>0</v>
      </c>
      <c r="KW40" s="50">
        <f>IF(DI40="","",COUNTIFS($D$25:$D$267,Parameters!$K$2,$E$25:$E$267,Parameters!$M$4,Calendrier!$C$25:$C$267,DI40)+ COUNTIFS($D$25:$D$267,Parameters!$K$4,$E$25:$E$267,Parameters!$M$4,Calendrier!$C$25:$C$267,DI40))</f>
        <v>0</v>
      </c>
      <c r="KX40" s="50">
        <f>IF(DJ40="","",COUNTIFS($D$25:$D$267,Parameters!$K$2,$E$25:$E$267,Parameters!$M$4,Calendrier!$C$25:$C$267,DJ40)+ COUNTIFS($D$25:$D$267,Parameters!$K$3,$E$25:$E$267,Parameters!$M$4,Calendrier!$C$25:$C$267,DJ40))</f>
        <v>0</v>
      </c>
      <c r="KY40" s="50">
        <f>IF(DK40="","",COUNTIFS($D$25:$D$267,Parameters!$K$2,$E$25:$E$267,Parameters!$M$4,Calendrier!$C$25:$C$267,DK40)+ COUNTIFS($D$25:$D$267,Parameters!$K$4,$E$25:$E$267,Parameters!$M$4,Calendrier!$C$25:$C$267,DK40))</f>
        <v>0</v>
      </c>
      <c r="KZ40" s="50">
        <f>IF(DL40="","",COUNTIFS($D$25:$D$267,Parameters!$K$2,$E$25:$E$267,Parameters!$M$4,Calendrier!$C$25:$C$267,DL40)+ COUNTIFS($D$25:$D$267,Parameters!$K$3,$E$25:$E$267,Parameters!$M$4,Calendrier!$C$25:$C$267,DL40))</f>
        <v>0</v>
      </c>
      <c r="LA40" s="50">
        <f>IF(DM40="","",COUNTIFS($D$25:$D$267,Parameters!$K$2,$E$25:$E$267,Parameters!$M$4,Calendrier!$C$25:$C$267,DM40)+ COUNTIFS($D$25:$D$267,Parameters!$K$4,$E$25:$E$267,Parameters!$M$4,Calendrier!$C$25:$C$267,DM40))</f>
        <v>0</v>
      </c>
      <c r="LB40" s="50">
        <f>IF(DN40="","",COUNTIFS($D$25:$D$267,Parameters!$K$2,$E$25:$E$267,Parameters!$M$4,Calendrier!$C$25:$C$267,DN40)+ COUNTIFS($D$25:$D$267,Parameters!$K$3,$E$25:$E$267,Parameters!$M$4,Calendrier!$C$25:$C$267,DN40))</f>
        <v>0</v>
      </c>
      <c r="LC40" s="50">
        <f>IF(DO40="","",COUNTIFS($D$25:$D$267,Parameters!$K$2,$E$25:$E$267,Parameters!$M$4,Calendrier!$C$25:$C$267,DO40)+ COUNTIFS($D$25:$D$267,Parameters!$K$4,$E$25:$E$267,Parameters!$M$4,Calendrier!$C$25:$C$267,DO40))</f>
        <v>0</v>
      </c>
      <c r="LD40" s="50">
        <f>IF(DP40="","",COUNTIFS($D$25:$D$267,Parameters!$K$2,$E$25:$E$267,Parameters!$M$4,Calendrier!$C$25:$C$267,DP40)+ COUNTIFS($D$25:$D$267,Parameters!$K$3,$E$25:$E$267,Parameters!$M$4,Calendrier!$C$25:$C$267,DP40))</f>
        <v>0</v>
      </c>
      <c r="LE40" s="50">
        <f>IF(DQ40="","",COUNTIFS($D$25:$D$267,Parameters!$K$2,$E$25:$E$267,Parameters!$M$4,Calendrier!$C$25:$C$267,DQ40)+ COUNTIFS($D$25:$D$267,Parameters!$K$4,$E$25:$E$267,Parameters!$M$4,Calendrier!$C$25:$C$267,DQ40))</f>
        <v>0</v>
      </c>
      <c r="LF40" s="50">
        <f>IF(DR40="","",COUNTIFS($D$25:$D$267,Parameters!$K$2,$E$25:$E$267,Parameters!$M$4,Calendrier!$C$25:$C$267,DR40)+ COUNTIFS($D$25:$D$267,Parameters!$K$3,$E$25:$E$267,Parameters!$M$4,Calendrier!$C$25:$C$267,DR40))</f>
        <v>0</v>
      </c>
      <c r="LG40" s="50">
        <f>IF(DS40="","",COUNTIFS($D$25:$D$267,Parameters!$K$2,$E$25:$E$267,Parameters!$M$4,Calendrier!$C$25:$C$267,DS40)+ COUNTIFS($D$25:$D$267,Parameters!$K$4,$E$25:$E$267,Parameters!$M$4,Calendrier!$C$25:$C$267,DS40))</f>
        <v>0</v>
      </c>
      <c r="LH40" s="50">
        <f>IF(DT40="","",COUNTIFS($D$25:$D$267,Parameters!$K$2,$E$25:$E$267,Parameters!$M$4,Calendrier!$C$25:$C$267,DT40)+ COUNTIFS($D$25:$D$267,Parameters!$K$3,$E$25:$E$267,Parameters!$M$4,Calendrier!$C$25:$C$267,DT40))</f>
        <v>0</v>
      </c>
      <c r="LI40" s="57">
        <f>IF(DU40="","",COUNTIFS($D$25:$D$267,Parameters!$K$2,$E$25:$E$267,Parameters!$M$4,Calendrier!$C$25:$C$267,DU40)+ COUNTIFS($D$25:$D$267,Parameters!$K$4,$E$25:$E$267,Parameters!$M$4,Calendrier!$C$25:$C$267,DU40))</f>
        <v>0</v>
      </c>
      <c r="LL40" s="49">
        <f>IF(DX40="","",COUNTIFS($D$25:$D$267,Parameters!$K$2,$E$25:$E$267,Parameters!$M$4,Calendrier!$C$25:$C$267,DX40)+ COUNTIFS($D$25:$D$267,Parameters!$K$3,$E$25:$E$267,Parameters!$M$4,Calendrier!$C$25:$C$267,DX40))</f>
        <v>0</v>
      </c>
      <c r="LM40" s="50">
        <f>IF(DY40="","",COUNTIFS($D$25:$D$267,Parameters!$K$2,$E$25:$E$267,Parameters!$M$4,Calendrier!$C$25:$C$267,DY40)+ COUNTIFS($D$25:$D$267,Parameters!$K$4,$E$25:$E$267,Parameters!$M$4,Calendrier!$C$25:$C$267,DY40))</f>
        <v>0</v>
      </c>
      <c r="LN40" s="50">
        <f>IF(DZ40="","",COUNTIFS($D$25:$D$267,Parameters!$K$2,$E$25:$E$267,Parameters!$M$4,Calendrier!$C$25:$C$267,DZ40)+ COUNTIFS($D$25:$D$267,Parameters!$K$3,$E$25:$E$267,Parameters!$M$4,Calendrier!$C$25:$C$267,DZ40))</f>
        <v>0</v>
      </c>
      <c r="LO40" s="50">
        <f>IF(EA40="","",COUNTIFS($D$25:$D$267,Parameters!$K$2,$E$25:$E$267,Parameters!$M$4,Calendrier!$C$25:$C$267,EA40)+ COUNTIFS($D$25:$D$267,Parameters!$K$4,$E$25:$E$267,Parameters!$M$4,Calendrier!$C$25:$C$267,EA40))</f>
        <v>0</v>
      </c>
      <c r="LP40" s="50">
        <f>IF(EB40="","",COUNTIFS($D$25:$D$267,Parameters!$K$2,$E$25:$E$267,Parameters!$M$4,Calendrier!$C$25:$C$267,EB40)+ COUNTIFS($D$25:$D$267,Parameters!$K$3,$E$25:$E$267,Parameters!$M$4,Calendrier!$C$25:$C$267,EB40))</f>
        <v>0</v>
      </c>
      <c r="LQ40" s="50">
        <f>IF(EC40="","",COUNTIFS($D$25:$D$267,Parameters!$K$2,$E$25:$E$267,Parameters!$M$4,Calendrier!$C$25:$C$267,EC40)+ COUNTIFS($D$25:$D$267,Parameters!$K$4,$E$25:$E$267,Parameters!$M$4,Calendrier!$C$25:$C$267,EC40))</f>
        <v>0</v>
      </c>
      <c r="LR40" s="50">
        <f>IF(ED40="","",COUNTIFS($D$25:$D$267,Parameters!$K$2,$E$25:$E$267,Parameters!$M$4,Calendrier!$C$25:$C$267,ED40)+ COUNTIFS($D$25:$D$267,Parameters!$K$3,$E$25:$E$267,Parameters!$M$4,Calendrier!$C$25:$C$267,ED40))</f>
        <v>0</v>
      </c>
      <c r="LS40" s="50">
        <f>IF(EE40="","",COUNTIFS($D$25:$D$267,Parameters!$K$2,$E$25:$E$267,Parameters!$M$4,Calendrier!$C$25:$C$267,EE40)+ COUNTIFS($D$25:$D$267,Parameters!$K$4,$E$25:$E$267,Parameters!$M$4,Calendrier!$C$25:$C$267,EE40))</f>
        <v>0</v>
      </c>
      <c r="LT40" s="50">
        <f>IF(EF40="","",COUNTIFS($D$25:$D$267,Parameters!$K$2,$E$25:$E$267,Parameters!$M$4,Calendrier!$C$25:$C$267,EF40)+ COUNTIFS($D$25:$D$267,Parameters!$K$3,$E$25:$E$267,Parameters!$M$4,Calendrier!$C$25:$C$267,EF40))</f>
        <v>0</v>
      </c>
      <c r="LU40" s="50">
        <f>IF(EG40="","",COUNTIFS($D$25:$D$267,Parameters!$K$2,$E$25:$E$267,Parameters!$M$4,Calendrier!$C$25:$C$267,EG40)+ COUNTIFS($D$25:$D$267,Parameters!$K$4,$E$25:$E$267,Parameters!$M$4,Calendrier!$C$25:$C$267,EG40))</f>
        <v>0</v>
      </c>
      <c r="LV40" s="50">
        <f>IF(EH40="","",COUNTIFS($D$25:$D$267,Parameters!$K$2,$E$25:$E$267,Parameters!$M$4,Calendrier!$C$25:$C$267,EH40)+ COUNTIFS($D$25:$D$267,Parameters!$K$3,$E$25:$E$267,Parameters!$M$4,Calendrier!$C$25:$C$267,EH40))</f>
        <v>0</v>
      </c>
      <c r="LW40" s="50">
        <f>IF(EI40="","",COUNTIFS($D$25:$D$267,Parameters!$K$2,$E$25:$E$267,Parameters!$M$4,Calendrier!$C$25:$C$267,EI40)+ COUNTIFS($D$25:$D$267,Parameters!$K$4,$E$25:$E$267,Parameters!$M$4,Calendrier!$C$25:$C$267,EI40))</f>
        <v>0</v>
      </c>
      <c r="LX40" s="50">
        <f>IF(EJ40="","",COUNTIFS($D$25:$D$267,Parameters!$K$2,$E$25:$E$267,Parameters!$M$4,Calendrier!$C$25:$C$267,EJ40)+ COUNTIFS($D$25:$D$267,Parameters!$K$3,$E$25:$E$267,Parameters!$M$4,Calendrier!$C$25:$C$267,EJ40))</f>
        <v>0</v>
      </c>
      <c r="LY40" s="57">
        <f>IF(EK40="","",COUNTIFS($D$25:$D$267,Parameters!$K$2,$E$25:$E$267,Parameters!$M$4,Calendrier!$C$25:$C$267,EK40)+ COUNTIFS($D$25:$D$267,Parameters!$K$4,$E$25:$E$267,Parameters!$M$4,Calendrier!$C$25:$C$267,EK40))</f>
        <v>0</v>
      </c>
      <c r="MB40" s="49">
        <f>IF(EN40="","",COUNTIFS($D$25:$D$267,Parameters!$K$2,$E$25:$E$267,Parameters!$M$4,Calendrier!$C$25:$C$267,EN40)+ COUNTIFS($D$25:$D$267,Parameters!$K$3,$E$25:$E$267,Parameters!$M$4,Calendrier!$C$25:$C$267,EN40))</f>
        <v>0</v>
      </c>
      <c r="MC40" s="50">
        <f>IF(EO40="","",COUNTIFS($D$25:$D$267,Parameters!$K$2,$E$25:$E$267,Parameters!$M$4,Calendrier!$C$25:$C$267,EO40)+ COUNTIFS($D$25:$D$267,Parameters!$K$4,$E$25:$E$267,Parameters!$M$4,Calendrier!$C$25:$C$267,EO40))</f>
        <v>0</v>
      </c>
      <c r="MD40" s="50">
        <f>IF(EP40="","",COUNTIFS($D$25:$D$267,Parameters!$K$2,$E$25:$E$267,Parameters!$M$4,Calendrier!$C$25:$C$267,EP40)+ COUNTIFS($D$25:$D$267,Parameters!$K$3,$E$25:$E$267,Parameters!$M$4,Calendrier!$C$25:$C$267,EP40))</f>
        <v>0</v>
      </c>
      <c r="ME40" s="50">
        <f>IF(EQ40="","",COUNTIFS($D$25:$D$267,Parameters!$K$2,$E$25:$E$267,Parameters!$M$4,Calendrier!$C$25:$C$267,EQ40)+ COUNTIFS($D$25:$D$267,Parameters!$K$4,$E$25:$E$267,Parameters!$M$4,Calendrier!$C$25:$C$267,EQ40))</f>
        <v>0</v>
      </c>
      <c r="MF40" s="50">
        <f>IF(ER40="","",COUNTIFS($D$25:$D$267,Parameters!$K$2,$E$25:$E$267,Parameters!$M$4,Calendrier!$C$25:$C$267,ER40)+ COUNTIFS($D$25:$D$267,Parameters!$K$3,$E$25:$E$267,Parameters!$M$4,Calendrier!$C$25:$C$267,ER40))</f>
        <v>0</v>
      </c>
      <c r="MG40" s="50">
        <f>IF(ES40="","",COUNTIFS($D$25:$D$267,Parameters!$K$2,$E$25:$E$267,Parameters!$M$4,Calendrier!$C$25:$C$267,ES40)+ COUNTIFS($D$25:$D$267,Parameters!$K$4,$E$25:$E$267,Parameters!$M$4,Calendrier!$C$25:$C$267,ES40))</f>
        <v>0</v>
      </c>
      <c r="MH40" s="50">
        <f>IF(ET40="","",COUNTIFS($D$25:$D$267,Parameters!$K$2,$E$25:$E$267,Parameters!$M$4,Calendrier!$C$25:$C$267,ET40)+ COUNTIFS($D$25:$D$267,Parameters!$K$3,$E$25:$E$267,Parameters!$M$4,Calendrier!$C$25:$C$267,ET40))</f>
        <v>0</v>
      </c>
      <c r="MI40" s="50">
        <f>IF(EU40="","",COUNTIFS($D$25:$D$267,Parameters!$K$2,$E$25:$E$267,Parameters!$M$4,Calendrier!$C$25:$C$267,EU40)+ COUNTIFS($D$25:$D$267,Parameters!$K$4,$E$25:$E$267,Parameters!$M$4,Calendrier!$C$25:$C$267,EU40))</f>
        <v>0</v>
      </c>
      <c r="MJ40" s="50">
        <f>IF(EV40="","",COUNTIFS($D$25:$D$267,Parameters!$K$2,$E$25:$E$267,Parameters!$M$4,Calendrier!$C$25:$C$267,EV40)+ COUNTIFS($D$25:$D$267,Parameters!$K$3,$E$25:$E$267,Parameters!$M$4,Calendrier!$C$25:$C$267,EV40))</f>
        <v>0</v>
      </c>
      <c r="MK40" s="50">
        <f>IF(EW40="","",COUNTIFS($D$25:$D$267,Parameters!$K$2,$E$25:$E$267,Parameters!$M$4,Calendrier!$C$25:$C$267,EW40)+ COUNTIFS($D$25:$D$267,Parameters!$K$4,$E$25:$E$267,Parameters!$M$4,Calendrier!$C$25:$C$267,EW40))</f>
        <v>0</v>
      </c>
      <c r="ML40" s="50">
        <f>IF(EX40="","",COUNTIFS($D$25:$D$267,Parameters!$K$2,$E$25:$E$267,Parameters!$M$4,Calendrier!$C$25:$C$267,EX40)+ COUNTIFS($D$25:$D$267,Parameters!$K$3,$E$25:$E$267,Parameters!$M$4,Calendrier!$C$25:$C$267,EX40))</f>
        <v>0</v>
      </c>
      <c r="MM40" s="50">
        <f>IF(EY40="","",COUNTIFS($D$25:$D$267,Parameters!$K$2,$E$25:$E$267,Parameters!$M$4,Calendrier!$C$25:$C$267,EY40)+ COUNTIFS($D$25:$D$267,Parameters!$K$4,$E$25:$E$267,Parameters!$M$4,Calendrier!$C$25:$C$267,EY40))</f>
        <v>0</v>
      </c>
      <c r="MN40" s="50">
        <f>IF(EZ40="","",COUNTIFS($D$25:$D$267,Parameters!$K$2,$E$25:$E$267,Parameters!$M$4,Calendrier!$C$25:$C$267,EZ40)+ COUNTIFS($D$25:$D$267,Parameters!$K$3,$E$25:$E$267,Parameters!$M$4,Calendrier!$C$25:$C$267,EZ40))</f>
        <v>0</v>
      </c>
      <c r="MO40" s="57">
        <f>IF(FA40="","",COUNTIFS($D$25:$D$267,Parameters!$K$2,$E$25:$E$267,Parameters!$M$4,Calendrier!$C$25:$C$267,FA40)+ COUNTIFS($D$25:$D$267,Parameters!$K$4,$E$25:$E$267,Parameters!$M$4,Calendrier!$C$25:$C$267,FA40))</f>
        <v>0</v>
      </c>
      <c r="MS40" s="49">
        <f>IF(DH40="","",COUNTIFS($D$25:$D$267,Parameters!$K$2,$E$25:$E$267,Parameters!$M$5,Calendrier!$C$25:$C$267,DH40)+ COUNTIFS($D$25:$D$267,Parameters!$K$3,$E$25:$E$267,Parameters!$M$5,Calendrier!$C$25:$C$267,DH40))</f>
        <v>0</v>
      </c>
      <c r="MT40" s="50">
        <f>IF(DI40="","",COUNTIFS($D$25:$D$267,Parameters!$K$2,$E$25:$E$267,Parameters!$M$5,Calendrier!$C$25:$C$267,DI40)+ COUNTIFS($D$25:$D$267,Parameters!$K$4,$E$25:$E$267,Parameters!$M$5,Calendrier!$C$25:$C$267,DI40))</f>
        <v>0</v>
      </c>
      <c r="MU40" s="50">
        <f>IF(DJ40="","",COUNTIFS($D$25:$D$267,Parameters!$K$2,$E$25:$E$267,Parameters!$M$5,Calendrier!$C$25:$C$267,DJ40)+ COUNTIFS($D$25:$D$267,Parameters!$K$3,$E$25:$E$267,Parameters!$M$5,Calendrier!$C$25:$C$267,DJ40))</f>
        <v>0</v>
      </c>
      <c r="MV40" s="50">
        <f>IF(DK40="","",COUNTIFS($D$25:$D$267,Parameters!$K$2,$E$25:$E$267,Parameters!$M$5,Calendrier!$C$25:$C$267,DK40)+ COUNTIFS($D$25:$D$267,Parameters!$K$4,$E$25:$E$267,Parameters!$M$5,Calendrier!$C$25:$C$267,DK40))</f>
        <v>0</v>
      </c>
      <c r="MW40" s="50">
        <f>IF(DL40="","",COUNTIFS($D$25:$D$267,Parameters!$K$2,$E$25:$E$267,Parameters!$M$5,Calendrier!$C$25:$C$267,DL40)+ COUNTIFS($D$25:$D$267,Parameters!$K$3,$E$25:$E$267,Parameters!$M$5,Calendrier!$C$25:$C$267,DL40))</f>
        <v>0</v>
      </c>
      <c r="MX40" s="50">
        <f>IF(DM40="","",COUNTIFS($D$25:$D$267,Parameters!$K$2,$E$25:$E$267,Parameters!$M$5,Calendrier!$C$25:$C$267,DM40)+ COUNTIFS($D$25:$D$267,Parameters!$K$4,$E$25:$E$267,Parameters!$M$5,Calendrier!$C$25:$C$267,DM40))</f>
        <v>0</v>
      </c>
      <c r="MY40" s="50">
        <f>IF(DN40="","",COUNTIFS($D$25:$D$267,Parameters!$K$2,$E$25:$E$267,Parameters!$M$5,Calendrier!$C$25:$C$267,DN40)+ COUNTIFS($D$25:$D$267,Parameters!$K$3,$E$25:$E$267,Parameters!$M$5,Calendrier!$C$25:$C$267,DN40))</f>
        <v>0</v>
      </c>
      <c r="MZ40" s="50">
        <f>IF(DO40="","",COUNTIFS($D$25:$D$267,Parameters!$K$2,$E$25:$E$267,Parameters!$M$5,Calendrier!$C$25:$C$267,DO40)+ COUNTIFS($D$25:$D$267,Parameters!$K$4,$E$25:$E$267,Parameters!$M$5,Calendrier!$C$25:$C$267,DO40))</f>
        <v>0</v>
      </c>
      <c r="NA40" s="50">
        <f>IF(DP40="","",COUNTIFS($D$25:$D$267,Parameters!$K$2,$E$25:$E$267,Parameters!$M$5,Calendrier!$C$25:$C$267,DP40)+ COUNTIFS($D$25:$D$267,Parameters!$K$3,$E$25:$E$267,Parameters!$M$5,Calendrier!$C$25:$C$267,DP40))</f>
        <v>0</v>
      </c>
      <c r="NB40" s="50">
        <f>IF(DQ40="","",COUNTIFS($D$25:$D$267,Parameters!$K$2,$E$25:$E$267,Parameters!$M$5,Calendrier!$C$25:$C$267,DQ40)+ COUNTIFS($D$25:$D$267,Parameters!$K$4,$E$25:$E$267,Parameters!$M$5,Calendrier!$C$25:$C$267,DQ40))</f>
        <v>0</v>
      </c>
      <c r="NC40" s="50">
        <f>IF(DR40="","",COUNTIFS($D$25:$D$267,Parameters!$K$2,$E$25:$E$267,Parameters!$M$5,Calendrier!$C$25:$C$267,DR40)+ COUNTIFS($D$25:$D$267,Parameters!$K$3,$E$25:$E$267,Parameters!$M$5,Calendrier!$C$25:$C$267,DR40))</f>
        <v>0</v>
      </c>
      <c r="ND40" s="50">
        <f>IF(DS40="","",COUNTIFS($D$25:$D$267,Parameters!$K$2,$E$25:$E$267,Parameters!$M$5,Calendrier!$C$25:$C$267,DS40)+ COUNTIFS($D$25:$D$267,Parameters!$K$4,$E$25:$E$267,Parameters!$M$5,Calendrier!$C$25:$C$267,DS40))</f>
        <v>0</v>
      </c>
      <c r="NE40" s="50">
        <f>IF(DT40="","",COUNTIFS($D$25:$D$267,Parameters!$K$2,$E$25:$E$267,Parameters!$M$5,Calendrier!$C$25:$C$267,DT40)+ COUNTIFS($D$25:$D$267,Parameters!$K$3,$E$25:$E$267,Parameters!$M$5,Calendrier!$C$25:$C$267,DT40))</f>
        <v>0</v>
      </c>
      <c r="NF40" s="57">
        <f>IF(DU40="","",COUNTIFS($D$25:$D$267,Parameters!$K$2,$E$25:$E$267,Parameters!$M$5,Calendrier!$C$25:$C$267,DU40)+ COUNTIFS($D$25:$D$267,Parameters!$K$4,$E$25:$E$267,Parameters!$M$5,Calendrier!$C$25:$C$267,DU40))</f>
        <v>0</v>
      </c>
      <c r="NI40" s="49">
        <f>IF(DX40="","",COUNTIFS($D$25:$D$267,Parameters!$K$2,$E$25:$E$267,Parameters!$M$5,Calendrier!$C$25:$C$267,DX40)+ COUNTIFS($D$25:$D$267,Parameters!$K$3,$E$25:$E$267,Parameters!$M$5,Calendrier!$C$25:$C$267,DX40))</f>
        <v>0</v>
      </c>
      <c r="NJ40" s="50">
        <f>IF(DY40="","",COUNTIFS($D$25:$D$267,Parameters!$K$2,$E$25:$E$267,Parameters!$M$5,Calendrier!$C$25:$C$267,DY40)+ COUNTIFS($D$25:$D$267,Parameters!$K$4,$E$25:$E$267,Parameters!$M$5,Calendrier!$C$25:$C$267,DY40))</f>
        <v>0</v>
      </c>
      <c r="NK40" s="50">
        <f>IF(DZ40="","",COUNTIFS($D$25:$D$267,Parameters!$K$2,$E$25:$E$267,Parameters!$M$5,Calendrier!$C$25:$C$267,DZ40)+ COUNTIFS($D$25:$D$267,Parameters!$K$3,$E$25:$E$267,Parameters!$M$5,Calendrier!$C$25:$C$267,DZ40))</f>
        <v>0</v>
      </c>
      <c r="NL40" s="50">
        <f>IF(EA40="","",COUNTIFS($D$25:$D$267,Parameters!$K$2,$E$25:$E$267,Parameters!$M$5,Calendrier!$C$25:$C$267,EA40)+ COUNTIFS($D$25:$D$267,Parameters!$K$4,$E$25:$E$267,Parameters!$M$5,Calendrier!$C$25:$C$267,EA40))</f>
        <v>0</v>
      </c>
      <c r="NM40" s="50">
        <f>IF(EB40="","",COUNTIFS($D$25:$D$267,Parameters!$K$2,$E$25:$E$267,Parameters!$M$5,Calendrier!$C$25:$C$267,EB40)+ COUNTIFS($D$25:$D$267,Parameters!$K$3,$E$25:$E$267,Parameters!$M$5,Calendrier!$C$25:$C$267,EB40))</f>
        <v>0</v>
      </c>
      <c r="NN40" s="50">
        <f>IF(EC40="","",COUNTIFS($D$25:$D$267,Parameters!$K$2,$E$25:$E$267,Parameters!$M$5,Calendrier!$C$25:$C$267,EC40)+ COUNTIFS($D$25:$D$267,Parameters!$K$4,$E$25:$E$267,Parameters!$M$5,Calendrier!$C$25:$C$267,EC40))</f>
        <v>0</v>
      </c>
      <c r="NO40" s="50">
        <f>IF(ED40="","",COUNTIFS($D$25:$D$267,Parameters!$K$2,$E$25:$E$267,Parameters!$M$5,Calendrier!$C$25:$C$267,ED40)+ COUNTIFS($D$25:$D$267,Parameters!$K$3,$E$25:$E$267,Parameters!$M$5,Calendrier!$C$25:$C$267,ED40))</f>
        <v>0</v>
      </c>
      <c r="NP40" s="50">
        <f>IF(EE40="","",COUNTIFS($D$25:$D$267,Parameters!$K$2,$E$25:$E$267,Parameters!$M$5,Calendrier!$C$25:$C$267,EE40)+ COUNTIFS($D$25:$D$267,Parameters!$K$4,$E$25:$E$267,Parameters!$M$5,Calendrier!$C$25:$C$267,EE40))</f>
        <v>0</v>
      </c>
      <c r="NQ40" s="50">
        <f>IF(EF40="","",COUNTIFS($D$25:$D$267,Parameters!$K$2,$E$25:$E$267,Parameters!$M$5,Calendrier!$C$25:$C$267,EF40)+ COUNTIFS($D$25:$D$267,Parameters!$K$3,$E$25:$E$267,Parameters!$M$5,Calendrier!$C$25:$C$267,EF40))</f>
        <v>0</v>
      </c>
      <c r="NR40" s="50">
        <f>IF(EG40="","",COUNTIFS($D$25:$D$267,Parameters!$K$2,$E$25:$E$267,Parameters!$M$5,Calendrier!$C$25:$C$267,EG40)+ COUNTIFS($D$25:$D$267,Parameters!$K$4,$E$25:$E$267,Parameters!$M$5,Calendrier!$C$25:$C$267,EG40))</f>
        <v>0</v>
      </c>
      <c r="NS40" s="50">
        <f>IF(EH40="","",COUNTIFS($D$25:$D$267,Parameters!$K$2,$E$25:$E$267,Parameters!$M$5,Calendrier!$C$25:$C$267,EH40)+ COUNTIFS($D$25:$D$267,Parameters!$K$3,$E$25:$E$267,Parameters!$M$5,Calendrier!$C$25:$C$267,EH40))</f>
        <v>0</v>
      </c>
      <c r="NT40" s="50">
        <f>IF(EI40="","",COUNTIFS($D$25:$D$267,Parameters!$K$2,$E$25:$E$267,Parameters!$M$5,Calendrier!$C$25:$C$267,EI40)+ COUNTIFS($D$25:$D$267,Parameters!$K$4,$E$25:$E$267,Parameters!$M$5,Calendrier!$C$25:$C$267,EI40))</f>
        <v>0</v>
      </c>
      <c r="NU40" s="50">
        <f>IF(EJ40="","",COUNTIFS($D$25:$D$267,Parameters!$K$2,$E$25:$E$267,Parameters!$M$5,Calendrier!$C$25:$C$267,EJ40)+ COUNTIFS($D$25:$D$267,Parameters!$K$3,$E$25:$E$267,Parameters!$M$5,Calendrier!$C$25:$C$267,EJ40))</f>
        <v>0</v>
      </c>
      <c r="NV40" s="57">
        <f>IF(EK40="","",COUNTIFS($D$25:$D$267,Parameters!$K$2,$E$25:$E$267,Parameters!$M$5,Calendrier!$C$25:$C$267,EK40)+ COUNTIFS($D$25:$D$267,Parameters!$K$4,$E$25:$E$267,Parameters!$M$5,Calendrier!$C$25:$C$267,EK40))</f>
        <v>0</v>
      </c>
      <c r="NY40" s="49">
        <f>IF(EN40="","",COUNTIFS($D$25:$D$267,Parameters!$K$2,$E$25:$E$267,Parameters!$M$5,Calendrier!$C$25:$C$267,EN40)+ COUNTIFS($D$25:$D$267,Parameters!$K$3,$E$25:$E$267,Parameters!$M$5,Calendrier!$C$25:$C$267,EN40))</f>
        <v>0</v>
      </c>
      <c r="NZ40" s="50">
        <f>IF(EO40="","",COUNTIFS($D$25:$D$267,Parameters!$K$2,$E$25:$E$267,Parameters!$M$5,Calendrier!$C$25:$C$267,EO40)+ COUNTIFS($D$25:$D$267,Parameters!$K$4,$E$25:$E$267,Parameters!$M$5,Calendrier!$C$25:$C$267,EO40))</f>
        <v>0</v>
      </c>
      <c r="OA40" s="50">
        <f>IF(EP40="","",COUNTIFS($D$25:$D$267,Parameters!$K$2,$E$25:$E$267,Parameters!$M$5,Calendrier!$C$25:$C$267,EP40)+ COUNTIFS($D$25:$D$267,Parameters!$K$3,$E$25:$E$267,Parameters!$M$5,Calendrier!$C$25:$C$267,EP40))</f>
        <v>0</v>
      </c>
      <c r="OB40" s="50">
        <f>IF(EQ40="","",COUNTIFS($D$25:$D$267,Parameters!$K$2,$E$25:$E$267,Parameters!$M$5,Calendrier!$C$25:$C$267,EQ40)+ COUNTIFS($D$25:$D$267,Parameters!$K$4,$E$25:$E$267,Parameters!$M$5,Calendrier!$C$25:$C$267,EQ40))</f>
        <v>0</v>
      </c>
      <c r="OC40" s="50">
        <f>IF(ER40="","",COUNTIFS($D$25:$D$267,Parameters!$K$2,$E$25:$E$267,Parameters!$M$5,Calendrier!$C$25:$C$267,ER40)+ COUNTIFS($D$25:$D$267,Parameters!$K$3,$E$25:$E$267,Parameters!$M$5,Calendrier!$C$25:$C$267,ER40))</f>
        <v>0</v>
      </c>
      <c r="OD40" s="50">
        <f>IF(ES40="","",COUNTIFS($D$25:$D$267,Parameters!$K$2,$E$25:$E$267,Parameters!$M$5,Calendrier!$C$25:$C$267,ES40)+ COUNTIFS($D$25:$D$267,Parameters!$K$4,$E$25:$E$267,Parameters!$M$5,Calendrier!$C$25:$C$267,ES40))</f>
        <v>0</v>
      </c>
      <c r="OE40" s="50">
        <f>IF(ET40="","",COUNTIFS($D$25:$D$267,Parameters!$K$2,$E$25:$E$267,Parameters!$M$5,Calendrier!$C$25:$C$267,ET40)+ COUNTIFS($D$25:$D$267,Parameters!$K$3,$E$25:$E$267,Parameters!$M$5,Calendrier!$C$25:$C$267,ET40))</f>
        <v>0</v>
      </c>
      <c r="OF40" s="50">
        <f>IF(EU40="","",COUNTIFS($D$25:$D$267,Parameters!$K$2,$E$25:$E$267,Parameters!$M$5,Calendrier!$C$25:$C$267,EU40)+ COUNTIFS($D$25:$D$267,Parameters!$K$4,$E$25:$E$267,Parameters!$M$5,Calendrier!$C$25:$C$267,EU40))</f>
        <v>0</v>
      </c>
      <c r="OG40" s="50">
        <f>IF(EV40="","",COUNTIFS($D$25:$D$267,Parameters!$K$2,$E$25:$E$267,Parameters!$M$5,Calendrier!$C$25:$C$267,EV40)+ COUNTIFS($D$25:$D$267,Parameters!$K$3,$E$25:$E$267,Parameters!$M$5,Calendrier!$C$25:$C$267,EV40))</f>
        <v>0</v>
      </c>
      <c r="OH40" s="50">
        <f>IF(EW40="","",COUNTIFS($D$25:$D$267,Parameters!$K$2,$E$25:$E$267,Parameters!$M$5,Calendrier!$C$25:$C$267,EW40)+ COUNTIFS($D$25:$D$267,Parameters!$K$4,$E$25:$E$267,Parameters!$M$5,Calendrier!$C$25:$C$267,EW40))</f>
        <v>0</v>
      </c>
      <c r="OI40" s="50">
        <f>IF(EX40="","",COUNTIFS($D$25:$D$267,Parameters!$K$2,$E$25:$E$267,Parameters!$M$5,Calendrier!$C$25:$C$267,EX40)+ COUNTIFS($D$25:$D$267,Parameters!$K$3,$E$25:$E$267,Parameters!$M$5,Calendrier!$C$25:$C$267,EX40))</f>
        <v>0</v>
      </c>
      <c r="OJ40" s="50">
        <f>IF(EY40="","",COUNTIFS($D$25:$D$267,Parameters!$K$2,$E$25:$E$267,Parameters!$M$5,Calendrier!$C$25:$C$267,EY40)+ COUNTIFS($D$25:$D$267,Parameters!$K$4,$E$25:$E$267,Parameters!$M$5,Calendrier!$C$25:$C$267,EY40))</f>
        <v>0</v>
      </c>
      <c r="OK40" s="50">
        <f>IF(EZ40="","",COUNTIFS($D$25:$D$267,Parameters!$K$2,$E$25:$E$267,Parameters!$M$5,Calendrier!$C$25:$C$267,EZ40)+ COUNTIFS($D$25:$D$267,Parameters!$K$3,$E$25:$E$267,Parameters!$M$5,Calendrier!$C$25:$C$267,EZ40))</f>
        <v>0</v>
      </c>
      <c r="OL40" s="57">
        <f>IF(FA40="","",COUNTIFS($D$25:$D$267,Parameters!$K$2,$E$25:$E$267,Parameters!$M$5,Calendrier!$C$25:$C$267,FA40)+ COUNTIFS($D$25:$D$267,Parameters!$K$4,$E$25:$E$267,Parameters!$M$5,Calendrier!$C$25:$C$267,FA40))</f>
        <v>0</v>
      </c>
      <c r="OP40" s="49">
        <f>IF(DH40="","",COUNTIFS(Parameters!$Y:$Y,$BF$4,Parameters!$X:$X,DH40))</f>
        <v>1</v>
      </c>
      <c r="OQ40" s="50">
        <f>IF(DI40="","",COUNTIFS(Parameters!$Y:$Y,$BF$4,Parameters!$X:$X,DI40))</f>
        <v>1</v>
      </c>
      <c r="OR40" s="50">
        <f>IF(DJ40="","",COUNTIFS(Parameters!$Y:$Y,$BF$4,Parameters!$X:$X,DJ40))</f>
        <v>1</v>
      </c>
      <c r="OS40" s="50">
        <f>IF(DK40="","",COUNTIFS(Parameters!$Y:$Y,$BF$4,Parameters!$X:$X,DK40))</f>
        <v>1</v>
      </c>
      <c r="OT40" s="50">
        <f>IF(DL40="","",COUNTIFS(Parameters!$Y:$Y,$BF$4,Parameters!$X:$X,DL40))</f>
        <v>1</v>
      </c>
      <c r="OU40" s="50">
        <f>IF(DM40="","",COUNTIFS(Parameters!$Y:$Y,$BF$4,Parameters!$X:$X,DM40))</f>
        <v>1</v>
      </c>
      <c r="OV40" s="50">
        <f>IF(DN40="","",COUNTIFS(Parameters!$Y:$Y,$BF$4,Parameters!$X:$X,DN40))</f>
        <v>1</v>
      </c>
      <c r="OW40" s="50">
        <f>IF(DO40="","",COUNTIFS(Parameters!$Y:$Y,$BF$4,Parameters!$X:$X,DO40))</f>
        <v>1</v>
      </c>
      <c r="OX40" s="50">
        <f>IF(DP40="","",COUNTIFS(Parameters!$Y:$Y,$BF$4,Parameters!$X:$X,DP40))</f>
        <v>1</v>
      </c>
      <c r="OY40" s="50">
        <f>IF(DQ40="","",COUNTIFS(Parameters!$Y:$Y,$BF$4,Parameters!$X:$X,DQ40))</f>
        <v>1</v>
      </c>
      <c r="OZ40" s="50">
        <f>IF(DR40="","",COUNTIFS(Parameters!$Y:$Y,$BF$4,Parameters!$X:$X,DR40))</f>
        <v>1</v>
      </c>
      <c r="PA40" s="50">
        <f>IF(DS40="","",COUNTIFS(Parameters!$Y:$Y,$BF$4,Parameters!$X:$X,DS40))</f>
        <v>1</v>
      </c>
      <c r="PB40" s="50">
        <f>IF(DT40="","",COUNTIFS(Parameters!$Y:$Y,$BF$4,Parameters!$X:$X,DT40))</f>
        <v>1</v>
      </c>
      <c r="PC40" s="57">
        <f>IF(DU40="","",COUNTIFS(Parameters!$Y:$Y,$BF$4,Parameters!$X:$X,DU40))</f>
        <v>1</v>
      </c>
      <c r="PF40" s="49">
        <f>IF(DX40="","",COUNTIFS(Parameters!$Y:$Y,$BF$4,Parameters!$X:$X,DX40))</f>
        <v>0</v>
      </c>
      <c r="PG40" s="50">
        <f>IF(DY40="","",COUNTIFS(Parameters!$Y:$Y,$BF$4,Parameters!$X:$X,DY40))</f>
        <v>0</v>
      </c>
      <c r="PH40" s="50">
        <f>IF(DZ40="","",COUNTIFS(Parameters!$Y:$Y,$BF$4,Parameters!$X:$X,DZ40))</f>
        <v>0</v>
      </c>
      <c r="PI40" s="50">
        <f>IF(EA40="","",COUNTIFS(Parameters!$Y:$Y,$BF$4,Parameters!$X:$X,EA40))</f>
        <v>0</v>
      </c>
      <c r="PJ40" s="50">
        <f>IF(EB40="","",COUNTIFS(Parameters!$Y:$Y,$BF$4,Parameters!$X:$X,EB40))</f>
        <v>0</v>
      </c>
      <c r="PK40" s="50">
        <f>IF(EC40="","",COUNTIFS(Parameters!$Y:$Y,$BF$4,Parameters!$X:$X,EC40))</f>
        <v>0</v>
      </c>
      <c r="PL40" s="50">
        <f>IF(ED40="","",COUNTIFS(Parameters!$Y:$Y,$BF$4,Parameters!$X:$X,ED40))</f>
        <v>0</v>
      </c>
      <c r="PM40" s="50">
        <f>IF(EE40="","",COUNTIFS(Parameters!$Y:$Y,$BF$4,Parameters!$X:$X,EE40))</f>
        <v>0</v>
      </c>
      <c r="PN40" s="50">
        <f>IF(EF40="","",COUNTIFS(Parameters!$Y:$Y,$BF$4,Parameters!$X:$X,EF40))</f>
        <v>0</v>
      </c>
      <c r="PO40" s="50">
        <f>IF(EG40="","",COUNTIFS(Parameters!$Y:$Y,$BF$4,Parameters!$X:$X,EG40))</f>
        <v>0</v>
      </c>
      <c r="PP40" s="50">
        <f>IF(EH40="","",COUNTIFS(Parameters!$Y:$Y,$BF$4,Parameters!$X:$X,EH40))</f>
        <v>0</v>
      </c>
      <c r="PQ40" s="50">
        <f>IF(EI40="","",COUNTIFS(Parameters!$Y:$Y,$BF$4,Parameters!$X:$X,EI40))</f>
        <v>0</v>
      </c>
      <c r="PR40" s="50">
        <f>IF(EJ40="","",COUNTIFS(Parameters!$Y:$Y,$BF$4,Parameters!$X:$X,EJ40))</f>
        <v>0</v>
      </c>
      <c r="PS40" s="57">
        <f>IF(EK40="","",COUNTIFS(Parameters!$Y:$Y,$BF$4,Parameters!$X:$X,EK40))</f>
        <v>0</v>
      </c>
      <c r="PV40" s="49">
        <f>IF(EN40="","",COUNTIFS(Parameters!$Y:$Y,$BF$4,Parameters!$X:$X,EN40))</f>
        <v>0</v>
      </c>
      <c r="PW40" s="50">
        <f>IF(EO40="","",COUNTIFS(Parameters!$Y:$Y,$BF$4,Parameters!$X:$X,EO40))</f>
        <v>0</v>
      </c>
      <c r="PX40" s="50">
        <f>IF(EP40="","",COUNTIFS(Parameters!$Y:$Y,$BF$4,Parameters!$X:$X,EP40))</f>
        <v>0</v>
      </c>
      <c r="PY40" s="50">
        <f>IF(EQ40="","",COUNTIFS(Parameters!$Y:$Y,$BF$4,Parameters!$X:$X,EQ40))</f>
        <v>0</v>
      </c>
      <c r="PZ40" s="50">
        <f>IF(ER40="","",COUNTIFS(Parameters!$Y:$Y,$BF$4,Parameters!$X:$X,ER40))</f>
        <v>0</v>
      </c>
      <c r="QA40" s="50">
        <f>IF(ES40="","",COUNTIFS(Parameters!$Y:$Y,$BF$4,Parameters!$X:$X,ES40))</f>
        <v>0</v>
      </c>
      <c r="QB40" s="50">
        <f>IF(ET40="","",COUNTIFS(Parameters!$Y:$Y,$BF$4,Parameters!$X:$X,ET40))</f>
        <v>1</v>
      </c>
      <c r="QC40" s="50">
        <f>IF(EU40="","",COUNTIFS(Parameters!$Y:$Y,$BF$4,Parameters!$X:$X,EU40))</f>
        <v>1</v>
      </c>
      <c r="QD40" s="50">
        <f>IF(EV40="","",COUNTIFS(Parameters!$Y:$Y,$BF$4,Parameters!$X:$X,EV40))</f>
        <v>1</v>
      </c>
      <c r="QE40" s="50">
        <f>IF(EW40="","",COUNTIFS(Parameters!$Y:$Y,$BF$4,Parameters!$X:$X,EW40))</f>
        <v>1</v>
      </c>
      <c r="QF40" s="50">
        <f>IF(EX40="","",COUNTIFS(Parameters!$Y:$Y,$BF$4,Parameters!$X:$X,EX40))</f>
        <v>1</v>
      </c>
      <c r="QG40" s="50">
        <f>IF(EY40="","",COUNTIFS(Parameters!$Y:$Y,$BF$4,Parameters!$X:$X,EY40))</f>
        <v>1</v>
      </c>
      <c r="QH40" s="50">
        <f>IF(EZ40="","",COUNTIFS(Parameters!$Y:$Y,$BF$4,Parameters!$X:$X,EZ40))</f>
        <v>1</v>
      </c>
      <c r="QI40" s="57">
        <f>IF(FA40="","",COUNTIFS(Parameters!$Y:$Y,$BF$4,Parameters!$X:$X,FA40))</f>
        <v>1</v>
      </c>
      <c r="QN40" s="49">
        <f>IF(DH40="","",COUNTIFS($D$25:$D$267,Parameters!$K$2,$E$25:$E$267,Parameters!$M$6,Calendrier!$C$25:$C$267,DH40)+ COUNTIFS($D$25:$D$267,Parameters!$K$3,$E$25:$E$267,Parameters!$M$6,Calendrier!$C$25:$C$267,DH40))</f>
        <v>0</v>
      </c>
      <c r="QO40" s="50">
        <f>IF(DI40="","",COUNTIFS($D$25:$D$267,Parameters!$K$2,$E$25:$E$267,Parameters!$M$6,Calendrier!$C$25:$C$267,DI40)+ COUNTIFS($D$25:$D$267,Parameters!$K$4,$E$25:$E$267,Parameters!$M$6,Calendrier!$C$25:$C$267,DI40))</f>
        <v>0</v>
      </c>
      <c r="QP40" s="50">
        <f>IF(DJ40="","",COUNTIFS($D$25:$D$267,Parameters!$K$2,$E$25:$E$267,Parameters!$M$6,Calendrier!$C$25:$C$267,DJ40)+ COUNTIFS($D$25:$D$267,Parameters!$K$3,$E$25:$E$267,Parameters!$M$6,Calendrier!$C$25:$C$267,DJ40))</f>
        <v>0</v>
      </c>
      <c r="QQ40" s="50">
        <f>IF(DK40="","",COUNTIFS($D$25:$D$267,Parameters!$K$2,$E$25:$E$267,Parameters!$M$6,Calendrier!$C$25:$C$267,DK40)+ COUNTIFS($D$25:$D$267,Parameters!$K$4,$E$25:$E$267,Parameters!$M$6,Calendrier!$C$25:$C$267,DK40))</f>
        <v>0</v>
      </c>
      <c r="QR40" s="50">
        <f>IF(DL40="","",COUNTIFS($D$25:$D$267,Parameters!$K$2,$E$25:$E$267,Parameters!$M$6,Calendrier!$C$25:$C$267,DL40)+ COUNTIFS($D$25:$D$267,Parameters!$K$3,$E$25:$E$267,Parameters!$M$6,Calendrier!$C$25:$C$267,DL40))</f>
        <v>0</v>
      </c>
      <c r="QS40" s="50">
        <f>IF(DM40="","",COUNTIFS($D$25:$D$267,Parameters!$K$2,$E$25:$E$267,Parameters!$M$6,Calendrier!$C$25:$C$267,DM40)+ COUNTIFS($D$25:$D$267,Parameters!$K$4,$E$25:$E$267,Parameters!$M$6,Calendrier!$C$25:$C$267,DM40))</f>
        <v>0</v>
      </c>
      <c r="QT40" s="50">
        <f>IF(DN40="","",COUNTIFS($D$25:$D$267,Parameters!$K$2,$E$25:$E$267,Parameters!$M$6,Calendrier!$C$25:$C$267,DN40)+ COUNTIFS($D$25:$D$267,Parameters!$K$3,$E$25:$E$267,Parameters!$M$6,Calendrier!$C$25:$C$267,DN40))</f>
        <v>0</v>
      </c>
      <c r="QU40" s="50">
        <f>IF(DO40="","",COUNTIFS($D$25:$D$267,Parameters!$K$2,$E$25:$E$267,Parameters!$M$6,Calendrier!$C$25:$C$267,DO40)+ COUNTIFS($D$25:$D$267,Parameters!$K$4,$E$25:$E$267,Parameters!$M$6,Calendrier!$C$25:$C$267,DO40))</f>
        <v>0</v>
      </c>
      <c r="QV40" s="50">
        <f>IF(DP40="","",COUNTIFS($D$25:$D$267,Parameters!$K$2,$E$25:$E$267,Parameters!$M$6,Calendrier!$C$25:$C$267,DP40)+ COUNTIFS($D$25:$D$267,Parameters!$K$3,$E$25:$E$267,Parameters!$M$6,Calendrier!$C$25:$C$267,DP40))</f>
        <v>0</v>
      </c>
      <c r="QW40" s="50">
        <f>IF(DQ40="","",COUNTIFS($D$25:$D$267,Parameters!$K$2,$E$25:$E$267,Parameters!$M$6,Calendrier!$C$25:$C$267,DQ40)+ COUNTIFS($D$25:$D$267,Parameters!$K$4,$E$25:$E$267,Parameters!$M$6,Calendrier!$C$25:$C$267,DQ40))</f>
        <v>0</v>
      </c>
      <c r="QX40" s="50">
        <f>IF(DR40="","",COUNTIFS($D$25:$D$267,Parameters!$K$2,$E$25:$E$267,Parameters!$M$6,Calendrier!$C$25:$C$267,DR40)+ COUNTIFS($D$25:$D$267,Parameters!$K$3,$E$25:$E$267,Parameters!$M$6,Calendrier!$C$25:$C$267,DR40))</f>
        <v>0</v>
      </c>
      <c r="QY40" s="50">
        <f>IF(DS40="","",COUNTIFS($D$25:$D$267,Parameters!$K$2,$E$25:$E$267,Parameters!$M$6,Calendrier!$C$25:$C$267,DS40)+ COUNTIFS($D$25:$D$267,Parameters!$K$4,$E$25:$E$267,Parameters!$M$6,Calendrier!$C$25:$C$267,DS40))</f>
        <v>0</v>
      </c>
      <c r="QZ40" s="50">
        <f>IF(DT40="","",COUNTIFS($D$25:$D$267,Parameters!$K$2,$E$25:$E$267,Parameters!$M$6,Calendrier!$C$25:$C$267,DT40)+ COUNTIFS($D$25:$D$267,Parameters!$K$3,$E$25:$E$267,Parameters!$M$6,Calendrier!$C$25:$C$267,DT40))</f>
        <v>0</v>
      </c>
      <c r="RA40" s="57">
        <f>IF(DU40="","",COUNTIFS($D$25:$D$267,Parameters!$K$2,$E$25:$E$267,Parameters!$M$6,Calendrier!$C$25:$C$267,DU40)+ COUNTIFS($D$25:$D$267,Parameters!$K$4,$E$25:$E$267,Parameters!$M$6,Calendrier!$C$25:$C$267,DU40))</f>
        <v>0</v>
      </c>
      <c r="RD40" s="49">
        <f>IF(DX40="","",COUNTIFS($D$25:$D$267,Parameters!$K$2,$E$25:$E$267,Parameters!$M$6,Calendrier!$C$25:$C$267,DX40)+ COUNTIFS($D$25:$D$267,Parameters!$K$3,$E$25:$E$267,Parameters!$M$6,Calendrier!$C$25:$C$267,DX40))</f>
        <v>0</v>
      </c>
      <c r="RE40" s="50">
        <f>IF(DY40="","",COUNTIFS($D$25:$D$267,Parameters!$K$2,$E$25:$E$267,Parameters!$M$6,Calendrier!$C$25:$C$267,DY40)+ COUNTIFS($D$25:$D$267,Parameters!$K$4,$E$25:$E$267,Parameters!$M$6,Calendrier!$C$25:$C$267,DY40))</f>
        <v>0</v>
      </c>
      <c r="RF40" s="50">
        <f>IF(DZ40="","",COUNTIFS($D$25:$D$267,Parameters!$K$2,$E$25:$E$267,Parameters!$M$6,Calendrier!$C$25:$C$267,DZ40)+ COUNTIFS($D$25:$D$267,Parameters!$K$3,$E$25:$E$267,Parameters!$M$6,Calendrier!$C$25:$C$267,DZ40))</f>
        <v>0</v>
      </c>
      <c r="RG40" s="50">
        <f>IF(EA40="","",COUNTIFS($D$25:$D$267,Parameters!$K$2,$E$25:$E$267,Parameters!$M$6,Calendrier!$C$25:$C$267,EA40)+ COUNTIFS($D$25:$D$267,Parameters!$K$4,$E$25:$E$267,Parameters!$M$6,Calendrier!$C$25:$C$267,EA40))</f>
        <v>0</v>
      </c>
      <c r="RH40" s="50">
        <f>IF(EB40="","",COUNTIFS($D$25:$D$267,Parameters!$K$2,$E$25:$E$267,Parameters!$M$6,Calendrier!$C$25:$C$267,EB40)+ COUNTIFS($D$25:$D$267,Parameters!$K$3,$E$25:$E$267,Parameters!$M$6,Calendrier!$C$25:$C$267,EB40))</f>
        <v>0</v>
      </c>
      <c r="RI40" s="50">
        <f>IF(EC40="","",COUNTIFS($D$25:$D$267,Parameters!$K$2,$E$25:$E$267,Parameters!$M$6,Calendrier!$C$25:$C$267,EC40)+ COUNTIFS($D$25:$D$267,Parameters!$K$4,$E$25:$E$267,Parameters!$M$6,Calendrier!$C$25:$C$267,EC40))</f>
        <v>0</v>
      </c>
      <c r="RJ40" s="50">
        <f>IF(ED40="","",COUNTIFS($D$25:$D$267,Parameters!$K$2,$E$25:$E$267,Parameters!$M$6,Calendrier!$C$25:$C$267,ED40)+ COUNTIFS($D$25:$D$267,Parameters!$K$3,$E$25:$E$267,Parameters!$M$6,Calendrier!$C$25:$C$267,ED40))</f>
        <v>0</v>
      </c>
      <c r="RK40" s="50">
        <f>IF(EE40="","",COUNTIFS($D$25:$D$267,Parameters!$K$2,$E$25:$E$267,Parameters!$M$6,Calendrier!$C$25:$C$267,EE40)+ COUNTIFS($D$25:$D$267,Parameters!$K$4,$E$25:$E$267,Parameters!$M$6,Calendrier!$C$25:$C$267,EE40))</f>
        <v>0</v>
      </c>
      <c r="RL40" s="50">
        <f>IF(EF40="","",COUNTIFS($D$25:$D$267,Parameters!$K$2,$E$25:$E$267,Parameters!$M$6,Calendrier!$C$25:$C$267,EF40)+ COUNTIFS($D$25:$D$267,Parameters!$K$3,$E$25:$E$267,Parameters!$M$6,Calendrier!$C$25:$C$267,EF40))</f>
        <v>0</v>
      </c>
      <c r="RM40" s="50">
        <f>IF(EG40="","",COUNTIFS($D$25:$D$267,Parameters!$K$2,$E$25:$E$267,Parameters!$M$6,Calendrier!$C$25:$C$267,EG40)+ COUNTIFS($D$25:$D$267,Parameters!$K$4,$E$25:$E$267,Parameters!$M$6,Calendrier!$C$25:$C$267,EG40))</f>
        <v>0</v>
      </c>
      <c r="RN40" s="50">
        <f>IF(EH40="","",COUNTIFS($D$25:$D$267,Parameters!$K$2,$E$25:$E$267,Parameters!$M$6,Calendrier!$C$25:$C$267,EH40)+ COUNTIFS($D$25:$D$267,Parameters!$K$3,$E$25:$E$267,Parameters!$M$6,Calendrier!$C$25:$C$267,EH40))</f>
        <v>0</v>
      </c>
      <c r="RO40" s="50">
        <f>IF(EI40="","",COUNTIFS($D$25:$D$267,Parameters!$K$2,$E$25:$E$267,Parameters!$M$6,Calendrier!$C$25:$C$267,EI40)+ COUNTIFS($D$25:$D$267,Parameters!$K$4,$E$25:$E$267,Parameters!$M$6,Calendrier!$C$25:$C$267,EI40))</f>
        <v>0</v>
      </c>
      <c r="RP40" s="50">
        <f>IF(EJ40="","",COUNTIFS($D$25:$D$267,Parameters!$K$2,$E$25:$E$267,Parameters!$M$6,Calendrier!$C$25:$C$267,EJ40)+ COUNTIFS($D$25:$D$267,Parameters!$K$3,$E$25:$E$267,Parameters!$M$6,Calendrier!$C$25:$C$267,EJ40))</f>
        <v>0</v>
      </c>
      <c r="RQ40" s="57">
        <f>IF(EK40="","",COUNTIFS($D$25:$D$267,Parameters!$K$2,$E$25:$E$267,Parameters!$M$6,Calendrier!$C$25:$C$267,EK40)+ COUNTIFS($D$25:$D$267,Parameters!$K$4,$E$25:$E$267,Parameters!$M$6,Calendrier!$C$25:$C$267,EK40))</f>
        <v>0</v>
      </c>
      <c r="RT40" s="49">
        <f>IF(EN40="","",COUNTIFS($D$25:$D$267,Parameters!$K$2,$E$25:$E$267,Parameters!$M$6,Calendrier!$C$25:$C$267,EN40)+ COUNTIFS($D$25:$D$267,Parameters!$K$3,$E$25:$E$267,Parameters!$M$6,Calendrier!$C$25:$C$267,EN40))</f>
        <v>0</v>
      </c>
      <c r="RU40" s="50">
        <f>IF(EO40="","",COUNTIFS($D$25:$D$267,Parameters!$K$2,$E$25:$E$267,Parameters!$M$6,Calendrier!$C$25:$C$267,EO40)+ COUNTIFS($D$25:$D$267,Parameters!$K$4,$E$25:$E$267,Parameters!$M$6,Calendrier!$C$25:$C$267,EO40))</f>
        <v>0</v>
      </c>
      <c r="RV40" s="50">
        <f>IF(EP40="","",COUNTIFS($D$25:$D$267,Parameters!$K$2,$E$25:$E$267,Parameters!$M$6,Calendrier!$C$25:$C$267,EP40)+ COUNTIFS($D$25:$D$267,Parameters!$K$3,$E$25:$E$267,Parameters!$M$6,Calendrier!$C$25:$C$267,EP40))</f>
        <v>0</v>
      </c>
      <c r="RW40" s="50">
        <f>IF(EQ40="","",COUNTIFS($D$25:$D$267,Parameters!$K$2,$E$25:$E$267,Parameters!$M$6,Calendrier!$C$25:$C$267,EQ40)+ COUNTIFS($D$25:$D$267,Parameters!$K$4,$E$25:$E$267,Parameters!$M$6,Calendrier!$C$25:$C$267,EQ40))</f>
        <v>0</v>
      </c>
      <c r="RX40" s="50">
        <f>IF(ER40="","",COUNTIFS($D$25:$D$267,Parameters!$K$2,$E$25:$E$267,Parameters!$M$6,Calendrier!$C$25:$C$267,ER40)+ COUNTIFS($D$25:$D$267,Parameters!$K$3,$E$25:$E$267,Parameters!$M$6,Calendrier!$C$25:$C$267,ER40))</f>
        <v>0</v>
      </c>
      <c r="RY40" s="50">
        <f>IF(ES40="","",COUNTIFS($D$25:$D$267,Parameters!$K$2,$E$25:$E$267,Parameters!$M$6,Calendrier!$C$25:$C$267,ES40)+ COUNTIFS($D$25:$D$267,Parameters!$K$4,$E$25:$E$267,Parameters!$M$6,Calendrier!$C$25:$C$267,ES40))</f>
        <v>0</v>
      </c>
      <c r="RZ40" s="50">
        <f>IF(ET40="","",COUNTIFS($D$25:$D$267,Parameters!$K$2,$E$25:$E$267,Parameters!$M$6,Calendrier!$C$25:$C$267,ET40)+ COUNTIFS($D$25:$D$267,Parameters!$K$3,$E$25:$E$267,Parameters!$M$6,Calendrier!$C$25:$C$267,ET40))</f>
        <v>0</v>
      </c>
      <c r="SA40" s="50">
        <f>IF(EU40="","",COUNTIFS($D$25:$D$267,Parameters!$K$2,$E$25:$E$267,Parameters!$M$6,Calendrier!$C$25:$C$267,EU40)+ COUNTIFS($D$25:$D$267,Parameters!$K$4,$E$25:$E$267,Parameters!$M$6,Calendrier!$C$25:$C$267,EU40))</f>
        <v>0</v>
      </c>
      <c r="SB40" s="50">
        <f>IF(EV40="","",COUNTIFS($D$25:$D$267,Parameters!$K$2,$E$25:$E$267,Parameters!$M$6,Calendrier!$C$25:$C$267,EV40)+ COUNTIFS($D$25:$D$267,Parameters!$K$3,$E$25:$E$267,Parameters!$M$6,Calendrier!$C$25:$C$267,EV40))</f>
        <v>0</v>
      </c>
      <c r="SC40" s="50">
        <f>IF(EW40="","",COUNTIFS($D$25:$D$267,Parameters!$K$2,$E$25:$E$267,Parameters!$M$6,Calendrier!$C$25:$C$267,EW40)+ COUNTIFS($D$25:$D$267,Parameters!$K$4,$E$25:$E$267,Parameters!$M$6,Calendrier!$C$25:$C$267,EW40))</f>
        <v>0</v>
      </c>
      <c r="SD40" s="50">
        <f>IF(EX40="","",COUNTIFS($D$25:$D$267,Parameters!$K$2,$E$25:$E$267,Parameters!$M$6,Calendrier!$C$25:$C$267,EX40)+ COUNTIFS($D$25:$D$267,Parameters!$K$3,$E$25:$E$267,Parameters!$M$6,Calendrier!$C$25:$C$267,EX40))</f>
        <v>0</v>
      </c>
      <c r="SE40" s="50">
        <f>IF(EY40="","",COUNTIFS($D$25:$D$267,Parameters!$K$2,$E$25:$E$267,Parameters!$M$6,Calendrier!$C$25:$C$267,EY40)+ COUNTIFS($D$25:$D$267,Parameters!$K$4,$E$25:$E$267,Parameters!$M$6,Calendrier!$C$25:$C$267,EY40))</f>
        <v>0</v>
      </c>
      <c r="SF40" s="50">
        <f>IF(EZ40="","",COUNTIFS($D$25:$D$267,Parameters!$K$2,$E$25:$E$267,Parameters!$M$6,Calendrier!$C$25:$C$267,EZ40)+ COUNTIFS($D$25:$D$267,Parameters!$K$3,$E$25:$E$267,Parameters!$M$6,Calendrier!$C$25:$C$267,EZ40))</f>
        <v>0</v>
      </c>
      <c r="SG40" s="57">
        <f>IF(FA40="","",COUNTIFS($D$25:$D$267,Parameters!$K$2,$E$25:$E$267,Parameters!$M$6,Calendrier!$C$25:$C$267,FA40)+ COUNTIFS($D$25:$D$267,Parameters!$K$4,$E$25:$E$267,Parameters!$M$6,Calendrier!$C$25:$C$267,FA40))</f>
        <v>0</v>
      </c>
      <c r="SL40" s="49">
        <f>IF(DH40="","",COUNTIFS($D$25:$D$267,Parameters!$K$2,$E$25:$E$267,Parameters!$M$7,Calendrier!$C$25:$C$267,DH40)+ COUNTIFS($D$25:$D$267,Parameters!$K$3,$E$25:$E$267,Parameters!$M$7,Calendrier!$C$25:$C$267,DH40))</f>
        <v>0</v>
      </c>
      <c r="SM40" s="50">
        <f>IF(DI40="","",COUNTIFS($D$25:$D$267,Parameters!$K$2,$E$25:$E$267,Parameters!$M$7,Calendrier!$C$25:$C$267,DI40)+ COUNTIFS($D$25:$D$267,Parameters!$K$4,$E$25:$E$267,Parameters!$M$7,Calendrier!$C$25:$C$267,DI40))</f>
        <v>0</v>
      </c>
      <c r="SN40" s="50">
        <f>IF(DJ40="","",COUNTIFS($D$25:$D$267,Parameters!$K$2,$E$25:$E$267,Parameters!$M$7,Calendrier!$C$25:$C$267,DJ40)+ COUNTIFS($D$25:$D$267,Parameters!$K$3,$E$25:$E$267,Parameters!$M$7,Calendrier!$C$25:$C$267,DJ40))</f>
        <v>0</v>
      </c>
      <c r="SO40" s="50">
        <f>IF(DK40="","",COUNTIFS($D$25:$D$267,Parameters!$K$2,$E$25:$E$267,Parameters!$M$7,Calendrier!$C$25:$C$267,DK40)+ COUNTIFS($D$25:$D$267,Parameters!$K$4,$E$25:$E$267,Parameters!$M$7,Calendrier!$C$25:$C$267,DK40))</f>
        <v>0</v>
      </c>
      <c r="SP40" s="50">
        <f>IF(DL40="","",COUNTIFS($D$25:$D$267,Parameters!$K$2,$E$25:$E$267,Parameters!$M$7,Calendrier!$C$25:$C$267,DL40)+ COUNTIFS($D$25:$D$267,Parameters!$K$3,$E$25:$E$267,Parameters!$M$7,Calendrier!$C$25:$C$267,DL40))</f>
        <v>0</v>
      </c>
      <c r="SQ40" s="50">
        <f>IF(DM40="","",COUNTIFS($D$25:$D$267,Parameters!$K$2,$E$25:$E$267,Parameters!$M$7,Calendrier!$C$25:$C$267,DM40)+ COUNTIFS($D$25:$D$267,Parameters!$K$4,$E$25:$E$267,Parameters!$M$7,Calendrier!$C$25:$C$267,DM40))</f>
        <v>0</v>
      </c>
      <c r="SR40" s="50">
        <f>IF(DN40="","",COUNTIFS($D$25:$D$267,Parameters!$K$2,$E$25:$E$267,Parameters!$M$7,Calendrier!$C$25:$C$267,DN40)+ COUNTIFS($D$25:$D$267,Parameters!$K$3,$E$25:$E$267,Parameters!$M$7,Calendrier!$C$25:$C$267,DN40))</f>
        <v>0</v>
      </c>
      <c r="SS40" s="50">
        <f>IF(DO40="","",COUNTIFS($D$25:$D$267,Parameters!$K$2,$E$25:$E$267,Parameters!$M$7,Calendrier!$C$25:$C$267,DO40)+ COUNTIFS($D$25:$D$267,Parameters!$K$4,$E$25:$E$267,Parameters!$M$7,Calendrier!$C$25:$C$267,DO40))</f>
        <v>0</v>
      </c>
      <c r="ST40" s="50">
        <f>IF(DP40="","",COUNTIFS($D$25:$D$267,Parameters!$K$2,$E$25:$E$267,Parameters!$M$7,Calendrier!$C$25:$C$267,DP40)+ COUNTIFS($D$25:$D$267,Parameters!$K$3,$E$25:$E$267,Parameters!$M$7,Calendrier!$C$25:$C$267,DP40))</f>
        <v>0</v>
      </c>
      <c r="SU40" s="50">
        <f>IF(DQ40="","",COUNTIFS($D$25:$D$267,Parameters!$K$2,$E$25:$E$267,Parameters!$M$7,Calendrier!$C$25:$C$267,DQ40)+ COUNTIFS($D$25:$D$267,Parameters!$K$4,$E$25:$E$267,Parameters!$M$7,Calendrier!$C$25:$C$267,DQ40))</f>
        <v>0</v>
      </c>
      <c r="SV40" s="50">
        <f>IF(DR40="","",COUNTIFS($D$25:$D$267,Parameters!$K$2,$E$25:$E$267,Parameters!$M$7,Calendrier!$C$25:$C$267,DR40)+ COUNTIFS($D$25:$D$267,Parameters!$K$3,$E$25:$E$267,Parameters!$M$7,Calendrier!$C$25:$C$267,DR40))</f>
        <v>0</v>
      </c>
      <c r="SW40" s="50">
        <f>IF(DS40="","",COUNTIFS($D$25:$D$267,Parameters!$K$2,$E$25:$E$267,Parameters!$M$7,Calendrier!$C$25:$C$267,DS40)+ COUNTIFS($D$25:$D$267,Parameters!$K$4,$E$25:$E$267,Parameters!$M$7,Calendrier!$C$25:$C$267,DS40))</f>
        <v>0</v>
      </c>
      <c r="SX40" s="50">
        <f>IF(DT40="","",COUNTIFS($D$25:$D$267,Parameters!$K$2,$E$25:$E$267,Parameters!$M$7,Calendrier!$C$25:$C$267,DT40)+ COUNTIFS($D$25:$D$267,Parameters!$K$3,$E$25:$E$267,Parameters!$M$7,Calendrier!$C$25:$C$267,DT40))</f>
        <v>0</v>
      </c>
      <c r="SY40" s="57">
        <f>IF(DU40="","",COUNTIFS($D$25:$D$267,Parameters!$K$2,$E$25:$E$267,Parameters!$M$7,Calendrier!$C$25:$C$267,DU40)+ COUNTIFS($D$25:$D$267,Parameters!$K$4,$E$25:$E$267,Parameters!$M$7,Calendrier!$C$25:$C$267,DU40))</f>
        <v>0</v>
      </c>
      <c r="TB40" s="49">
        <f>IF(DX40="","",COUNTIFS($D$25:$D$267,Parameters!$K$2,$E$25:$E$267,Parameters!$M$7,Calendrier!$C$25:$C$267,DX40)+ COUNTIFS($D$25:$D$267,Parameters!$K$3,$E$25:$E$267,Parameters!$M$7,Calendrier!$C$25:$C$267,DX40))</f>
        <v>0</v>
      </c>
      <c r="TC40" s="50">
        <f>IF(DY40="","",COUNTIFS($D$25:$D$267,Parameters!$K$2,$E$25:$E$267,Parameters!$M$7,Calendrier!$C$25:$C$267,DY40)+ COUNTIFS($D$25:$D$267,Parameters!$K$4,$E$25:$E$267,Parameters!$M$7,Calendrier!$C$25:$C$267,DY40))</f>
        <v>0</v>
      </c>
      <c r="TD40" s="50">
        <f>IF(DZ40="","",COUNTIFS($D$25:$D$267,Parameters!$K$2,$E$25:$E$267,Parameters!$M$7,Calendrier!$C$25:$C$267,DZ40)+ COUNTIFS($D$25:$D$267,Parameters!$K$3,$E$25:$E$267,Parameters!$M$7,Calendrier!$C$25:$C$267,DZ40))</f>
        <v>0</v>
      </c>
      <c r="TE40" s="50">
        <f>IF(EA40="","",COUNTIFS($D$25:$D$267,Parameters!$K$2,$E$25:$E$267,Parameters!$M$7,Calendrier!$C$25:$C$267,EA40)+ COUNTIFS($D$25:$D$267,Parameters!$K$4,$E$25:$E$267,Parameters!$M$7,Calendrier!$C$25:$C$267,EA40))</f>
        <v>0</v>
      </c>
      <c r="TF40" s="50">
        <f>IF(EB40="","",COUNTIFS($D$25:$D$267,Parameters!$K$2,$E$25:$E$267,Parameters!$M$7,Calendrier!$C$25:$C$267,EB40)+ COUNTIFS($D$25:$D$267,Parameters!$K$3,$E$25:$E$267,Parameters!$M$7,Calendrier!$C$25:$C$267,EB40))</f>
        <v>0</v>
      </c>
      <c r="TG40" s="50">
        <f>IF(EC40="","",COUNTIFS($D$25:$D$267,Parameters!$K$2,$E$25:$E$267,Parameters!$M$7,Calendrier!$C$25:$C$267,EC40)+ COUNTIFS($D$25:$D$267,Parameters!$K$4,$E$25:$E$267,Parameters!$M$7,Calendrier!$C$25:$C$267,EC40))</f>
        <v>0</v>
      </c>
      <c r="TH40" s="50">
        <f>IF(ED40="","",COUNTIFS($D$25:$D$267,Parameters!$K$2,$E$25:$E$267,Parameters!$M$7,Calendrier!$C$25:$C$267,ED40)+ COUNTIFS($D$25:$D$267,Parameters!$K$3,$E$25:$E$267,Parameters!$M$7,Calendrier!$C$25:$C$267,ED40))</f>
        <v>0</v>
      </c>
      <c r="TI40" s="50">
        <f>IF(EE40="","",COUNTIFS($D$25:$D$267,Parameters!$K$2,$E$25:$E$267,Parameters!$M$7,Calendrier!$C$25:$C$267,EE40)+ COUNTIFS($D$25:$D$267,Parameters!$K$4,$E$25:$E$267,Parameters!$M$7,Calendrier!$C$25:$C$267,EE40))</f>
        <v>0</v>
      </c>
      <c r="TJ40" s="50">
        <f>IF(EF40="","",COUNTIFS($D$25:$D$267,Parameters!$K$2,$E$25:$E$267,Parameters!$M$7,Calendrier!$C$25:$C$267,EF40)+ COUNTIFS($D$25:$D$267,Parameters!$K$3,$E$25:$E$267,Parameters!$M$7,Calendrier!$C$25:$C$267,EF40))</f>
        <v>0</v>
      </c>
      <c r="TK40" s="50">
        <f>IF(EG40="","",COUNTIFS($D$25:$D$267,Parameters!$K$2,$E$25:$E$267,Parameters!$M$7,Calendrier!$C$25:$C$267,EG40)+ COUNTIFS($D$25:$D$267,Parameters!$K$4,$E$25:$E$267,Parameters!$M$7,Calendrier!$C$25:$C$267,EG40))</f>
        <v>0</v>
      </c>
      <c r="TL40" s="50">
        <f>IF(EH40="","",COUNTIFS($D$25:$D$267,Parameters!$K$2,$E$25:$E$267,Parameters!$M$7,Calendrier!$C$25:$C$267,EH40)+ COUNTIFS($D$25:$D$267,Parameters!$K$3,$E$25:$E$267,Parameters!$M$7,Calendrier!$C$25:$C$267,EH40))</f>
        <v>0</v>
      </c>
      <c r="TM40" s="50">
        <f>IF(EI40="","",COUNTIFS($D$25:$D$267,Parameters!$K$2,$E$25:$E$267,Parameters!$M$7,Calendrier!$C$25:$C$267,EI40)+ COUNTIFS($D$25:$D$267,Parameters!$K$4,$E$25:$E$267,Parameters!$M$7,Calendrier!$C$25:$C$267,EI40))</f>
        <v>0</v>
      </c>
      <c r="TN40" s="50">
        <f>IF(EJ40="","",COUNTIFS($D$25:$D$267,Parameters!$K$2,$E$25:$E$267,Parameters!$M$7,Calendrier!$C$25:$C$267,EJ40)+ COUNTIFS($D$25:$D$267,Parameters!$K$3,$E$25:$E$267,Parameters!$M$7,Calendrier!$C$25:$C$267,EJ40))</f>
        <v>0</v>
      </c>
      <c r="TO40" s="57">
        <f>IF(EK40="","",COUNTIFS($D$25:$D$267,Parameters!$K$2,$E$25:$E$267,Parameters!$M$7,Calendrier!$C$25:$C$267,EK40)+ COUNTIFS($D$25:$D$267,Parameters!$K$4,$E$25:$E$267,Parameters!$M$7,Calendrier!$C$25:$C$267,EK40))</f>
        <v>0</v>
      </c>
      <c r="TR40" s="49">
        <f>IF(EN40="","",COUNTIFS($D$25:$D$267,Parameters!$K$2,$E$25:$E$267,Parameters!$M$7,Calendrier!$C$25:$C$267,EN40)+ COUNTIFS($D$25:$D$267,Parameters!$K$3,$E$25:$E$267,Parameters!$M$7,Calendrier!$C$25:$C$267,EN40))</f>
        <v>0</v>
      </c>
      <c r="TS40" s="50">
        <f>IF(EO40="","",COUNTIFS($D$25:$D$267,Parameters!$K$2,$E$25:$E$267,Parameters!$M$7,Calendrier!$C$25:$C$267,EO40)+ COUNTIFS($D$25:$D$267,Parameters!$K$4,$E$25:$E$267,Parameters!$M$7,Calendrier!$C$25:$C$267,EO40))</f>
        <v>0</v>
      </c>
      <c r="TT40" s="50">
        <f>IF(EP40="","",COUNTIFS($D$25:$D$267,Parameters!$K$2,$E$25:$E$267,Parameters!$M$7,Calendrier!$C$25:$C$267,EP40)+ COUNTIFS($D$25:$D$267,Parameters!$K$3,$E$25:$E$267,Parameters!$M$7,Calendrier!$C$25:$C$267,EP40))</f>
        <v>0</v>
      </c>
      <c r="TU40" s="50">
        <f>IF(EQ40="","",COUNTIFS($D$25:$D$267,Parameters!$K$2,$E$25:$E$267,Parameters!$M$7,Calendrier!$C$25:$C$267,EQ40)+ COUNTIFS($D$25:$D$267,Parameters!$K$4,$E$25:$E$267,Parameters!$M$7,Calendrier!$C$25:$C$267,EQ40))</f>
        <v>0</v>
      </c>
      <c r="TV40" s="50">
        <f>IF(ER40="","",COUNTIFS($D$25:$D$267,Parameters!$K$2,$E$25:$E$267,Parameters!$M$7,Calendrier!$C$25:$C$267,ER40)+ COUNTIFS($D$25:$D$267,Parameters!$K$3,$E$25:$E$267,Parameters!$M$7,Calendrier!$C$25:$C$267,ER40))</f>
        <v>0</v>
      </c>
      <c r="TW40" s="50">
        <f>IF(ES40="","",COUNTIFS($D$25:$D$267,Parameters!$K$2,$E$25:$E$267,Parameters!$M$7,Calendrier!$C$25:$C$267,ES40)+ COUNTIFS($D$25:$D$267,Parameters!$K$4,$E$25:$E$267,Parameters!$M$7,Calendrier!$C$25:$C$267,ES40))</f>
        <v>0</v>
      </c>
      <c r="TX40" s="50">
        <f>IF(ET40="","",COUNTIFS($D$25:$D$267,Parameters!$K$2,$E$25:$E$267,Parameters!$M$7,Calendrier!$C$25:$C$267,ET40)+ COUNTIFS($D$25:$D$267,Parameters!$K$3,$E$25:$E$267,Parameters!$M$7,Calendrier!$C$25:$C$267,ET40))</f>
        <v>0</v>
      </c>
      <c r="TY40" s="50">
        <f>IF(EU40="","",COUNTIFS($D$25:$D$267,Parameters!$K$2,$E$25:$E$267,Parameters!$M$7,Calendrier!$C$25:$C$267,EU40)+ COUNTIFS($D$25:$D$267,Parameters!$K$4,$E$25:$E$267,Parameters!$M$7,Calendrier!$C$25:$C$267,EU40))</f>
        <v>0</v>
      </c>
      <c r="TZ40" s="50">
        <f>IF(EV40="","",COUNTIFS($D$25:$D$267,Parameters!$K$2,$E$25:$E$267,Parameters!$M$7,Calendrier!$C$25:$C$267,EV40)+ COUNTIFS($D$25:$D$267,Parameters!$K$3,$E$25:$E$267,Parameters!$M$7,Calendrier!$C$25:$C$267,EV40))</f>
        <v>0</v>
      </c>
      <c r="UA40" s="50">
        <f>IF(EW40="","",COUNTIFS($D$25:$D$267,Parameters!$K$2,$E$25:$E$267,Parameters!$M$7,Calendrier!$C$25:$C$267,EW40)+ COUNTIFS($D$25:$D$267,Parameters!$K$4,$E$25:$E$267,Parameters!$M$7,Calendrier!$C$25:$C$267,EW40))</f>
        <v>0</v>
      </c>
      <c r="UB40" s="50">
        <f>IF(EX40="","",COUNTIFS($D$25:$D$267,Parameters!$K$2,$E$25:$E$267,Parameters!$M$7,Calendrier!$C$25:$C$267,EX40)+ COUNTIFS($D$25:$D$267,Parameters!$K$3,$E$25:$E$267,Parameters!$M$7,Calendrier!$C$25:$C$267,EX40))</f>
        <v>0</v>
      </c>
      <c r="UC40" s="50">
        <f>IF(EY40="","",COUNTIFS($D$25:$D$267,Parameters!$K$2,$E$25:$E$267,Parameters!$M$7,Calendrier!$C$25:$C$267,EY40)+ COUNTIFS($D$25:$D$267,Parameters!$K$4,$E$25:$E$267,Parameters!$M$7,Calendrier!$C$25:$C$267,EY40))</f>
        <v>0</v>
      </c>
      <c r="UD40" s="50">
        <f>IF(EZ40="","",COUNTIFS($D$25:$D$267,Parameters!$K$2,$E$25:$E$267,Parameters!$M$7,Calendrier!$C$25:$C$267,EZ40)+ COUNTIFS($D$25:$D$267,Parameters!$K$3,$E$25:$E$267,Parameters!$M$7,Calendrier!$C$25:$C$267,EZ40))</f>
        <v>0</v>
      </c>
      <c r="UE40" s="57">
        <f>IF(FA40="","",COUNTIFS($D$25:$D$267,Parameters!$K$2,$E$25:$E$267,Parameters!$M$7,Calendrier!$C$25:$C$267,FA40)+ COUNTIFS($D$25:$D$267,Parameters!$K$4,$E$25:$E$267,Parameters!$M$7,Calendrier!$C$25:$C$267,FA40))</f>
        <v>0</v>
      </c>
    </row>
    <row r="41" spans="2:551" x14ac:dyDescent="0.3">
      <c r="B41" s="73">
        <f t="shared" si="317"/>
        <v>2025</v>
      </c>
      <c r="C41" s="27">
        <v>45847</v>
      </c>
      <c r="D41" s="30" t="s">
        <v>30</v>
      </c>
      <c r="E41" s="30" t="s">
        <v>36</v>
      </c>
      <c r="F41" s="61"/>
      <c r="G41" s="77"/>
      <c r="K41" s="31"/>
      <c r="L41" s="22">
        <f t="shared" ref="L41:L42" si="585">IF(X40&lt;&gt;"",IF(X40&lt;$Z$36,X40+1,""),"")</f>
        <v>26</v>
      </c>
      <c r="M41" s="23"/>
      <c r="N41" s="22">
        <f t="shared" ref="N41:N42" si="586">IF(L41&lt;&gt;"",IF(L41&lt;$Z$36,L41+1,""),"")</f>
        <v>27</v>
      </c>
      <c r="O41" s="23"/>
      <c r="P41" s="22">
        <f t="shared" ref="P41:P42" si="587">IF(N41&lt;&gt;"",IF(N41&lt;$Z$36,N41+1,""),"")</f>
        <v>28</v>
      </c>
      <c r="Q41" s="23"/>
      <c r="R41" s="22">
        <f t="shared" ref="R41:R42" si="588">IF(P41&lt;&gt;"",IF(P41&lt;$Z$36,P41+1,""),"")</f>
        <v>29</v>
      </c>
      <c r="S41" s="23"/>
      <c r="T41" s="22">
        <f t="shared" ref="T41:T42" si="589">IF(R41&lt;&gt;"",IF(R41&lt;$Z$36,R41+1,""),"")</f>
        <v>30</v>
      </c>
      <c r="U41" s="23"/>
      <c r="V41" s="22">
        <f t="shared" ref="V41:V42" si="590">IF(T41&lt;&gt;"",IF(T41&lt;$Z$36,T41+1,""),"")</f>
        <v>31</v>
      </c>
      <c r="W41" s="23"/>
      <c r="X41" s="22" t="str">
        <f t="shared" ref="X41:X42" si="591">IF(V41&lt;&gt;"",IF(V41&lt;$Z$36,V41+1,""),"")</f>
        <v/>
      </c>
      <c r="Y41" s="23"/>
      <c r="Z41" s="31"/>
      <c r="AA41" s="31"/>
      <c r="AB41" s="22">
        <f t="shared" ref="AB41:AB42" si="592">IF(AN40&lt;&gt;"",IF(AN40&lt;$AP$36,AN40+1,""),"")</f>
        <v>23</v>
      </c>
      <c r="AC41" s="23"/>
      <c r="AD41" s="22">
        <f t="shared" ref="AD41:AD42" si="593">IF(AB41&lt;&gt;"",IF(AB41&lt;$AP$36,AB41+1,""),"")</f>
        <v>24</v>
      </c>
      <c r="AE41" s="23"/>
      <c r="AF41" s="22">
        <f t="shared" ref="AF41:AF42" si="594">IF(AD41&lt;&gt;"",IF(AD41&lt;$AP$36,AD41+1,""),"")</f>
        <v>25</v>
      </c>
      <c r="AG41" s="23"/>
      <c r="AH41" s="22">
        <f t="shared" ref="AH41:AH42" si="595">IF(AF41&lt;&gt;"",IF(AF41&lt;$AP$36,AF41+1,""),"")</f>
        <v>26</v>
      </c>
      <c r="AI41" s="23"/>
      <c r="AJ41" s="22">
        <f t="shared" ref="AJ41:AJ42" si="596">IF(AH41&lt;&gt;"",IF(AH41&lt;$AP$36,AH41+1,""),"")</f>
        <v>27</v>
      </c>
      <c r="AK41" s="23"/>
      <c r="AL41" s="22">
        <f t="shared" ref="AL41:AL42" si="597">IF(AJ41&lt;&gt;"",IF(AJ41&lt;$AP$36,AJ41+1,""),"")</f>
        <v>28</v>
      </c>
      <c r="AM41" s="23"/>
      <c r="AN41" s="22">
        <f t="shared" ref="AN41:AN42" si="598">IF(AL41&lt;&gt;"",IF(AL41&lt;$AP$36,AL41+1,""),"")</f>
        <v>29</v>
      </c>
      <c r="AO41" s="23"/>
      <c r="AP41" s="31"/>
      <c r="AQ41" s="31"/>
      <c r="AR41" s="22">
        <f t="shared" ref="AR41:AR42" si="599">IF(BD40&lt;&gt;"",IF(BD40&lt;$BF$36,BD40+1,""),"")</f>
        <v>28</v>
      </c>
      <c r="AS41" s="23"/>
      <c r="AT41" s="22">
        <f t="shared" ref="AT41:AT42" si="600">IF(AR41&lt;&gt;"",IF(AR41&lt;$BF$36,AR41+1,""),"")</f>
        <v>29</v>
      </c>
      <c r="AU41" s="23"/>
      <c r="AV41" s="22">
        <f t="shared" ref="AV41:AV42" si="601">IF(AT41&lt;&gt;"",IF(AT41&lt;$BF$36,AT41+1,""),"")</f>
        <v>30</v>
      </c>
      <c r="AW41" s="23"/>
      <c r="AX41" s="22">
        <f t="shared" ref="AX41:AX42" si="602">IF(AV41&lt;&gt;"",IF(AV41&lt;$BF$36,AV41+1,""),"")</f>
        <v>31</v>
      </c>
      <c r="AY41" s="23"/>
      <c r="AZ41" s="22" t="str">
        <f t="shared" ref="AZ41:AZ42" si="603">IF(AX41&lt;&gt;"",IF(AX41&lt;$BF$36,AX41+1,""),"")</f>
        <v/>
      </c>
      <c r="BA41" s="23"/>
      <c r="BB41" s="22" t="str">
        <f t="shared" ref="BB41:BB42" si="604">IF(AZ41&lt;&gt;"",IF(AZ41&lt;$BF$36,AZ41+1,""),"")</f>
        <v/>
      </c>
      <c r="BC41" s="23"/>
      <c r="BD41" s="22" t="str">
        <f t="shared" ref="BD41:BD42" si="605">IF(BB41&lt;&gt;"",IF(BB41&lt;$BF$36,BB41+1,""),"")</f>
        <v/>
      </c>
      <c r="BE41" s="23"/>
      <c r="BF41" s="31"/>
      <c r="BG41" s="31"/>
      <c r="BJ41" s="42"/>
      <c r="BK41" s="6">
        <v>10</v>
      </c>
      <c r="BL41" s="6">
        <v>10</v>
      </c>
      <c r="BM41" s="6">
        <v>10</v>
      </c>
      <c r="BN41" s="6">
        <v>10</v>
      </c>
      <c r="BO41" s="6">
        <v>10</v>
      </c>
      <c r="BP41" s="6">
        <v>10</v>
      </c>
      <c r="BQ41" s="6">
        <v>10</v>
      </c>
      <c r="BR41" s="6">
        <v>10</v>
      </c>
      <c r="BS41" s="6">
        <v>10</v>
      </c>
      <c r="BT41" s="6">
        <v>10</v>
      </c>
      <c r="BU41" s="6">
        <v>10</v>
      </c>
      <c r="BV41" s="6">
        <v>10</v>
      </c>
      <c r="BW41" s="6">
        <v>10</v>
      </c>
      <c r="CA41" s="6">
        <v>11</v>
      </c>
      <c r="CB41" s="6">
        <v>11</v>
      </c>
      <c r="CC41" s="6">
        <v>11</v>
      </c>
      <c r="CD41" s="6">
        <v>11</v>
      </c>
      <c r="CE41" s="6">
        <v>11</v>
      </c>
      <c r="CF41" s="6">
        <v>11</v>
      </c>
      <c r="CG41" s="6">
        <v>11</v>
      </c>
      <c r="CH41" s="6">
        <v>11</v>
      </c>
      <c r="CI41" s="6">
        <v>11</v>
      </c>
      <c r="CJ41" s="6">
        <v>11</v>
      </c>
      <c r="CK41" s="6">
        <v>11</v>
      </c>
      <c r="CL41" s="6">
        <v>11</v>
      </c>
      <c r="CM41" s="6">
        <v>11</v>
      </c>
      <c r="CQ41" s="6">
        <v>12</v>
      </c>
      <c r="CR41" s="6">
        <v>12</v>
      </c>
      <c r="CS41" s="6">
        <v>12</v>
      </c>
      <c r="CT41" s="6">
        <v>12</v>
      </c>
      <c r="CU41" s="6">
        <v>12</v>
      </c>
      <c r="CV41" s="6">
        <v>12</v>
      </c>
      <c r="CW41" s="6">
        <v>12</v>
      </c>
      <c r="CX41" s="6">
        <v>12</v>
      </c>
      <c r="CY41" s="6">
        <v>12</v>
      </c>
      <c r="CZ41" s="6">
        <v>12</v>
      </c>
      <c r="DA41" s="6">
        <v>12</v>
      </c>
      <c r="DB41" s="6">
        <v>12</v>
      </c>
      <c r="DC41" s="6">
        <v>12</v>
      </c>
      <c r="DG41" s="42"/>
      <c r="DH41" s="43">
        <f t="shared" si="505"/>
        <v>46321</v>
      </c>
      <c r="DI41" s="44">
        <f t="shared" ref="DI41" si="606">DH41</f>
        <v>46321</v>
      </c>
      <c r="DJ41" s="44">
        <f t="shared" si="468"/>
        <v>46322</v>
      </c>
      <c r="DK41" s="44">
        <f t="shared" ref="DK41" si="607">DJ41</f>
        <v>46322</v>
      </c>
      <c r="DL41" s="44">
        <f t="shared" si="470"/>
        <v>46323</v>
      </c>
      <c r="DM41" s="44">
        <f t="shared" ref="DM41" si="608">DL41</f>
        <v>46323</v>
      </c>
      <c r="DN41" s="44">
        <f t="shared" si="472"/>
        <v>46324</v>
      </c>
      <c r="DO41" s="44">
        <f t="shared" ref="DO41" si="609">DN41</f>
        <v>46324</v>
      </c>
      <c r="DP41" s="44">
        <f t="shared" si="474"/>
        <v>46325</v>
      </c>
      <c r="DQ41" s="44">
        <f t="shared" ref="DQ41" si="610">DP41</f>
        <v>46325</v>
      </c>
      <c r="DR41" s="44">
        <f t="shared" si="476"/>
        <v>46326</v>
      </c>
      <c r="DS41" s="44">
        <f t="shared" ref="DS41" si="611">DR41</f>
        <v>46326</v>
      </c>
      <c r="DT41" s="44" t="str">
        <f t="shared" si="478"/>
        <v/>
      </c>
      <c r="DU41" s="45" t="str">
        <f t="shared" ref="DU41" si="612">DT41</f>
        <v/>
      </c>
      <c r="DX41" s="43">
        <f t="shared" si="513"/>
        <v>46349</v>
      </c>
      <c r="DY41" s="44">
        <f t="shared" ref="DY41" si="613">DX41</f>
        <v>46349</v>
      </c>
      <c r="DZ41" s="44">
        <f t="shared" si="480"/>
        <v>46350</v>
      </c>
      <c r="EA41" s="44">
        <f t="shared" ref="EA41" si="614">DZ41</f>
        <v>46350</v>
      </c>
      <c r="EB41" s="44">
        <f t="shared" si="482"/>
        <v>46351</v>
      </c>
      <c r="EC41" s="44">
        <f t="shared" ref="EC41" si="615">EB41</f>
        <v>46351</v>
      </c>
      <c r="ED41" s="44">
        <f t="shared" si="484"/>
        <v>46352</v>
      </c>
      <c r="EE41" s="44">
        <f t="shared" ref="EE41" si="616">ED41</f>
        <v>46352</v>
      </c>
      <c r="EF41" s="44">
        <f t="shared" si="486"/>
        <v>46353</v>
      </c>
      <c r="EG41" s="44">
        <f t="shared" ref="EG41" si="617">EF41</f>
        <v>46353</v>
      </c>
      <c r="EH41" s="44">
        <f t="shared" si="488"/>
        <v>46354</v>
      </c>
      <c r="EI41" s="44">
        <f t="shared" ref="EI41" si="618">EH41</f>
        <v>46354</v>
      </c>
      <c r="EJ41" s="44">
        <f t="shared" si="490"/>
        <v>46355</v>
      </c>
      <c r="EK41" s="45">
        <f t="shared" si="491"/>
        <v>46355</v>
      </c>
      <c r="EN41" s="43">
        <f t="shared" si="520"/>
        <v>46384</v>
      </c>
      <c r="EO41" s="44">
        <f t="shared" ref="EO41" si="619">EN41</f>
        <v>46384</v>
      </c>
      <c r="EP41" s="44">
        <f t="shared" si="492"/>
        <v>46385</v>
      </c>
      <c r="EQ41" s="44">
        <f t="shared" ref="EQ41" si="620">EP41</f>
        <v>46385</v>
      </c>
      <c r="ER41" s="44">
        <f t="shared" si="494"/>
        <v>46386</v>
      </c>
      <c r="ES41" s="44">
        <f t="shared" ref="ES41" si="621">ER41</f>
        <v>46386</v>
      </c>
      <c r="ET41" s="44">
        <f t="shared" si="496"/>
        <v>46387</v>
      </c>
      <c r="EU41" s="44">
        <f t="shared" ref="EU41" si="622">ET41</f>
        <v>46387</v>
      </c>
      <c r="EV41" s="44" t="str">
        <f t="shared" si="498"/>
        <v/>
      </c>
      <c r="EW41" s="44" t="str">
        <f t="shared" ref="EW41" si="623">EV41</f>
        <v/>
      </c>
      <c r="EX41" s="44" t="str">
        <f t="shared" si="500"/>
        <v/>
      </c>
      <c r="EY41" s="44" t="str">
        <f t="shared" ref="EY41" si="624">EX41</f>
        <v/>
      </c>
      <c r="EZ41" s="44" t="str">
        <f t="shared" si="502"/>
        <v/>
      </c>
      <c r="FA41" s="45" t="str">
        <f t="shared" si="503"/>
        <v/>
      </c>
      <c r="FE41" s="49">
        <f>COUNTIFS(Parameters!$S:$S,$D$4,Parameters!$Q:$Q,DH41)</f>
        <v>0</v>
      </c>
      <c r="FF41" s="50">
        <f>COUNTIFS(Parameters!$S:$S,$D$4,Parameters!$Q:$Q,DI41)</f>
        <v>0</v>
      </c>
      <c r="FG41" s="50">
        <f>COUNTIFS(Parameters!$S:$S,$D$4,Parameters!$Q:$Q,DJ41)</f>
        <v>0</v>
      </c>
      <c r="FH41" s="50">
        <f>COUNTIFS(Parameters!$S:$S,$D$4,Parameters!$Q:$Q,DK41)</f>
        <v>0</v>
      </c>
      <c r="FI41" s="50">
        <f>COUNTIFS(Parameters!$S:$S,$D$4,Parameters!$Q:$Q,DL41)</f>
        <v>0</v>
      </c>
      <c r="FJ41" s="50">
        <f>COUNTIFS(Parameters!$S:$S,$D$4,Parameters!$Q:$Q,DM41)</f>
        <v>0</v>
      </c>
      <c r="FK41" s="50">
        <f>COUNTIFS(Parameters!$S:$S,$D$4,Parameters!$Q:$Q,DN41)</f>
        <v>0</v>
      </c>
      <c r="FL41" s="50">
        <f>COUNTIFS(Parameters!$S:$S,$D$4,Parameters!$Q:$Q,DO41)</f>
        <v>0</v>
      </c>
      <c r="FM41" s="50">
        <f>COUNTIFS(Parameters!$S:$S,$D$4,Parameters!$Q:$Q,DP41)</f>
        <v>0</v>
      </c>
      <c r="FN41" s="50">
        <f>COUNTIFS(Parameters!$S:$S,$D$4,Parameters!$Q:$Q,DQ41)</f>
        <v>0</v>
      </c>
      <c r="FO41" s="50">
        <f>COUNTIFS(Parameters!$S:$S,$D$4,Parameters!$Q:$Q,DR41)</f>
        <v>0</v>
      </c>
      <c r="FP41" s="50">
        <f>COUNTIFS(Parameters!$S:$S,$D$4,Parameters!$Q:$Q,DS41)</f>
        <v>0</v>
      </c>
      <c r="FQ41" s="50">
        <f>COUNTIFS(Parameters!$S:$S,$D$4,Parameters!$Q:$Q,DT41)</f>
        <v>0</v>
      </c>
      <c r="FR41" s="57">
        <f>COUNTIFS(Parameters!$S:$S,$D$4,Parameters!$Q:$Q,DU41)</f>
        <v>0</v>
      </c>
      <c r="FU41" s="49">
        <f>COUNTIFS(Parameters!$S:$S,$D$4,Parameters!$Q:$Q,DX41)</f>
        <v>0</v>
      </c>
      <c r="FV41" s="50">
        <f>COUNTIFS(Parameters!$S:$S,$D$4,Parameters!$Q:$Q,DY41)</f>
        <v>0</v>
      </c>
      <c r="FW41" s="50">
        <f>COUNTIFS(Parameters!$S:$S,$D$4,Parameters!$Q:$Q,DZ41)</f>
        <v>0</v>
      </c>
      <c r="FX41" s="50">
        <f>COUNTIFS(Parameters!$S:$S,$D$4,Parameters!$Q:$Q,EA41)</f>
        <v>0</v>
      </c>
      <c r="FY41" s="50">
        <f>COUNTIFS(Parameters!$S:$S,$D$4,Parameters!$Q:$Q,EB41)</f>
        <v>0</v>
      </c>
      <c r="FZ41" s="50">
        <f>COUNTIFS(Parameters!$S:$S,$D$4,Parameters!$Q:$Q,EC41)</f>
        <v>0</v>
      </c>
      <c r="GA41" s="50">
        <f>COUNTIFS(Parameters!$S:$S,$D$4,Parameters!$Q:$Q,ED41)</f>
        <v>0</v>
      </c>
      <c r="GB41" s="50">
        <f>COUNTIFS(Parameters!$S:$S,$D$4,Parameters!$Q:$Q,EE41)</f>
        <v>0</v>
      </c>
      <c r="GC41" s="50">
        <f>COUNTIFS(Parameters!$S:$S,$D$4,Parameters!$Q:$Q,EF41)</f>
        <v>0</v>
      </c>
      <c r="GD41" s="50">
        <f>COUNTIFS(Parameters!$S:$S,$D$4,Parameters!$Q:$Q,EG41)</f>
        <v>0</v>
      </c>
      <c r="GE41" s="50">
        <f>COUNTIFS(Parameters!$S:$S,$D$4,Parameters!$Q:$Q,EH41)</f>
        <v>0</v>
      </c>
      <c r="GF41" s="50">
        <f>COUNTIFS(Parameters!$S:$S,$D$4,Parameters!$Q:$Q,EI41)</f>
        <v>0</v>
      </c>
      <c r="GG41" s="50">
        <f>COUNTIFS(Parameters!$S:$S,$D$4,Parameters!$Q:$Q,EJ41)</f>
        <v>0</v>
      </c>
      <c r="GH41" s="57">
        <f>COUNTIFS(Parameters!$S:$S,$D$4,Parameters!$Q:$Q,EK41)</f>
        <v>0</v>
      </c>
      <c r="GK41" s="49">
        <f>COUNTIFS(Parameters!$S:$S,$D$4,Parameters!$Q:$Q,EN41)</f>
        <v>0</v>
      </c>
      <c r="GL41" s="50">
        <f>COUNTIFS(Parameters!$S:$S,$D$4,Parameters!$Q:$Q,EO41)</f>
        <v>0</v>
      </c>
      <c r="GM41" s="50">
        <f>COUNTIFS(Parameters!$S:$S,$D$4,Parameters!$Q:$Q,EP41)</f>
        <v>0</v>
      </c>
      <c r="GN41" s="50">
        <f>COUNTIFS(Parameters!$S:$S,$D$4,Parameters!$Q:$Q,EQ41)</f>
        <v>0</v>
      </c>
      <c r="GO41" s="50">
        <f>COUNTIFS(Parameters!$S:$S,$D$4,Parameters!$Q:$Q,ER41)</f>
        <v>0</v>
      </c>
      <c r="GP41" s="50">
        <f>COUNTIFS(Parameters!$S:$S,$D$4,Parameters!$Q:$Q,ES41)</f>
        <v>0</v>
      </c>
      <c r="GQ41" s="50">
        <f>COUNTIFS(Parameters!$S:$S,$D$4,Parameters!$Q:$Q,ET41)</f>
        <v>1</v>
      </c>
      <c r="GR41" s="50">
        <f>COUNTIFS(Parameters!$S:$S,$D$4,Parameters!$Q:$Q,EU41)</f>
        <v>1</v>
      </c>
      <c r="GS41" s="50">
        <f>COUNTIFS(Parameters!$S:$S,$D$4,Parameters!$Q:$Q,EV41)</f>
        <v>0</v>
      </c>
      <c r="GT41" s="50">
        <f>COUNTIFS(Parameters!$S:$S,$D$4,Parameters!$Q:$Q,EW41)</f>
        <v>0</v>
      </c>
      <c r="GU41" s="50">
        <f>COUNTIFS(Parameters!$S:$S,$D$4,Parameters!$Q:$Q,EX41)</f>
        <v>0</v>
      </c>
      <c r="GV41" s="50">
        <f>COUNTIFS(Parameters!$S:$S,$D$4,Parameters!$Q:$Q,EY41)</f>
        <v>0</v>
      </c>
      <c r="GW41" s="50">
        <f>COUNTIFS(Parameters!$S:$S,$D$4,Parameters!$Q:$Q,EZ41)</f>
        <v>0</v>
      </c>
      <c r="GX41" s="57">
        <f>COUNTIFS(Parameters!$S:$S,$D$4,Parameters!$Q:$Q,FA41)</f>
        <v>0</v>
      </c>
      <c r="HB41" s="49">
        <f>IF(DH41="","",COUNTIFS($D$25:$D$267,Parameters!$K$2,$E$25:$E$267,Parameters!$M$2,Calendrier!$C$25:$C$267,DH41)+ COUNTIFS($D$25:$D$267,Parameters!$K$3,$E$25:$E$267,Parameters!$M$2,Calendrier!$C$25:$C$267,DH41))</f>
        <v>0</v>
      </c>
      <c r="HC41" s="50">
        <f>IF(DI41="","",COUNTIFS($D$25:$D$267,Parameters!$K$2,$E$25:$E$267,Parameters!$M$2,Calendrier!$C$25:$C$267,DI41)+ COUNTIFS($D$25:$D$267,Parameters!$K$4,$E$25:$E$267,Parameters!$M$2,Calendrier!$C$25:$C$267,DI41))</f>
        <v>0</v>
      </c>
      <c r="HD41" s="50">
        <f>IF(DJ41="","",COUNTIFS($D$25:$D$267,Parameters!$K$2,$E$25:$E$267,Parameters!$M$2,Calendrier!$C$25:$C$267,DJ41)+ COUNTIFS($D$25:$D$267,Parameters!$K$3,$E$25:$E$267,Parameters!$M$2,Calendrier!$C$25:$C$267,DJ41))</f>
        <v>0</v>
      </c>
      <c r="HE41" s="50">
        <f>IF(DK41="","",COUNTIFS($D$25:$D$267,Parameters!$K$2,$E$25:$E$267,Parameters!$M$2,Calendrier!$C$25:$C$267,DK41)+ COUNTIFS($D$25:$D$267,Parameters!$K$4,$E$25:$E$267,Parameters!$M$2,Calendrier!$C$25:$C$267,DK41))</f>
        <v>0</v>
      </c>
      <c r="HF41" s="50">
        <f>IF(DL41="","",COUNTIFS($D$25:$D$267,Parameters!$K$2,$E$25:$E$267,Parameters!$M$2,Calendrier!$C$25:$C$267,DL41)+ COUNTIFS($D$25:$D$267,Parameters!$K$3,$E$25:$E$267,Parameters!$M$2,Calendrier!$C$25:$C$267,DL41))</f>
        <v>0</v>
      </c>
      <c r="HG41" s="50">
        <f>IF(DM41="","",COUNTIFS($D$25:$D$267,Parameters!$K$2,$E$25:$E$267,Parameters!$M$2,Calendrier!$C$25:$C$267,DM41)+ COUNTIFS($D$25:$D$267,Parameters!$K$4,$E$25:$E$267,Parameters!$M$2,Calendrier!$C$25:$C$267,DM41))</f>
        <v>0</v>
      </c>
      <c r="HH41" s="50">
        <f>IF(DN41="","",COUNTIFS($D$25:$D$267,Parameters!$K$2,$E$25:$E$267,Parameters!$M$2,Calendrier!$C$25:$C$267,DN41)+ COUNTIFS($D$25:$D$267,Parameters!$K$3,$E$25:$E$267,Parameters!$M$2,Calendrier!$C$25:$C$267,DN41))</f>
        <v>0</v>
      </c>
      <c r="HI41" s="50">
        <f>IF(DO41="","",COUNTIFS($D$25:$D$267,Parameters!$K$2,$E$25:$E$267,Parameters!$M$2,Calendrier!$C$25:$C$267,DO41)+ COUNTIFS($D$25:$D$267,Parameters!$K$4,$E$25:$E$267,Parameters!$M$2,Calendrier!$C$25:$C$267,DO41))</f>
        <v>0</v>
      </c>
      <c r="HJ41" s="50">
        <f>IF(DP41="","",COUNTIFS($D$25:$D$267,Parameters!$K$2,$E$25:$E$267,Parameters!$M$2,Calendrier!$C$25:$C$267,DP41)+ COUNTIFS($D$25:$D$267,Parameters!$K$3,$E$25:$E$267,Parameters!$M$2,Calendrier!$C$25:$C$267,DP41))</f>
        <v>0</v>
      </c>
      <c r="HK41" s="50">
        <f>IF(DQ41="","",COUNTIFS($D$25:$D$267,Parameters!$K$2,$E$25:$E$267,Parameters!$M$2,Calendrier!$C$25:$C$267,DQ41)+ COUNTIFS($D$25:$D$267,Parameters!$K$4,$E$25:$E$267,Parameters!$M$2,Calendrier!$C$25:$C$267,DQ41))</f>
        <v>0</v>
      </c>
      <c r="HL41" s="50">
        <f>IF(DR41="","",COUNTIFS($D$25:$D$267,Parameters!$K$2,$E$25:$E$267,Parameters!$M$2,Calendrier!$C$25:$C$267,DR41)+ COUNTIFS($D$25:$D$267,Parameters!$K$3,$E$25:$E$267,Parameters!$M$2,Calendrier!$C$25:$C$267,DR41))</f>
        <v>0</v>
      </c>
      <c r="HM41" s="50">
        <f>IF(DS41="","",COUNTIFS($D$25:$D$267,Parameters!$K$2,$E$25:$E$267,Parameters!$M$2,Calendrier!$C$25:$C$267,DS41)+ COUNTIFS($D$25:$D$267,Parameters!$K$4,$E$25:$E$267,Parameters!$M$2,Calendrier!$C$25:$C$267,DS41))</f>
        <v>0</v>
      </c>
      <c r="HN41" s="50" t="str">
        <f>IF(DT41="","",COUNTIFS($D$25:$D$267,Parameters!$K$2,$E$25:$E$267,Parameters!$M$2,Calendrier!$C$25:$C$267,DT41)+ COUNTIFS($D$25:$D$267,Parameters!$K$3,$E$25:$E$267,Parameters!$M$2,Calendrier!$C$25:$C$267,DT41))</f>
        <v/>
      </c>
      <c r="HO41" s="57" t="str">
        <f>IF(DU41="","",COUNTIFS($D$25:$D$267,Parameters!$K$2,$E$25:$E$267,Parameters!$M$2,Calendrier!$C$25:$C$267,DU41)+ COUNTIFS($D$25:$D$267,Parameters!$K$4,$E$25:$E$267,Parameters!$M$2,Calendrier!$C$25:$C$267,DU41))</f>
        <v/>
      </c>
      <c r="HR41" s="49">
        <f>IF(DX41="","",COUNTIFS($D$25:$D$267,Parameters!$K$2,$E$25:$E$267,Parameters!$M$2,Calendrier!$C$25:$C$267,DX41)+ COUNTIFS($D$25:$D$267,Parameters!$K$3,$E$25:$E$267,Parameters!$M$2,Calendrier!$C$25:$C$267,DX41))</f>
        <v>0</v>
      </c>
      <c r="HS41" s="50">
        <f>IF(DY41="","",COUNTIFS($D$25:$D$267,Parameters!$K$2,$E$25:$E$267,Parameters!$M$2,Calendrier!$C$25:$C$267,DY41)+ COUNTIFS($D$25:$D$267,Parameters!$K$4,$E$25:$E$267,Parameters!$M$2,Calendrier!$C$25:$C$267,DY41))</f>
        <v>0</v>
      </c>
      <c r="HT41" s="50">
        <f>IF(DZ41="","",COUNTIFS($D$25:$D$267,Parameters!$K$2,$E$25:$E$267,Parameters!$M$2,Calendrier!$C$25:$C$267,DZ41)+ COUNTIFS($D$25:$D$267,Parameters!$K$3,$E$25:$E$267,Parameters!$M$2,Calendrier!$C$25:$C$267,DZ41))</f>
        <v>0</v>
      </c>
      <c r="HU41" s="50">
        <f>IF(EA41="","",COUNTIFS($D$25:$D$267,Parameters!$K$2,$E$25:$E$267,Parameters!$M$2,Calendrier!$C$25:$C$267,EA41)+ COUNTIFS($D$25:$D$267,Parameters!$K$4,$E$25:$E$267,Parameters!$M$2,Calendrier!$C$25:$C$267,EA41))</f>
        <v>0</v>
      </c>
      <c r="HV41" s="50">
        <f>IF(EB41="","",COUNTIFS($D$25:$D$267,Parameters!$K$2,$E$25:$E$267,Parameters!$M$2,Calendrier!$C$25:$C$267,EB41)+ COUNTIFS($D$25:$D$267,Parameters!$K$3,$E$25:$E$267,Parameters!$M$2,Calendrier!$C$25:$C$267,EB41))</f>
        <v>0</v>
      </c>
      <c r="HW41" s="50">
        <f>IF(EC41="","",COUNTIFS($D$25:$D$267,Parameters!$K$2,$E$25:$E$267,Parameters!$M$2,Calendrier!$C$25:$C$267,EC41)+ COUNTIFS($D$25:$D$267,Parameters!$K$4,$E$25:$E$267,Parameters!$M$2,Calendrier!$C$25:$C$267,EC41))</f>
        <v>0</v>
      </c>
      <c r="HX41" s="50">
        <f>IF(ED41="","",COUNTIFS($D$25:$D$267,Parameters!$K$2,$E$25:$E$267,Parameters!$M$2,Calendrier!$C$25:$C$267,ED41)+ COUNTIFS($D$25:$D$267,Parameters!$K$3,$E$25:$E$267,Parameters!$M$2,Calendrier!$C$25:$C$267,ED41))</f>
        <v>0</v>
      </c>
      <c r="HY41" s="50">
        <f>IF(EE41="","",COUNTIFS($D$25:$D$267,Parameters!$K$2,$E$25:$E$267,Parameters!$M$2,Calendrier!$C$25:$C$267,EE41)+ COUNTIFS($D$25:$D$267,Parameters!$K$4,$E$25:$E$267,Parameters!$M$2,Calendrier!$C$25:$C$267,EE41))</f>
        <v>0</v>
      </c>
      <c r="HZ41" s="50">
        <f>IF(EF41="","",COUNTIFS($D$25:$D$267,Parameters!$K$2,$E$25:$E$267,Parameters!$M$2,Calendrier!$C$25:$C$267,EF41)+ COUNTIFS($D$25:$D$267,Parameters!$K$3,$E$25:$E$267,Parameters!$M$2,Calendrier!$C$25:$C$267,EF41))</f>
        <v>0</v>
      </c>
      <c r="IA41" s="50">
        <f>IF(EG41="","",COUNTIFS($D$25:$D$267,Parameters!$K$2,$E$25:$E$267,Parameters!$M$2,Calendrier!$C$25:$C$267,EG41)+ COUNTIFS($D$25:$D$267,Parameters!$K$4,$E$25:$E$267,Parameters!$M$2,Calendrier!$C$25:$C$267,EG41))</f>
        <v>0</v>
      </c>
      <c r="IB41" s="50">
        <f>IF(EH41="","",COUNTIFS($D$25:$D$267,Parameters!$K$2,$E$25:$E$267,Parameters!$M$2,Calendrier!$C$25:$C$267,EH41)+ COUNTIFS($D$25:$D$267,Parameters!$K$3,$E$25:$E$267,Parameters!$M$2,Calendrier!$C$25:$C$267,EH41))</f>
        <v>0</v>
      </c>
      <c r="IC41" s="50">
        <f>IF(EI41="","",COUNTIFS($D$25:$D$267,Parameters!$K$2,$E$25:$E$267,Parameters!$M$2,Calendrier!$C$25:$C$267,EI41)+ COUNTIFS($D$25:$D$267,Parameters!$K$4,$E$25:$E$267,Parameters!$M$2,Calendrier!$C$25:$C$267,EI41))</f>
        <v>0</v>
      </c>
      <c r="ID41" s="50">
        <f>IF(EJ41="","",COUNTIFS($D$25:$D$267,Parameters!$K$2,$E$25:$E$267,Parameters!$M$2,Calendrier!$C$25:$C$267,EJ41)+ COUNTIFS($D$25:$D$267,Parameters!$K$3,$E$25:$E$267,Parameters!$M$2,Calendrier!$C$25:$C$267,EJ41))</f>
        <v>0</v>
      </c>
      <c r="IE41" s="57">
        <f>IF(EK41="","",COUNTIFS($D$25:$D$267,Parameters!$K$2,$E$25:$E$267,Parameters!$M$2,Calendrier!$C$25:$C$267,EK41)+ COUNTIFS($D$25:$D$267,Parameters!$K$4,$E$25:$E$267,Parameters!$M$2,Calendrier!$C$25:$C$267,EK41))</f>
        <v>0</v>
      </c>
      <c r="IH41" s="49">
        <f>IF(EN41="","",COUNTIFS($D$25:$D$267,Parameters!$K$2,$E$25:$E$267,Parameters!$M$2,Calendrier!$C$25:$C$267,EN41)+ COUNTIFS($D$25:$D$267,Parameters!$K$3,$E$25:$E$267,Parameters!$M$2,Calendrier!$C$25:$C$267,EN41))</f>
        <v>0</v>
      </c>
      <c r="II41" s="50">
        <f>IF(EO41="","",COUNTIFS($D$25:$D$267,Parameters!$K$2,$E$25:$E$267,Parameters!$M$2,Calendrier!$C$25:$C$267,EO41)+ COUNTIFS($D$25:$D$267,Parameters!$K$4,$E$25:$E$267,Parameters!$M$2,Calendrier!$C$25:$C$267,EO41))</f>
        <v>0</v>
      </c>
      <c r="IJ41" s="50">
        <f>IF(EP41="","",COUNTIFS($D$25:$D$267,Parameters!$K$2,$E$25:$E$267,Parameters!$M$2,Calendrier!$C$25:$C$267,EP41)+ COUNTIFS($D$25:$D$267,Parameters!$K$3,$E$25:$E$267,Parameters!$M$2,Calendrier!$C$25:$C$267,EP41))</f>
        <v>0</v>
      </c>
      <c r="IK41" s="50">
        <f>IF(EQ41="","",COUNTIFS($D$25:$D$267,Parameters!$K$2,$E$25:$E$267,Parameters!$M$2,Calendrier!$C$25:$C$267,EQ41)+ COUNTIFS($D$25:$D$267,Parameters!$K$4,$E$25:$E$267,Parameters!$M$2,Calendrier!$C$25:$C$267,EQ41))</f>
        <v>0</v>
      </c>
      <c r="IL41" s="50">
        <f>IF(ER41="","",COUNTIFS($D$25:$D$267,Parameters!$K$2,$E$25:$E$267,Parameters!$M$2,Calendrier!$C$25:$C$267,ER41)+ COUNTIFS($D$25:$D$267,Parameters!$K$3,$E$25:$E$267,Parameters!$M$2,Calendrier!$C$25:$C$267,ER41))</f>
        <v>0</v>
      </c>
      <c r="IM41" s="50">
        <f>IF(ES41="","",COUNTIFS($D$25:$D$267,Parameters!$K$2,$E$25:$E$267,Parameters!$M$2,Calendrier!$C$25:$C$267,ES41)+ COUNTIFS($D$25:$D$267,Parameters!$K$4,$E$25:$E$267,Parameters!$M$2,Calendrier!$C$25:$C$267,ES41))</f>
        <v>0</v>
      </c>
      <c r="IN41" s="50">
        <f>IF(ET41="","",COUNTIFS($D$25:$D$267,Parameters!$K$2,$E$25:$E$267,Parameters!$M$2,Calendrier!$C$25:$C$267,ET41)+ COUNTIFS($D$25:$D$267,Parameters!$K$3,$E$25:$E$267,Parameters!$M$2,Calendrier!$C$25:$C$267,ET41))</f>
        <v>0</v>
      </c>
      <c r="IO41" s="50">
        <f>IF(EU41="","",COUNTIFS($D$25:$D$267,Parameters!$K$2,$E$25:$E$267,Parameters!$M$2,Calendrier!$C$25:$C$267,EU41)+ COUNTIFS($D$25:$D$267,Parameters!$K$4,$E$25:$E$267,Parameters!$M$2,Calendrier!$C$25:$C$267,EU41))</f>
        <v>0</v>
      </c>
      <c r="IP41" s="50" t="str">
        <f>IF(EV41="","",COUNTIFS($D$25:$D$267,Parameters!$K$2,$E$25:$E$267,Parameters!$M$2,Calendrier!$C$25:$C$267,EV41)+ COUNTIFS($D$25:$D$267,Parameters!$K$3,$E$25:$E$267,Parameters!$M$2,Calendrier!$C$25:$C$267,EV41))</f>
        <v/>
      </c>
      <c r="IQ41" s="50" t="str">
        <f>IF(EW41="","",COUNTIFS($D$25:$D$267,Parameters!$K$2,$E$25:$E$267,Parameters!$M$2,Calendrier!$C$25:$C$267,EW41)+ COUNTIFS($D$25:$D$267,Parameters!$K$4,$E$25:$E$267,Parameters!$M$2,Calendrier!$C$25:$C$267,EW41))</f>
        <v/>
      </c>
      <c r="IR41" s="50" t="str">
        <f>IF(EX41="","",COUNTIFS($D$25:$D$267,Parameters!$K$2,$E$25:$E$267,Parameters!$M$2,Calendrier!$C$25:$C$267,EX41)+ COUNTIFS($D$25:$D$267,Parameters!$K$3,$E$25:$E$267,Parameters!$M$2,Calendrier!$C$25:$C$267,EX41))</f>
        <v/>
      </c>
      <c r="IS41" s="50" t="str">
        <f>IF(EY41="","",COUNTIFS($D$25:$D$267,Parameters!$K$2,$E$25:$E$267,Parameters!$M$2,Calendrier!$C$25:$C$267,EY41)+ COUNTIFS($D$25:$D$267,Parameters!$K$4,$E$25:$E$267,Parameters!$M$2,Calendrier!$C$25:$C$267,EY41))</f>
        <v/>
      </c>
      <c r="IT41" s="50" t="str">
        <f>IF(EZ41="","",COUNTIFS($D$25:$D$267,Parameters!$K$2,$E$25:$E$267,Parameters!$M$2,Calendrier!$C$25:$C$267,EZ41)+ COUNTIFS($D$25:$D$267,Parameters!$K$3,$E$25:$E$267,Parameters!$M$2,Calendrier!$C$25:$C$267,EZ41))</f>
        <v/>
      </c>
      <c r="IU41" s="57" t="str">
        <f>IF(FA41="","",COUNTIFS($D$25:$D$267,Parameters!$K$2,$E$25:$E$267,Parameters!$M$2,Calendrier!$C$25:$C$267,FA41)+ COUNTIFS($D$25:$D$267,Parameters!$K$4,$E$25:$E$267,Parameters!$M$2,Calendrier!$C$25:$C$267,FA41))</f>
        <v/>
      </c>
      <c r="IY41" s="49">
        <f>IF(DH41="","",COUNTIFS($D$25:$D$267,Parameters!$K$2,$E$25:$E$267,Parameters!$M$3,Calendrier!$C$25:$C$267,DH41)+ COUNTIFS($D$25:$D$267,Parameters!$K$3,$E$25:$E$267,Parameters!$M$3,Calendrier!$C$25:$C$267,DH41))</f>
        <v>0</v>
      </c>
      <c r="IZ41" s="50">
        <f>IF(DI41="","",COUNTIFS($D$25:$D$267,Parameters!$K$2,$E$25:$E$267,Parameters!$M$3,Calendrier!$C$25:$C$267,DI41)+ COUNTIFS($D$25:$D$267,Parameters!$K$4,$E$25:$E$267,Parameters!$M$3,Calendrier!$C$25:$C$267,DI41))</f>
        <v>0</v>
      </c>
      <c r="JA41" s="50">
        <f>IF(DJ41="","",COUNTIFS($D$25:$D$267,Parameters!$K$2,$E$25:$E$267,Parameters!$M$3,Calendrier!$C$25:$C$267,DJ41)+ COUNTIFS($D$25:$D$267,Parameters!$K$3,$E$25:$E$267,Parameters!$M$3,Calendrier!$C$25:$C$267,DJ41))</f>
        <v>0</v>
      </c>
      <c r="JB41" s="50">
        <f>IF(DK41="","",COUNTIFS($D$25:$D$267,Parameters!$K$2,$E$25:$E$267,Parameters!$M$3,Calendrier!$C$25:$C$267,DK41)+ COUNTIFS($D$25:$D$267,Parameters!$K$4,$E$25:$E$267,Parameters!$M$3,Calendrier!$C$25:$C$267,DK41))</f>
        <v>0</v>
      </c>
      <c r="JC41" s="50">
        <f>IF(DL41="","",COUNTIFS($D$25:$D$267,Parameters!$K$2,$E$25:$E$267,Parameters!$M$3,Calendrier!$C$25:$C$267,DL41)+ COUNTIFS($D$25:$D$267,Parameters!$K$3,$E$25:$E$267,Parameters!$M$3,Calendrier!$C$25:$C$267,DL41))</f>
        <v>0</v>
      </c>
      <c r="JD41" s="50">
        <f>IF(DM41="","",COUNTIFS($D$25:$D$267,Parameters!$K$2,$E$25:$E$267,Parameters!$M$3,Calendrier!$C$25:$C$267,DM41)+ COUNTIFS($D$25:$D$267,Parameters!$K$4,$E$25:$E$267,Parameters!$M$3,Calendrier!$C$25:$C$267,DM41))</f>
        <v>0</v>
      </c>
      <c r="JE41" s="50">
        <f>IF(DN41="","",COUNTIFS($D$25:$D$267,Parameters!$K$2,$E$25:$E$267,Parameters!$M$3,Calendrier!$C$25:$C$267,DN41)+ COUNTIFS($D$25:$D$267,Parameters!$K$3,$E$25:$E$267,Parameters!$M$3,Calendrier!$C$25:$C$267,DN41))</f>
        <v>0</v>
      </c>
      <c r="JF41" s="50">
        <f>IF(DO41="","",COUNTIFS($D$25:$D$267,Parameters!$K$2,$E$25:$E$267,Parameters!$M$3,Calendrier!$C$25:$C$267,DO41)+ COUNTIFS($D$25:$D$267,Parameters!$K$4,$E$25:$E$267,Parameters!$M$3,Calendrier!$C$25:$C$267,DO41))</f>
        <v>0</v>
      </c>
      <c r="JG41" s="50">
        <f>IF(DP41="","",COUNTIFS($D$25:$D$267,Parameters!$K$2,$E$25:$E$267,Parameters!$M$3,Calendrier!$C$25:$C$267,DP41)+ COUNTIFS($D$25:$D$267,Parameters!$K$3,$E$25:$E$267,Parameters!$M$3,Calendrier!$C$25:$C$267,DP41))</f>
        <v>0</v>
      </c>
      <c r="JH41" s="50">
        <f>IF(DQ41="","",COUNTIFS($D$25:$D$267,Parameters!$K$2,$E$25:$E$267,Parameters!$M$3,Calendrier!$C$25:$C$267,DQ41)+ COUNTIFS($D$25:$D$267,Parameters!$K$4,$E$25:$E$267,Parameters!$M$3,Calendrier!$C$25:$C$267,DQ41))</f>
        <v>0</v>
      </c>
      <c r="JI41" s="50">
        <f>IF(DR41="","",COUNTIFS($D$25:$D$267,Parameters!$K$2,$E$25:$E$267,Parameters!$M$3,Calendrier!$C$25:$C$267,DR41)+ COUNTIFS($D$25:$D$267,Parameters!$K$3,$E$25:$E$267,Parameters!$M$3,Calendrier!$C$25:$C$267,DR41))</f>
        <v>0</v>
      </c>
      <c r="JJ41" s="50">
        <f>IF(DS41="","",COUNTIFS($D$25:$D$267,Parameters!$K$2,$E$25:$E$267,Parameters!$M$3,Calendrier!$C$25:$C$267,DS41)+ COUNTIFS($D$25:$D$267,Parameters!$K$4,$E$25:$E$267,Parameters!$M$3,Calendrier!$C$25:$C$267,DS41))</f>
        <v>0</v>
      </c>
      <c r="JK41" s="50" t="str">
        <f>IF(DT41="","",COUNTIFS($D$25:$D$267,Parameters!$K$2,$E$25:$E$267,Parameters!$M$3,Calendrier!$C$25:$C$267,DT41)+ COUNTIFS($D$25:$D$267,Parameters!$K$3,$E$25:$E$267,Parameters!$M$3,Calendrier!$C$25:$C$267,DT41))</f>
        <v/>
      </c>
      <c r="JL41" s="57" t="str">
        <f>IF(DU41="","",COUNTIFS($D$25:$D$267,Parameters!$K$2,$E$25:$E$267,Parameters!$M$3,Calendrier!$C$25:$C$267,DU41)+ COUNTIFS($D$25:$D$267,Parameters!$K$4,$E$25:$E$267,Parameters!$M$3,Calendrier!$C$25:$C$267,DU41))</f>
        <v/>
      </c>
      <c r="JO41" s="49">
        <f>IF(DX41="","",COUNTIFS($D$25:$D$267,Parameters!$K$2,$E$25:$E$267,Parameters!$M$3,Calendrier!$C$25:$C$267,DX41)+ COUNTIFS($D$25:$D$267,Parameters!$K$3,$E$25:$E$267,Parameters!$M$3,Calendrier!$C$25:$C$267,DX41))</f>
        <v>0</v>
      </c>
      <c r="JP41" s="50">
        <f>IF(DY41="","",COUNTIFS($D$25:$D$267,Parameters!$K$2,$E$25:$E$267,Parameters!$M$3,Calendrier!$C$25:$C$267,DY41)+ COUNTIFS($D$25:$D$267,Parameters!$K$4,$E$25:$E$267,Parameters!$M$3,Calendrier!$C$25:$C$267,DY41))</f>
        <v>0</v>
      </c>
      <c r="JQ41" s="50">
        <f>IF(DZ41="","",COUNTIFS($D$25:$D$267,Parameters!$K$2,$E$25:$E$267,Parameters!$M$3,Calendrier!$C$25:$C$267,DZ41)+ COUNTIFS($D$25:$D$267,Parameters!$K$3,$E$25:$E$267,Parameters!$M$3,Calendrier!$C$25:$C$267,DZ41))</f>
        <v>0</v>
      </c>
      <c r="JR41" s="50">
        <f>IF(EA41="","",COUNTIFS($D$25:$D$267,Parameters!$K$2,$E$25:$E$267,Parameters!$M$3,Calendrier!$C$25:$C$267,EA41)+ COUNTIFS($D$25:$D$267,Parameters!$K$4,$E$25:$E$267,Parameters!$M$3,Calendrier!$C$25:$C$267,EA41))</f>
        <v>0</v>
      </c>
      <c r="JS41" s="50">
        <f>IF(EB41="","",COUNTIFS($D$25:$D$267,Parameters!$K$2,$E$25:$E$267,Parameters!$M$3,Calendrier!$C$25:$C$267,EB41)+ COUNTIFS($D$25:$D$267,Parameters!$K$3,$E$25:$E$267,Parameters!$M$3,Calendrier!$C$25:$C$267,EB41))</f>
        <v>0</v>
      </c>
      <c r="JT41" s="50">
        <f>IF(EC41="","",COUNTIFS($D$25:$D$267,Parameters!$K$2,$E$25:$E$267,Parameters!$M$3,Calendrier!$C$25:$C$267,EC41)+ COUNTIFS($D$25:$D$267,Parameters!$K$4,$E$25:$E$267,Parameters!$M$3,Calendrier!$C$25:$C$267,EC41))</f>
        <v>0</v>
      </c>
      <c r="JU41" s="50">
        <f>IF(ED41="","",COUNTIFS($D$25:$D$267,Parameters!$K$2,$E$25:$E$267,Parameters!$M$3,Calendrier!$C$25:$C$267,ED41)+ COUNTIFS($D$25:$D$267,Parameters!$K$3,$E$25:$E$267,Parameters!$M$3,Calendrier!$C$25:$C$267,ED41))</f>
        <v>0</v>
      </c>
      <c r="JV41" s="50">
        <f>IF(EE41="","",COUNTIFS($D$25:$D$267,Parameters!$K$2,$E$25:$E$267,Parameters!$M$3,Calendrier!$C$25:$C$267,EE41)+ COUNTIFS($D$25:$D$267,Parameters!$K$4,$E$25:$E$267,Parameters!$M$3,Calendrier!$C$25:$C$267,EE41))</f>
        <v>0</v>
      </c>
      <c r="JW41" s="50">
        <f>IF(EF41="","",COUNTIFS($D$25:$D$267,Parameters!$K$2,$E$25:$E$267,Parameters!$M$3,Calendrier!$C$25:$C$267,EF41)+ COUNTIFS($D$25:$D$267,Parameters!$K$3,$E$25:$E$267,Parameters!$M$3,Calendrier!$C$25:$C$267,EF41))</f>
        <v>0</v>
      </c>
      <c r="JX41" s="50">
        <f>IF(EG41="","",COUNTIFS($D$25:$D$267,Parameters!$K$2,$E$25:$E$267,Parameters!$M$3,Calendrier!$C$25:$C$267,EG41)+ COUNTIFS($D$25:$D$267,Parameters!$K$4,$E$25:$E$267,Parameters!$M$3,Calendrier!$C$25:$C$267,EG41))</f>
        <v>0</v>
      </c>
      <c r="JY41" s="50">
        <f>IF(EH41="","",COUNTIFS($D$25:$D$267,Parameters!$K$2,$E$25:$E$267,Parameters!$M$3,Calendrier!$C$25:$C$267,EH41)+ COUNTIFS($D$25:$D$267,Parameters!$K$3,$E$25:$E$267,Parameters!$M$3,Calendrier!$C$25:$C$267,EH41))</f>
        <v>0</v>
      </c>
      <c r="JZ41" s="50">
        <f>IF(EI41="","",COUNTIFS($D$25:$D$267,Parameters!$K$2,$E$25:$E$267,Parameters!$M$3,Calendrier!$C$25:$C$267,EI41)+ COUNTIFS($D$25:$D$267,Parameters!$K$4,$E$25:$E$267,Parameters!$M$3,Calendrier!$C$25:$C$267,EI41))</f>
        <v>0</v>
      </c>
      <c r="KA41" s="50">
        <f>IF(EJ41="","",COUNTIFS($D$25:$D$267,Parameters!$K$2,$E$25:$E$267,Parameters!$M$3,Calendrier!$C$25:$C$267,EJ41)+ COUNTIFS($D$25:$D$267,Parameters!$K$3,$E$25:$E$267,Parameters!$M$3,Calendrier!$C$25:$C$267,EJ41))</f>
        <v>0</v>
      </c>
      <c r="KB41" s="57">
        <f>IF(EK41="","",COUNTIFS($D$25:$D$267,Parameters!$K$2,$E$25:$E$267,Parameters!$M$3,Calendrier!$C$25:$C$267,EK41)+ COUNTIFS($D$25:$D$267,Parameters!$K$4,$E$25:$E$267,Parameters!$M$3,Calendrier!$C$25:$C$267,EK41))</f>
        <v>0</v>
      </c>
      <c r="KE41" s="49">
        <f>IF(EN41="","",COUNTIFS($D$25:$D$267,Parameters!$K$2,$E$25:$E$267,Parameters!$M$3,Calendrier!$C$25:$C$267,EN41)+ COUNTIFS($D$25:$D$267,Parameters!$K$3,$E$25:$E$267,Parameters!$M$3,Calendrier!$C$25:$C$267,EN41))</f>
        <v>0</v>
      </c>
      <c r="KF41" s="50">
        <f>IF(EO41="","",COUNTIFS($D$25:$D$267,Parameters!$K$2,$E$25:$E$267,Parameters!$M$3,Calendrier!$C$25:$C$267,EO41)+ COUNTIFS($D$25:$D$267,Parameters!$K$4,$E$25:$E$267,Parameters!$M$3,Calendrier!$C$25:$C$267,EO41))</f>
        <v>0</v>
      </c>
      <c r="KG41" s="50">
        <f>IF(EP41="","",COUNTIFS($D$25:$D$267,Parameters!$K$2,$E$25:$E$267,Parameters!$M$3,Calendrier!$C$25:$C$267,EP41)+ COUNTIFS($D$25:$D$267,Parameters!$K$3,$E$25:$E$267,Parameters!$M$3,Calendrier!$C$25:$C$267,EP41))</f>
        <v>0</v>
      </c>
      <c r="KH41" s="50">
        <f>IF(EQ41="","",COUNTIFS($D$25:$D$267,Parameters!$K$2,$E$25:$E$267,Parameters!$M$3,Calendrier!$C$25:$C$267,EQ41)+ COUNTIFS($D$25:$D$267,Parameters!$K$4,$E$25:$E$267,Parameters!$M$3,Calendrier!$C$25:$C$267,EQ41))</f>
        <v>0</v>
      </c>
      <c r="KI41" s="50">
        <f>IF(ER41="","",COUNTIFS($D$25:$D$267,Parameters!$K$2,$E$25:$E$267,Parameters!$M$3,Calendrier!$C$25:$C$267,ER41)+ COUNTIFS($D$25:$D$267,Parameters!$K$3,$E$25:$E$267,Parameters!$M$3,Calendrier!$C$25:$C$267,ER41))</f>
        <v>0</v>
      </c>
      <c r="KJ41" s="50">
        <f>IF(ES41="","",COUNTIFS($D$25:$D$267,Parameters!$K$2,$E$25:$E$267,Parameters!$M$3,Calendrier!$C$25:$C$267,ES41)+ COUNTIFS($D$25:$D$267,Parameters!$K$4,$E$25:$E$267,Parameters!$M$3,Calendrier!$C$25:$C$267,ES41))</f>
        <v>0</v>
      </c>
      <c r="KK41" s="50">
        <f>IF(ET41="","",COUNTIFS($D$25:$D$267,Parameters!$K$2,$E$25:$E$267,Parameters!$M$3,Calendrier!$C$25:$C$267,ET41)+ COUNTIFS($D$25:$D$267,Parameters!$K$3,$E$25:$E$267,Parameters!$M$3,Calendrier!$C$25:$C$267,ET41))</f>
        <v>0</v>
      </c>
      <c r="KL41" s="50">
        <f>IF(EU41="","",COUNTIFS($D$25:$D$267,Parameters!$K$2,$E$25:$E$267,Parameters!$M$3,Calendrier!$C$25:$C$267,EU41)+ COUNTIFS($D$25:$D$267,Parameters!$K$4,$E$25:$E$267,Parameters!$M$3,Calendrier!$C$25:$C$267,EU41))</f>
        <v>0</v>
      </c>
      <c r="KM41" s="50" t="str">
        <f>IF(EV41="","",COUNTIFS($D$25:$D$267,Parameters!$K$2,$E$25:$E$267,Parameters!$M$3,Calendrier!$C$25:$C$267,EV41)+ COUNTIFS($D$25:$D$267,Parameters!$K$3,$E$25:$E$267,Parameters!$M$3,Calendrier!$C$25:$C$267,EV41))</f>
        <v/>
      </c>
      <c r="KN41" s="50" t="str">
        <f>IF(EW41="","",COUNTIFS($D$25:$D$267,Parameters!$K$2,$E$25:$E$267,Parameters!$M$3,Calendrier!$C$25:$C$267,EW41)+ COUNTIFS($D$25:$D$267,Parameters!$K$4,$E$25:$E$267,Parameters!$M$3,Calendrier!$C$25:$C$267,EW41))</f>
        <v/>
      </c>
      <c r="KO41" s="50" t="str">
        <f>IF(EX41="","",COUNTIFS($D$25:$D$267,Parameters!$K$2,$E$25:$E$267,Parameters!$M$3,Calendrier!$C$25:$C$267,EX41)+ COUNTIFS($D$25:$D$267,Parameters!$K$3,$E$25:$E$267,Parameters!$M$3,Calendrier!$C$25:$C$267,EX41))</f>
        <v/>
      </c>
      <c r="KP41" s="50" t="str">
        <f>IF(EY41="","",COUNTIFS($D$25:$D$267,Parameters!$K$2,$E$25:$E$267,Parameters!$M$3,Calendrier!$C$25:$C$267,EY41)+ COUNTIFS($D$25:$D$267,Parameters!$K$4,$E$25:$E$267,Parameters!$M$3,Calendrier!$C$25:$C$267,EY41))</f>
        <v/>
      </c>
      <c r="KQ41" s="50" t="str">
        <f>IF(EZ41="","",COUNTIFS($D$25:$D$267,Parameters!$K$2,$E$25:$E$267,Parameters!$M$3,Calendrier!$C$25:$C$267,EZ41)+ COUNTIFS($D$25:$D$267,Parameters!$K$3,$E$25:$E$267,Parameters!$M$3,Calendrier!$C$25:$C$267,EZ41))</f>
        <v/>
      </c>
      <c r="KR41" s="57" t="str">
        <f>IF(FA41="","",COUNTIFS($D$25:$D$267,Parameters!$K$2,$E$25:$E$267,Parameters!$M$3,Calendrier!$C$25:$C$267,FA41)+ COUNTIFS($D$25:$D$267,Parameters!$K$4,$E$25:$E$267,Parameters!$M$3,Calendrier!$C$25:$C$267,FA41))</f>
        <v/>
      </c>
      <c r="KV41" s="49">
        <f>IF(DH41="","",COUNTIFS($D$25:$D$267,Parameters!$K$2,$E$25:$E$267,Parameters!$M$4,Calendrier!$C$25:$C$267,DH41)+ COUNTIFS($D$25:$D$267,Parameters!$K$3,$E$25:$E$267,Parameters!$M$4,Calendrier!$C$25:$C$267,DH41))</f>
        <v>0</v>
      </c>
      <c r="KW41" s="50">
        <f>IF(DI41="","",COUNTIFS($D$25:$D$267,Parameters!$K$2,$E$25:$E$267,Parameters!$M$4,Calendrier!$C$25:$C$267,DI41)+ COUNTIFS($D$25:$D$267,Parameters!$K$4,$E$25:$E$267,Parameters!$M$4,Calendrier!$C$25:$C$267,DI41))</f>
        <v>0</v>
      </c>
      <c r="KX41" s="50">
        <f>IF(DJ41="","",COUNTIFS($D$25:$D$267,Parameters!$K$2,$E$25:$E$267,Parameters!$M$4,Calendrier!$C$25:$C$267,DJ41)+ COUNTIFS($D$25:$D$267,Parameters!$K$3,$E$25:$E$267,Parameters!$M$4,Calendrier!$C$25:$C$267,DJ41))</f>
        <v>0</v>
      </c>
      <c r="KY41" s="50">
        <f>IF(DK41="","",COUNTIFS($D$25:$D$267,Parameters!$K$2,$E$25:$E$267,Parameters!$M$4,Calendrier!$C$25:$C$267,DK41)+ COUNTIFS($D$25:$D$267,Parameters!$K$4,$E$25:$E$267,Parameters!$M$4,Calendrier!$C$25:$C$267,DK41))</f>
        <v>0</v>
      </c>
      <c r="KZ41" s="50">
        <f>IF(DL41="","",COUNTIFS($D$25:$D$267,Parameters!$K$2,$E$25:$E$267,Parameters!$M$4,Calendrier!$C$25:$C$267,DL41)+ COUNTIFS($D$25:$D$267,Parameters!$K$3,$E$25:$E$267,Parameters!$M$4,Calendrier!$C$25:$C$267,DL41))</f>
        <v>0</v>
      </c>
      <c r="LA41" s="50">
        <f>IF(DM41="","",COUNTIFS($D$25:$D$267,Parameters!$K$2,$E$25:$E$267,Parameters!$M$4,Calendrier!$C$25:$C$267,DM41)+ COUNTIFS($D$25:$D$267,Parameters!$K$4,$E$25:$E$267,Parameters!$M$4,Calendrier!$C$25:$C$267,DM41))</f>
        <v>0</v>
      </c>
      <c r="LB41" s="50">
        <f>IF(DN41="","",COUNTIFS($D$25:$D$267,Parameters!$K$2,$E$25:$E$267,Parameters!$M$4,Calendrier!$C$25:$C$267,DN41)+ COUNTIFS($D$25:$D$267,Parameters!$K$3,$E$25:$E$267,Parameters!$M$4,Calendrier!$C$25:$C$267,DN41))</f>
        <v>0</v>
      </c>
      <c r="LC41" s="50">
        <f>IF(DO41="","",COUNTIFS($D$25:$D$267,Parameters!$K$2,$E$25:$E$267,Parameters!$M$4,Calendrier!$C$25:$C$267,DO41)+ COUNTIFS($D$25:$D$267,Parameters!$K$4,$E$25:$E$267,Parameters!$M$4,Calendrier!$C$25:$C$267,DO41))</f>
        <v>0</v>
      </c>
      <c r="LD41" s="50">
        <f>IF(DP41="","",COUNTIFS($D$25:$D$267,Parameters!$K$2,$E$25:$E$267,Parameters!$M$4,Calendrier!$C$25:$C$267,DP41)+ COUNTIFS($D$25:$D$267,Parameters!$K$3,$E$25:$E$267,Parameters!$M$4,Calendrier!$C$25:$C$267,DP41))</f>
        <v>0</v>
      </c>
      <c r="LE41" s="50">
        <f>IF(DQ41="","",COUNTIFS($D$25:$D$267,Parameters!$K$2,$E$25:$E$267,Parameters!$M$4,Calendrier!$C$25:$C$267,DQ41)+ COUNTIFS($D$25:$D$267,Parameters!$K$4,$E$25:$E$267,Parameters!$M$4,Calendrier!$C$25:$C$267,DQ41))</f>
        <v>0</v>
      </c>
      <c r="LF41" s="50">
        <f>IF(DR41="","",COUNTIFS($D$25:$D$267,Parameters!$K$2,$E$25:$E$267,Parameters!$M$4,Calendrier!$C$25:$C$267,DR41)+ COUNTIFS($D$25:$D$267,Parameters!$K$3,$E$25:$E$267,Parameters!$M$4,Calendrier!$C$25:$C$267,DR41))</f>
        <v>0</v>
      </c>
      <c r="LG41" s="50">
        <f>IF(DS41="","",COUNTIFS($D$25:$D$267,Parameters!$K$2,$E$25:$E$267,Parameters!$M$4,Calendrier!$C$25:$C$267,DS41)+ COUNTIFS($D$25:$D$267,Parameters!$K$4,$E$25:$E$267,Parameters!$M$4,Calendrier!$C$25:$C$267,DS41))</f>
        <v>0</v>
      </c>
      <c r="LH41" s="50" t="str">
        <f>IF(DT41="","",COUNTIFS($D$25:$D$267,Parameters!$K$2,$E$25:$E$267,Parameters!$M$4,Calendrier!$C$25:$C$267,DT41)+ COUNTIFS($D$25:$D$267,Parameters!$K$3,$E$25:$E$267,Parameters!$M$4,Calendrier!$C$25:$C$267,DT41))</f>
        <v/>
      </c>
      <c r="LI41" s="57" t="str">
        <f>IF(DU41="","",COUNTIFS($D$25:$D$267,Parameters!$K$2,$E$25:$E$267,Parameters!$M$4,Calendrier!$C$25:$C$267,DU41)+ COUNTIFS($D$25:$D$267,Parameters!$K$4,$E$25:$E$267,Parameters!$M$4,Calendrier!$C$25:$C$267,DU41))</f>
        <v/>
      </c>
      <c r="LL41" s="49">
        <f>IF(DX41="","",COUNTIFS($D$25:$D$267,Parameters!$K$2,$E$25:$E$267,Parameters!$M$4,Calendrier!$C$25:$C$267,DX41)+ COUNTIFS($D$25:$D$267,Parameters!$K$3,$E$25:$E$267,Parameters!$M$4,Calendrier!$C$25:$C$267,DX41))</f>
        <v>0</v>
      </c>
      <c r="LM41" s="50">
        <f>IF(DY41="","",COUNTIFS($D$25:$D$267,Parameters!$K$2,$E$25:$E$267,Parameters!$M$4,Calendrier!$C$25:$C$267,DY41)+ COUNTIFS($D$25:$D$267,Parameters!$K$4,$E$25:$E$267,Parameters!$M$4,Calendrier!$C$25:$C$267,DY41))</f>
        <v>0</v>
      </c>
      <c r="LN41" s="50">
        <f>IF(DZ41="","",COUNTIFS($D$25:$D$267,Parameters!$K$2,$E$25:$E$267,Parameters!$M$4,Calendrier!$C$25:$C$267,DZ41)+ COUNTIFS($D$25:$D$267,Parameters!$K$3,$E$25:$E$267,Parameters!$M$4,Calendrier!$C$25:$C$267,DZ41))</f>
        <v>0</v>
      </c>
      <c r="LO41" s="50">
        <f>IF(EA41="","",COUNTIFS($D$25:$D$267,Parameters!$K$2,$E$25:$E$267,Parameters!$M$4,Calendrier!$C$25:$C$267,EA41)+ COUNTIFS($D$25:$D$267,Parameters!$K$4,$E$25:$E$267,Parameters!$M$4,Calendrier!$C$25:$C$267,EA41))</f>
        <v>0</v>
      </c>
      <c r="LP41" s="50">
        <f>IF(EB41="","",COUNTIFS($D$25:$D$267,Parameters!$K$2,$E$25:$E$267,Parameters!$M$4,Calendrier!$C$25:$C$267,EB41)+ COUNTIFS($D$25:$D$267,Parameters!$K$3,$E$25:$E$267,Parameters!$M$4,Calendrier!$C$25:$C$267,EB41))</f>
        <v>0</v>
      </c>
      <c r="LQ41" s="50">
        <f>IF(EC41="","",COUNTIFS($D$25:$D$267,Parameters!$K$2,$E$25:$E$267,Parameters!$M$4,Calendrier!$C$25:$C$267,EC41)+ COUNTIFS($D$25:$D$267,Parameters!$K$4,$E$25:$E$267,Parameters!$M$4,Calendrier!$C$25:$C$267,EC41))</f>
        <v>0</v>
      </c>
      <c r="LR41" s="50">
        <f>IF(ED41="","",COUNTIFS($D$25:$D$267,Parameters!$K$2,$E$25:$E$267,Parameters!$M$4,Calendrier!$C$25:$C$267,ED41)+ COUNTIFS($D$25:$D$267,Parameters!$K$3,$E$25:$E$267,Parameters!$M$4,Calendrier!$C$25:$C$267,ED41))</f>
        <v>0</v>
      </c>
      <c r="LS41" s="50">
        <f>IF(EE41="","",COUNTIFS($D$25:$D$267,Parameters!$K$2,$E$25:$E$267,Parameters!$M$4,Calendrier!$C$25:$C$267,EE41)+ COUNTIFS($D$25:$D$267,Parameters!$K$4,$E$25:$E$267,Parameters!$M$4,Calendrier!$C$25:$C$267,EE41))</f>
        <v>0</v>
      </c>
      <c r="LT41" s="50">
        <f>IF(EF41="","",COUNTIFS($D$25:$D$267,Parameters!$K$2,$E$25:$E$267,Parameters!$M$4,Calendrier!$C$25:$C$267,EF41)+ COUNTIFS($D$25:$D$267,Parameters!$K$3,$E$25:$E$267,Parameters!$M$4,Calendrier!$C$25:$C$267,EF41))</f>
        <v>0</v>
      </c>
      <c r="LU41" s="50">
        <f>IF(EG41="","",COUNTIFS($D$25:$D$267,Parameters!$K$2,$E$25:$E$267,Parameters!$M$4,Calendrier!$C$25:$C$267,EG41)+ COUNTIFS($D$25:$D$267,Parameters!$K$4,$E$25:$E$267,Parameters!$M$4,Calendrier!$C$25:$C$267,EG41))</f>
        <v>0</v>
      </c>
      <c r="LV41" s="50">
        <f>IF(EH41="","",COUNTIFS($D$25:$D$267,Parameters!$K$2,$E$25:$E$267,Parameters!$M$4,Calendrier!$C$25:$C$267,EH41)+ COUNTIFS($D$25:$D$267,Parameters!$K$3,$E$25:$E$267,Parameters!$M$4,Calendrier!$C$25:$C$267,EH41))</f>
        <v>0</v>
      </c>
      <c r="LW41" s="50">
        <f>IF(EI41="","",COUNTIFS($D$25:$D$267,Parameters!$K$2,$E$25:$E$267,Parameters!$M$4,Calendrier!$C$25:$C$267,EI41)+ COUNTIFS($D$25:$D$267,Parameters!$K$4,$E$25:$E$267,Parameters!$M$4,Calendrier!$C$25:$C$267,EI41))</f>
        <v>0</v>
      </c>
      <c r="LX41" s="50">
        <f>IF(EJ41="","",COUNTIFS($D$25:$D$267,Parameters!$K$2,$E$25:$E$267,Parameters!$M$4,Calendrier!$C$25:$C$267,EJ41)+ COUNTIFS($D$25:$D$267,Parameters!$K$3,$E$25:$E$267,Parameters!$M$4,Calendrier!$C$25:$C$267,EJ41))</f>
        <v>0</v>
      </c>
      <c r="LY41" s="57">
        <f>IF(EK41="","",COUNTIFS($D$25:$D$267,Parameters!$K$2,$E$25:$E$267,Parameters!$M$4,Calendrier!$C$25:$C$267,EK41)+ COUNTIFS($D$25:$D$267,Parameters!$K$4,$E$25:$E$267,Parameters!$M$4,Calendrier!$C$25:$C$267,EK41))</f>
        <v>0</v>
      </c>
      <c r="MB41" s="49">
        <f>IF(EN41="","",COUNTIFS($D$25:$D$267,Parameters!$K$2,$E$25:$E$267,Parameters!$M$4,Calendrier!$C$25:$C$267,EN41)+ COUNTIFS($D$25:$D$267,Parameters!$K$3,$E$25:$E$267,Parameters!$M$4,Calendrier!$C$25:$C$267,EN41))</f>
        <v>0</v>
      </c>
      <c r="MC41" s="50">
        <f>IF(EO41="","",COUNTIFS($D$25:$D$267,Parameters!$K$2,$E$25:$E$267,Parameters!$M$4,Calendrier!$C$25:$C$267,EO41)+ COUNTIFS($D$25:$D$267,Parameters!$K$4,$E$25:$E$267,Parameters!$M$4,Calendrier!$C$25:$C$267,EO41))</f>
        <v>0</v>
      </c>
      <c r="MD41" s="50">
        <f>IF(EP41="","",COUNTIFS($D$25:$D$267,Parameters!$K$2,$E$25:$E$267,Parameters!$M$4,Calendrier!$C$25:$C$267,EP41)+ COUNTIFS($D$25:$D$267,Parameters!$K$3,$E$25:$E$267,Parameters!$M$4,Calendrier!$C$25:$C$267,EP41))</f>
        <v>0</v>
      </c>
      <c r="ME41" s="50">
        <f>IF(EQ41="","",COUNTIFS($D$25:$D$267,Parameters!$K$2,$E$25:$E$267,Parameters!$M$4,Calendrier!$C$25:$C$267,EQ41)+ COUNTIFS($D$25:$D$267,Parameters!$K$4,$E$25:$E$267,Parameters!$M$4,Calendrier!$C$25:$C$267,EQ41))</f>
        <v>0</v>
      </c>
      <c r="MF41" s="50">
        <f>IF(ER41="","",COUNTIFS($D$25:$D$267,Parameters!$K$2,$E$25:$E$267,Parameters!$M$4,Calendrier!$C$25:$C$267,ER41)+ COUNTIFS($D$25:$D$267,Parameters!$K$3,$E$25:$E$267,Parameters!$M$4,Calendrier!$C$25:$C$267,ER41))</f>
        <v>0</v>
      </c>
      <c r="MG41" s="50">
        <f>IF(ES41="","",COUNTIFS($D$25:$D$267,Parameters!$K$2,$E$25:$E$267,Parameters!$M$4,Calendrier!$C$25:$C$267,ES41)+ COUNTIFS($D$25:$D$267,Parameters!$K$4,$E$25:$E$267,Parameters!$M$4,Calendrier!$C$25:$C$267,ES41))</f>
        <v>0</v>
      </c>
      <c r="MH41" s="50">
        <f>IF(ET41="","",COUNTIFS($D$25:$D$267,Parameters!$K$2,$E$25:$E$267,Parameters!$M$4,Calendrier!$C$25:$C$267,ET41)+ COUNTIFS($D$25:$D$267,Parameters!$K$3,$E$25:$E$267,Parameters!$M$4,Calendrier!$C$25:$C$267,ET41))</f>
        <v>0</v>
      </c>
      <c r="MI41" s="50">
        <f>IF(EU41="","",COUNTIFS($D$25:$D$267,Parameters!$K$2,$E$25:$E$267,Parameters!$M$4,Calendrier!$C$25:$C$267,EU41)+ COUNTIFS($D$25:$D$267,Parameters!$K$4,$E$25:$E$267,Parameters!$M$4,Calendrier!$C$25:$C$267,EU41))</f>
        <v>0</v>
      </c>
      <c r="MJ41" s="50" t="str">
        <f>IF(EV41="","",COUNTIFS($D$25:$D$267,Parameters!$K$2,$E$25:$E$267,Parameters!$M$4,Calendrier!$C$25:$C$267,EV41)+ COUNTIFS($D$25:$D$267,Parameters!$K$3,$E$25:$E$267,Parameters!$M$4,Calendrier!$C$25:$C$267,EV41))</f>
        <v/>
      </c>
      <c r="MK41" s="50" t="str">
        <f>IF(EW41="","",COUNTIFS($D$25:$D$267,Parameters!$K$2,$E$25:$E$267,Parameters!$M$4,Calendrier!$C$25:$C$267,EW41)+ COUNTIFS($D$25:$D$267,Parameters!$K$4,$E$25:$E$267,Parameters!$M$4,Calendrier!$C$25:$C$267,EW41))</f>
        <v/>
      </c>
      <c r="ML41" s="50" t="str">
        <f>IF(EX41="","",COUNTIFS($D$25:$D$267,Parameters!$K$2,$E$25:$E$267,Parameters!$M$4,Calendrier!$C$25:$C$267,EX41)+ COUNTIFS($D$25:$D$267,Parameters!$K$3,$E$25:$E$267,Parameters!$M$4,Calendrier!$C$25:$C$267,EX41))</f>
        <v/>
      </c>
      <c r="MM41" s="50" t="str">
        <f>IF(EY41="","",COUNTIFS($D$25:$D$267,Parameters!$K$2,$E$25:$E$267,Parameters!$M$4,Calendrier!$C$25:$C$267,EY41)+ COUNTIFS($D$25:$D$267,Parameters!$K$4,$E$25:$E$267,Parameters!$M$4,Calendrier!$C$25:$C$267,EY41))</f>
        <v/>
      </c>
      <c r="MN41" s="50" t="str">
        <f>IF(EZ41="","",COUNTIFS($D$25:$D$267,Parameters!$K$2,$E$25:$E$267,Parameters!$M$4,Calendrier!$C$25:$C$267,EZ41)+ COUNTIFS($D$25:$D$267,Parameters!$K$3,$E$25:$E$267,Parameters!$M$4,Calendrier!$C$25:$C$267,EZ41))</f>
        <v/>
      </c>
      <c r="MO41" s="57" t="str">
        <f>IF(FA41="","",COUNTIFS($D$25:$D$267,Parameters!$K$2,$E$25:$E$267,Parameters!$M$4,Calendrier!$C$25:$C$267,FA41)+ COUNTIFS($D$25:$D$267,Parameters!$K$4,$E$25:$E$267,Parameters!$M$4,Calendrier!$C$25:$C$267,FA41))</f>
        <v/>
      </c>
      <c r="MS41" s="49">
        <f>IF(DH41="","",COUNTIFS($D$25:$D$267,Parameters!$K$2,$E$25:$E$267,Parameters!$M$5,Calendrier!$C$25:$C$267,DH41)+ COUNTIFS($D$25:$D$267,Parameters!$K$3,$E$25:$E$267,Parameters!$M$5,Calendrier!$C$25:$C$267,DH41))</f>
        <v>0</v>
      </c>
      <c r="MT41" s="50">
        <f>IF(DI41="","",COUNTIFS($D$25:$D$267,Parameters!$K$2,$E$25:$E$267,Parameters!$M$5,Calendrier!$C$25:$C$267,DI41)+ COUNTIFS($D$25:$D$267,Parameters!$K$4,$E$25:$E$267,Parameters!$M$5,Calendrier!$C$25:$C$267,DI41))</f>
        <v>0</v>
      </c>
      <c r="MU41" s="50">
        <f>IF(DJ41="","",COUNTIFS($D$25:$D$267,Parameters!$K$2,$E$25:$E$267,Parameters!$M$5,Calendrier!$C$25:$C$267,DJ41)+ COUNTIFS($D$25:$D$267,Parameters!$K$3,$E$25:$E$267,Parameters!$M$5,Calendrier!$C$25:$C$267,DJ41))</f>
        <v>0</v>
      </c>
      <c r="MV41" s="50">
        <f>IF(DK41="","",COUNTIFS($D$25:$D$267,Parameters!$K$2,$E$25:$E$267,Parameters!$M$5,Calendrier!$C$25:$C$267,DK41)+ COUNTIFS($D$25:$D$267,Parameters!$K$4,$E$25:$E$267,Parameters!$M$5,Calendrier!$C$25:$C$267,DK41))</f>
        <v>0</v>
      </c>
      <c r="MW41" s="50">
        <f>IF(DL41="","",COUNTIFS($D$25:$D$267,Parameters!$K$2,$E$25:$E$267,Parameters!$M$5,Calendrier!$C$25:$C$267,DL41)+ COUNTIFS($D$25:$D$267,Parameters!$K$3,$E$25:$E$267,Parameters!$M$5,Calendrier!$C$25:$C$267,DL41))</f>
        <v>0</v>
      </c>
      <c r="MX41" s="50">
        <f>IF(DM41="","",COUNTIFS($D$25:$D$267,Parameters!$K$2,$E$25:$E$267,Parameters!$M$5,Calendrier!$C$25:$C$267,DM41)+ COUNTIFS($D$25:$D$267,Parameters!$K$4,$E$25:$E$267,Parameters!$M$5,Calendrier!$C$25:$C$267,DM41))</f>
        <v>0</v>
      </c>
      <c r="MY41" s="50">
        <f>IF(DN41="","",COUNTIFS($D$25:$D$267,Parameters!$K$2,$E$25:$E$267,Parameters!$M$5,Calendrier!$C$25:$C$267,DN41)+ COUNTIFS($D$25:$D$267,Parameters!$K$3,$E$25:$E$267,Parameters!$M$5,Calendrier!$C$25:$C$267,DN41))</f>
        <v>0</v>
      </c>
      <c r="MZ41" s="50">
        <f>IF(DO41="","",COUNTIFS($D$25:$D$267,Parameters!$K$2,$E$25:$E$267,Parameters!$M$5,Calendrier!$C$25:$C$267,DO41)+ COUNTIFS($D$25:$D$267,Parameters!$K$4,$E$25:$E$267,Parameters!$M$5,Calendrier!$C$25:$C$267,DO41))</f>
        <v>0</v>
      </c>
      <c r="NA41" s="50">
        <f>IF(DP41="","",COUNTIFS($D$25:$D$267,Parameters!$K$2,$E$25:$E$267,Parameters!$M$5,Calendrier!$C$25:$C$267,DP41)+ COUNTIFS($D$25:$D$267,Parameters!$K$3,$E$25:$E$267,Parameters!$M$5,Calendrier!$C$25:$C$267,DP41))</f>
        <v>0</v>
      </c>
      <c r="NB41" s="50">
        <f>IF(DQ41="","",COUNTIFS($D$25:$D$267,Parameters!$K$2,$E$25:$E$267,Parameters!$M$5,Calendrier!$C$25:$C$267,DQ41)+ COUNTIFS($D$25:$D$267,Parameters!$K$4,$E$25:$E$267,Parameters!$M$5,Calendrier!$C$25:$C$267,DQ41))</f>
        <v>0</v>
      </c>
      <c r="NC41" s="50">
        <f>IF(DR41="","",COUNTIFS($D$25:$D$267,Parameters!$K$2,$E$25:$E$267,Parameters!$M$5,Calendrier!$C$25:$C$267,DR41)+ COUNTIFS($D$25:$D$267,Parameters!$K$3,$E$25:$E$267,Parameters!$M$5,Calendrier!$C$25:$C$267,DR41))</f>
        <v>0</v>
      </c>
      <c r="ND41" s="50">
        <f>IF(DS41="","",COUNTIFS($D$25:$D$267,Parameters!$K$2,$E$25:$E$267,Parameters!$M$5,Calendrier!$C$25:$C$267,DS41)+ COUNTIFS($D$25:$D$267,Parameters!$K$4,$E$25:$E$267,Parameters!$M$5,Calendrier!$C$25:$C$267,DS41))</f>
        <v>0</v>
      </c>
      <c r="NE41" s="50" t="str">
        <f>IF(DT41="","",COUNTIFS($D$25:$D$267,Parameters!$K$2,$E$25:$E$267,Parameters!$M$5,Calendrier!$C$25:$C$267,DT41)+ COUNTIFS($D$25:$D$267,Parameters!$K$3,$E$25:$E$267,Parameters!$M$5,Calendrier!$C$25:$C$267,DT41))</f>
        <v/>
      </c>
      <c r="NF41" s="57" t="str">
        <f>IF(DU41="","",COUNTIFS($D$25:$D$267,Parameters!$K$2,$E$25:$E$267,Parameters!$M$5,Calendrier!$C$25:$C$267,DU41)+ COUNTIFS($D$25:$D$267,Parameters!$K$4,$E$25:$E$267,Parameters!$M$5,Calendrier!$C$25:$C$267,DU41))</f>
        <v/>
      </c>
      <c r="NI41" s="49">
        <f>IF(DX41="","",COUNTIFS($D$25:$D$267,Parameters!$K$2,$E$25:$E$267,Parameters!$M$5,Calendrier!$C$25:$C$267,DX41)+ COUNTIFS($D$25:$D$267,Parameters!$K$3,$E$25:$E$267,Parameters!$M$5,Calendrier!$C$25:$C$267,DX41))</f>
        <v>0</v>
      </c>
      <c r="NJ41" s="50">
        <f>IF(DY41="","",COUNTIFS($D$25:$D$267,Parameters!$K$2,$E$25:$E$267,Parameters!$M$5,Calendrier!$C$25:$C$267,DY41)+ COUNTIFS($D$25:$D$267,Parameters!$K$4,$E$25:$E$267,Parameters!$M$5,Calendrier!$C$25:$C$267,DY41))</f>
        <v>0</v>
      </c>
      <c r="NK41" s="50">
        <f>IF(DZ41="","",COUNTIFS($D$25:$D$267,Parameters!$K$2,$E$25:$E$267,Parameters!$M$5,Calendrier!$C$25:$C$267,DZ41)+ COUNTIFS($D$25:$D$267,Parameters!$K$3,$E$25:$E$267,Parameters!$M$5,Calendrier!$C$25:$C$267,DZ41))</f>
        <v>0</v>
      </c>
      <c r="NL41" s="50">
        <f>IF(EA41="","",COUNTIFS($D$25:$D$267,Parameters!$K$2,$E$25:$E$267,Parameters!$M$5,Calendrier!$C$25:$C$267,EA41)+ COUNTIFS($D$25:$D$267,Parameters!$K$4,$E$25:$E$267,Parameters!$M$5,Calendrier!$C$25:$C$267,EA41))</f>
        <v>0</v>
      </c>
      <c r="NM41" s="50">
        <f>IF(EB41="","",COUNTIFS($D$25:$D$267,Parameters!$K$2,$E$25:$E$267,Parameters!$M$5,Calendrier!$C$25:$C$267,EB41)+ COUNTIFS($D$25:$D$267,Parameters!$K$3,$E$25:$E$267,Parameters!$M$5,Calendrier!$C$25:$C$267,EB41))</f>
        <v>0</v>
      </c>
      <c r="NN41" s="50">
        <f>IF(EC41="","",COUNTIFS($D$25:$D$267,Parameters!$K$2,$E$25:$E$267,Parameters!$M$5,Calendrier!$C$25:$C$267,EC41)+ COUNTIFS($D$25:$D$267,Parameters!$K$4,$E$25:$E$267,Parameters!$M$5,Calendrier!$C$25:$C$267,EC41))</f>
        <v>0</v>
      </c>
      <c r="NO41" s="50">
        <f>IF(ED41="","",COUNTIFS($D$25:$D$267,Parameters!$K$2,$E$25:$E$267,Parameters!$M$5,Calendrier!$C$25:$C$267,ED41)+ COUNTIFS($D$25:$D$267,Parameters!$K$3,$E$25:$E$267,Parameters!$M$5,Calendrier!$C$25:$C$267,ED41))</f>
        <v>0</v>
      </c>
      <c r="NP41" s="50">
        <f>IF(EE41="","",COUNTIFS($D$25:$D$267,Parameters!$K$2,$E$25:$E$267,Parameters!$M$5,Calendrier!$C$25:$C$267,EE41)+ COUNTIFS($D$25:$D$267,Parameters!$K$4,$E$25:$E$267,Parameters!$M$5,Calendrier!$C$25:$C$267,EE41))</f>
        <v>0</v>
      </c>
      <c r="NQ41" s="50">
        <f>IF(EF41="","",COUNTIFS($D$25:$D$267,Parameters!$K$2,$E$25:$E$267,Parameters!$M$5,Calendrier!$C$25:$C$267,EF41)+ COUNTIFS($D$25:$D$267,Parameters!$K$3,$E$25:$E$267,Parameters!$M$5,Calendrier!$C$25:$C$267,EF41))</f>
        <v>0</v>
      </c>
      <c r="NR41" s="50">
        <f>IF(EG41="","",COUNTIFS($D$25:$D$267,Parameters!$K$2,$E$25:$E$267,Parameters!$M$5,Calendrier!$C$25:$C$267,EG41)+ COUNTIFS($D$25:$D$267,Parameters!$K$4,$E$25:$E$267,Parameters!$M$5,Calendrier!$C$25:$C$267,EG41))</f>
        <v>0</v>
      </c>
      <c r="NS41" s="50">
        <f>IF(EH41="","",COUNTIFS($D$25:$D$267,Parameters!$K$2,$E$25:$E$267,Parameters!$M$5,Calendrier!$C$25:$C$267,EH41)+ COUNTIFS($D$25:$D$267,Parameters!$K$3,$E$25:$E$267,Parameters!$M$5,Calendrier!$C$25:$C$267,EH41))</f>
        <v>0</v>
      </c>
      <c r="NT41" s="50">
        <f>IF(EI41="","",COUNTIFS($D$25:$D$267,Parameters!$K$2,$E$25:$E$267,Parameters!$M$5,Calendrier!$C$25:$C$267,EI41)+ COUNTIFS($D$25:$D$267,Parameters!$K$4,$E$25:$E$267,Parameters!$M$5,Calendrier!$C$25:$C$267,EI41))</f>
        <v>0</v>
      </c>
      <c r="NU41" s="50">
        <f>IF(EJ41="","",COUNTIFS($D$25:$D$267,Parameters!$K$2,$E$25:$E$267,Parameters!$M$5,Calendrier!$C$25:$C$267,EJ41)+ COUNTIFS($D$25:$D$267,Parameters!$K$3,$E$25:$E$267,Parameters!$M$5,Calendrier!$C$25:$C$267,EJ41))</f>
        <v>0</v>
      </c>
      <c r="NV41" s="57">
        <f>IF(EK41="","",COUNTIFS($D$25:$D$267,Parameters!$K$2,$E$25:$E$267,Parameters!$M$5,Calendrier!$C$25:$C$267,EK41)+ COUNTIFS($D$25:$D$267,Parameters!$K$4,$E$25:$E$267,Parameters!$M$5,Calendrier!$C$25:$C$267,EK41))</f>
        <v>0</v>
      </c>
      <c r="NY41" s="49">
        <f>IF(EN41="","",COUNTIFS($D$25:$D$267,Parameters!$K$2,$E$25:$E$267,Parameters!$M$5,Calendrier!$C$25:$C$267,EN41)+ COUNTIFS($D$25:$D$267,Parameters!$K$3,$E$25:$E$267,Parameters!$M$5,Calendrier!$C$25:$C$267,EN41))</f>
        <v>0</v>
      </c>
      <c r="NZ41" s="50">
        <f>IF(EO41="","",COUNTIFS($D$25:$D$267,Parameters!$K$2,$E$25:$E$267,Parameters!$M$5,Calendrier!$C$25:$C$267,EO41)+ COUNTIFS($D$25:$D$267,Parameters!$K$4,$E$25:$E$267,Parameters!$M$5,Calendrier!$C$25:$C$267,EO41))</f>
        <v>0</v>
      </c>
      <c r="OA41" s="50">
        <f>IF(EP41="","",COUNTIFS($D$25:$D$267,Parameters!$K$2,$E$25:$E$267,Parameters!$M$5,Calendrier!$C$25:$C$267,EP41)+ COUNTIFS($D$25:$D$267,Parameters!$K$3,$E$25:$E$267,Parameters!$M$5,Calendrier!$C$25:$C$267,EP41))</f>
        <v>0</v>
      </c>
      <c r="OB41" s="50">
        <f>IF(EQ41="","",COUNTIFS($D$25:$D$267,Parameters!$K$2,$E$25:$E$267,Parameters!$M$5,Calendrier!$C$25:$C$267,EQ41)+ COUNTIFS($D$25:$D$267,Parameters!$K$4,$E$25:$E$267,Parameters!$M$5,Calendrier!$C$25:$C$267,EQ41))</f>
        <v>0</v>
      </c>
      <c r="OC41" s="50">
        <f>IF(ER41="","",COUNTIFS($D$25:$D$267,Parameters!$K$2,$E$25:$E$267,Parameters!$M$5,Calendrier!$C$25:$C$267,ER41)+ COUNTIFS($D$25:$D$267,Parameters!$K$3,$E$25:$E$267,Parameters!$M$5,Calendrier!$C$25:$C$267,ER41))</f>
        <v>0</v>
      </c>
      <c r="OD41" s="50">
        <f>IF(ES41="","",COUNTIFS($D$25:$D$267,Parameters!$K$2,$E$25:$E$267,Parameters!$M$5,Calendrier!$C$25:$C$267,ES41)+ COUNTIFS($D$25:$D$267,Parameters!$K$4,$E$25:$E$267,Parameters!$M$5,Calendrier!$C$25:$C$267,ES41))</f>
        <v>0</v>
      </c>
      <c r="OE41" s="50">
        <f>IF(ET41="","",COUNTIFS($D$25:$D$267,Parameters!$K$2,$E$25:$E$267,Parameters!$M$5,Calendrier!$C$25:$C$267,ET41)+ COUNTIFS($D$25:$D$267,Parameters!$K$3,$E$25:$E$267,Parameters!$M$5,Calendrier!$C$25:$C$267,ET41))</f>
        <v>0</v>
      </c>
      <c r="OF41" s="50">
        <f>IF(EU41="","",COUNTIFS($D$25:$D$267,Parameters!$K$2,$E$25:$E$267,Parameters!$M$5,Calendrier!$C$25:$C$267,EU41)+ COUNTIFS($D$25:$D$267,Parameters!$K$4,$E$25:$E$267,Parameters!$M$5,Calendrier!$C$25:$C$267,EU41))</f>
        <v>0</v>
      </c>
      <c r="OG41" s="50" t="str">
        <f>IF(EV41="","",COUNTIFS($D$25:$D$267,Parameters!$K$2,$E$25:$E$267,Parameters!$M$5,Calendrier!$C$25:$C$267,EV41)+ COUNTIFS($D$25:$D$267,Parameters!$K$3,$E$25:$E$267,Parameters!$M$5,Calendrier!$C$25:$C$267,EV41))</f>
        <v/>
      </c>
      <c r="OH41" s="50" t="str">
        <f>IF(EW41="","",COUNTIFS($D$25:$D$267,Parameters!$K$2,$E$25:$E$267,Parameters!$M$5,Calendrier!$C$25:$C$267,EW41)+ COUNTIFS($D$25:$D$267,Parameters!$K$4,$E$25:$E$267,Parameters!$M$5,Calendrier!$C$25:$C$267,EW41))</f>
        <v/>
      </c>
      <c r="OI41" s="50" t="str">
        <f>IF(EX41="","",COUNTIFS($D$25:$D$267,Parameters!$K$2,$E$25:$E$267,Parameters!$M$5,Calendrier!$C$25:$C$267,EX41)+ COUNTIFS($D$25:$D$267,Parameters!$K$3,$E$25:$E$267,Parameters!$M$5,Calendrier!$C$25:$C$267,EX41))</f>
        <v/>
      </c>
      <c r="OJ41" s="50" t="str">
        <f>IF(EY41="","",COUNTIFS($D$25:$D$267,Parameters!$K$2,$E$25:$E$267,Parameters!$M$5,Calendrier!$C$25:$C$267,EY41)+ COUNTIFS($D$25:$D$267,Parameters!$K$4,$E$25:$E$267,Parameters!$M$5,Calendrier!$C$25:$C$267,EY41))</f>
        <v/>
      </c>
      <c r="OK41" s="50" t="str">
        <f>IF(EZ41="","",COUNTIFS($D$25:$D$267,Parameters!$K$2,$E$25:$E$267,Parameters!$M$5,Calendrier!$C$25:$C$267,EZ41)+ COUNTIFS($D$25:$D$267,Parameters!$K$3,$E$25:$E$267,Parameters!$M$5,Calendrier!$C$25:$C$267,EZ41))</f>
        <v/>
      </c>
      <c r="OL41" s="57" t="str">
        <f>IF(FA41="","",COUNTIFS($D$25:$D$267,Parameters!$K$2,$E$25:$E$267,Parameters!$M$5,Calendrier!$C$25:$C$267,FA41)+ COUNTIFS($D$25:$D$267,Parameters!$K$4,$E$25:$E$267,Parameters!$M$5,Calendrier!$C$25:$C$267,FA41))</f>
        <v/>
      </c>
      <c r="OP41" s="49">
        <f>IF(DH41="","",COUNTIFS(Parameters!$Y:$Y,$BF$4,Parameters!$X:$X,DH41))</f>
        <v>0</v>
      </c>
      <c r="OQ41" s="50">
        <f>IF(DI41="","",COUNTIFS(Parameters!$Y:$Y,$BF$4,Parameters!$X:$X,DI41))</f>
        <v>0</v>
      </c>
      <c r="OR41" s="50">
        <f>IF(DJ41="","",COUNTIFS(Parameters!$Y:$Y,$BF$4,Parameters!$X:$X,DJ41))</f>
        <v>0</v>
      </c>
      <c r="OS41" s="50">
        <f>IF(DK41="","",COUNTIFS(Parameters!$Y:$Y,$BF$4,Parameters!$X:$X,DK41))</f>
        <v>0</v>
      </c>
      <c r="OT41" s="50">
        <f>IF(DL41="","",COUNTIFS(Parameters!$Y:$Y,$BF$4,Parameters!$X:$X,DL41))</f>
        <v>0</v>
      </c>
      <c r="OU41" s="50">
        <f>IF(DM41="","",COUNTIFS(Parameters!$Y:$Y,$BF$4,Parameters!$X:$X,DM41))</f>
        <v>0</v>
      </c>
      <c r="OV41" s="50">
        <f>IF(DN41="","",COUNTIFS(Parameters!$Y:$Y,$BF$4,Parameters!$X:$X,DN41))</f>
        <v>0</v>
      </c>
      <c r="OW41" s="50">
        <f>IF(DO41="","",COUNTIFS(Parameters!$Y:$Y,$BF$4,Parameters!$X:$X,DO41))</f>
        <v>0</v>
      </c>
      <c r="OX41" s="50">
        <f>IF(DP41="","",COUNTIFS(Parameters!$Y:$Y,$BF$4,Parameters!$X:$X,DP41))</f>
        <v>0</v>
      </c>
      <c r="OY41" s="50">
        <f>IF(DQ41="","",COUNTIFS(Parameters!$Y:$Y,$BF$4,Parameters!$X:$X,DQ41))</f>
        <v>0</v>
      </c>
      <c r="OZ41" s="50">
        <f>IF(DR41="","",COUNTIFS(Parameters!$Y:$Y,$BF$4,Parameters!$X:$X,DR41))</f>
        <v>0</v>
      </c>
      <c r="PA41" s="50">
        <f>IF(DS41="","",COUNTIFS(Parameters!$Y:$Y,$BF$4,Parameters!$X:$X,DS41))</f>
        <v>0</v>
      </c>
      <c r="PB41" s="50" t="str">
        <f>IF(DT41="","",COUNTIFS(Parameters!$Y:$Y,$BF$4,Parameters!$X:$X,DT41))</f>
        <v/>
      </c>
      <c r="PC41" s="57" t="str">
        <f>IF(DU41="","",COUNTIFS(Parameters!$Y:$Y,$BF$4,Parameters!$X:$X,DU41))</f>
        <v/>
      </c>
      <c r="PF41" s="49">
        <f>IF(DX41="","",COUNTIFS(Parameters!$Y:$Y,$BF$4,Parameters!$X:$X,DX41))</f>
        <v>0</v>
      </c>
      <c r="PG41" s="50">
        <f>IF(DY41="","",COUNTIFS(Parameters!$Y:$Y,$BF$4,Parameters!$X:$X,DY41))</f>
        <v>0</v>
      </c>
      <c r="PH41" s="50">
        <f>IF(DZ41="","",COUNTIFS(Parameters!$Y:$Y,$BF$4,Parameters!$X:$X,DZ41))</f>
        <v>0</v>
      </c>
      <c r="PI41" s="50">
        <f>IF(EA41="","",COUNTIFS(Parameters!$Y:$Y,$BF$4,Parameters!$X:$X,EA41))</f>
        <v>0</v>
      </c>
      <c r="PJ41" s="50">
        <f>IF(EB41="","",COUNTIFS(Parameters!$Y:$Y,$BF$4,Parameters!$X:$X,EB41))</f>
        <v>0</v>
      </c>
      <c r="PK41" s="50">
        <f>IF(EC41="","",COUNTIFS(Parameters!$Y:$Y,$BF$4,Parameters!$X:$X,EC41))</f>
        <v>0</v>
      </c>
      <c r="PL41" s="50">
        <f>IF(ED41="","",COUNTIFS(Parameters!$Y:$Y,$BF$4,Parameters!$X:$X,ED41))</f>
        <v>0</v>
      </c>
      <c r="PM41" s="50">
        <f>IF(EE41="","",COUNTIFS(Parameters!$Y:$Y,$BF$4,Parameters!$X:$X,EE41))</f>
        <v>0</v>
      </c>
      <c r="PN41" s="50">
        <f>IF(EF41="","",COUNTIFS(Parameters!$Y:$Y,$BF$4,Parameters!$X:$X,EF41))</f>
        <v>0</v>
      </c>
      <c r="PO41" s="50">
        <f>IF(EG41="","",COUNTIFS(Parameters!$Y:$Y,$BF$4,Parameters!$X:$X,EG41))</f>
        <v>0</v>
      </c>
      <c r="PP41" s="50">
        <f>IF(EH41="","",COUNTIFS(Parameters!$Y:$Y,$BF$4,Parameters!$X:$X,EH41))</f>
        <v>0</v>
      </c>
      <c r="PQ41" s="50">
        <f>IF(EI41="","",COUNTIFS(Parameters!$Y:$Y,$BF$4,Parameters!$X:$X,EI41))</f>
        <v>0</v>
      </c>
      <c r="PR41" s="50">
        <f>IF(EJ41="","",COUNTIFS(Parameters!$Y:$Y,$BF$4,Parameters!$X:$X,EJ41))</f>
        <v>0</v>
      </c>
      <c r="PS41" s="57">
        <f>IF(EK41="","",COUNTIFS(Parameters!$Y:$Y,$BF$4,Parameters!$X:$X,EK41))</f>
        <v>0</v>
      </c>
      <c r="PV41" s="49">
        <f>IF(EN41="","",COUNTIFS(Parameters!$Y:$Y,$BF$4,Parameters!$X:$X,EN41))</f>
        <v>1</v>
      </c>
      <c r="PW41" s="50">
        <f>IF(EO41="","",COUNTIFS(Parameters!$Y:$Y,$BF$4,Parameters!$X:$X,EO41))</f>
        <v>1</v>
      </c>
      <c r="PX41" s="50">
        <f>IF(EP41="","",COUNTIFS(Parameters!$Y:$Y,$BF$4,Parameters!$X:$X,EP41))</f>
        <v>1</v>
      </c>
      <c r="PY41" s="50">
        <f>IF(EQ41="","",COUNTIFS(Parameters!$Y:$Y,$BF$4,Parameters!$X:$X,EQ41))</f>
        <v>1</v>
      </c>
      <c r="PZ41" s="50">
        <f>IF(ER41="","",COUNTIFS(Parameters!$Y:$Y,$BF$4,Parameters!$X:$X,ER41))</f>
        <v>1</v>
      </c>
      <c r="QA41" s="50">
        <f>IF(ES41="","",COUNTIFS(Parameters!$Y:$Y,$BF$4,Parameters!$X:$X,ES41))</f>
        <v>1</v>
      </c>
      <c r="QB41" s="50">
        <f>IF(ET41="","",COUNTIFS(Parameters!$Y:$Y,$BF$4,Parameters!$X:$X,ET41))</f>
        <v>1</v>
      </c>
      <c r="QC41" s="50">
        <f>IF(EU41="","",COUNTIFS(Parameters!$Y:$Y,$BF$4,Parameters!$X:$X,EU41))</f>
        <v>1</v>
      </c>
      <c r="QD41" s="50" t="str">
        <f>IF(EV41="","",COUNTIFS(Parameters!$Y:$Y,$BF$4,Parameters!$X:$X,EV41))</f>
        <v/>
      </c>
      <c r="QE41" s="50" t="str">
        <f>IF(EW41="","",COUNTIFS(Parameters!$Y:$Y,$BF$4,Parameters!$X:$X,EW41))</f>
        <v/>
      </c>
      <c r="QF41" s="50" t="str">
        <f>IF(EX41="","",COUNTIFS(Parameters!$Y:$Y,$BF$4,Parameters!$X:$X,EX41))</f>
        <v/>
      </c>
      <c r="QG41" s="50" t="str">
        <f>IF(EY41="","",COUNTIFS(Parameters!$Y:$Y,$BF$4,Parameters!$X:$X,EY41))</f>
        <v/>
      </c>
      <c r="QH41" s="50" t="str">
        <f>IF(EZ41="","",COUNTIFS(Parameters!$Y:$Y,$BF$4,Parameters!$X:$X,EZ41))</f>
        <v/>
      </c>
      <c r="QI41" s="57" t="str">
        <f>IF(FA41="","",COUNTIFS(Parameters!$Y:$Y,$BF$4,Parameters!$X:$X,FA41))</f>
        <v/>
      </c>
      <c r="QN41" s="49">
        <f>IF(DH41="","",COUNTIFS($D$25:$D$267,Parameters!$K$2,$E$25:$E$267,Parameters!$M$6,Calendrier!$C$25:$C$267,DH41)+ COUNTIFS($D$25:$D$267,Parameters!$K$3,$E$25:$E$267,Parameters!$M$6,Calendrier!$C$25:$C$267,DH41))</f>
        <v>0</v>
      </c>
      <c r="QO41" s="50">
        <f>IF(DI41="","",COUNTIFS($D$25:$D$267,Parameters!$K$2,$E$25:$E$267,Parameters!$M$6,Calendrier!$C$25:$C$267,DI41)+ COUNTIFS($D$25:$D$267,Parameters!$K$4,$E$25:$E$267,Parameters!$M$6,Calendrier!$C$25:$C$267,DI41))</f>
        <v>0</v>
      </c>
      <c r="QP41" s="50">
        <f>IF(DJ41="","",COUNTIFS($D$25:$D$267,Parameters!$K$2,$E$25:$E$267,Parameters!$M$6,Calendrier!$C$25:$C$267,DJ41)+ COUNTIFS($D$25:$D$267,Parameters!$K$3,$E$25:$E$267,Parameters!$M$6,Calendrier!$C$25:$C$267,DJ41))</f>
        <v>0</v>
      </c>
      <c r="QQ41" s="50">
        <f>IF(DK41="","",COUNTIFS($D$25:$D$267,Parameters!$K$2,$E$25:$E$267,Parameters!$M$6,Calendrier!$C$25:$C$267,DK41)+ COUNTIFS($D$25:$D$267,Parameters!$K$4,$E$25:$E$267,Parameters!$M$6,Calendrier!$C$25:$C$267,DK41))</f>
        <v>0</v>
      </c>
      <c r="QR41" s="50">
        <f>IF(DL41="","",COUNTIFS($D$25:$D$267,Parameters!$K$2,$E$25:$E$267,Parameters!$M$6,Calendrier!$C$25:$C$267,DL41)+ COUNTIFS($D$25:$D$267,Parameters!$K$3,$E$25:$E$267,Parameters!$M$6,Calendrier!$C$25:$C$267,DL41))</f>
        <v>0</v>
      </c>
      <c r="QS41" s="50">
        <f>IF(DM41="","",COUNTIFS($D$25:$D$267,Parameters!$K$2,$E$25:$E$267,Parameters!$M$6,Calendrier!$C$25:$C$267,DM41)+ COUNTIFS($D$25:$D$267,Parameters!$K$4,$E$25:$E$267,Parameters!$M$6,Calendrier!$C$25:$C$267,DM41))</f>
        <v>0</v>
      </c>
      <c r="QT41" s="50">
        <f>IF(DN41="","",COUNTIFS($D$25:$D$267,Parameters!$K$2,$E$25:$E$267,Parameters!$M$6,Calendrier!$C$25:$C$267,DN41)+ COUNTIFS($D$25:$D$267,Parameters!$K$3,$E$25:$E$267,Parameters!$M$6,Calendrier!$C$25:$C$267,DN41))</f>
        <v>0</v>
      </c>
      <c r="QU41" s="50">
        <f>IF(DO41="","",COUNTIFS($D$25:$D$267,Parameters!$K$2,$E$25:$E$267,Parameters!$M$6,Calendrier!$C$25:$C$267,DO41)+ COUNTIFS($D$25:$D$267,Parameters!$K$4,$E$25:$E$267,Parameters!$M$6,Calendrier!$C$25:$C$267,DO41))</f>
        <v>0</v>
      </c>
      <c r="QV41" s="50">
        <f>IF(DP41="","",COUNTIFS($D$25:$D$267,Parameters!$K$2,$E$25:$E$267,Parameters!$M$6,Calendrier!$C$25:$C$267,DP41)+ COUNTIFS($D$25:$D$267,Parameters!$K$3,$E$25:$E$267,Parameters!$M$6,Calendrier!$C$25:$C$267,DP41))</f>
        <v>0</v>
      </c>
      <c r="QW41" s="50">
        <f>IF(DQ41="","",COUNTIFS($D$25:$D$267,Parameters!$K$2,$E$25:$E$267,Parameters!$M$6,Calendrier!$C$25:$C$267,DQ41)+ COUNTIFS($D$25:$D$267,Parameters!$K$4,$E$25:$E$267,Parameters!$M$6,Calendrier!$C$25:$C$267,DQ41))</f>
        <v>0</v>
      </c>
      <c r="QX41" s="50">
        <f>IF(DR41="","",COUNTIFS($D$25:$D$267,Parameters!$K$2,$E$25:$E$267,Parameters!$M$6,Calendrier!$C$25:$C$267,DR41)+ COUNTIFS($D$25:$D$267,Parameters!$K$3,$E$25:$E$267,Parameters!$M$6,Calendrier!$C$25:$C$267,DR41))</f>
        <v>0</v>
      </c>
      <c r="QY41" s="50">
        <f>IF(DS41="","",COUNTIFS($D$25:$D$267,Parameters!$K$2,$E$25:$E$267,Parameters!$M$6,Calendrier!$C$25:$C$267,DS41)+ COUNTIFS($D$25:$D$267,Parameters!$K$4,$E$25:$E$267,Parameters!$M$6,Calendrier!$C$25:$C$267,DS41))</f>
        <v>0</v>
      </c>
      <c r="QZ41" s="50" t="str">
        <f>IF(DT41="","",COUNTIFS($D$25:$D$267,Parameters!$K$2,$E$25:$E$267,Parameters!$M$6,Calendrier!$C$25:$C$267,DT41)+ COUNTIFS($D$25:$D$267,Parameters!$K$3,$E$25:$E$267,Parameters!$M$6,Calendrier!$C$25:$C$267,DT41))</f>
        <v/>
      </c>
      <c r="RA41" s="57" t="str">
        <f>IF(DU41="","",COUNTIFS($D$25:$D$267,Parameters!$K$2,$E$25:$E$267,Parameters!$M$6,Calendrier!$C$25:$C$267,DU41)+ COUNTIFS($D$25:$D$267,Parameters!$K$4,$E$25:$E$267,Parameters!$M$6,Calendrier!$C$25:$C$267,DU41))</f>
        <v/>
      </c>
      <c r="RD41" s="49">
        <f>IF(DX41="","",COUNTIFS($D$25:$D$267,Parameters!$K$2,$E$25:$E$267,Parameters!$M$6,Calendrier!$C$25:$C$267,DX41)+ COUNTIFS($D$25:$D$267,Parameters!$K$3,$E$25:$E$267,Parameters!$M$6,Calendrier!$C$25:$C$267,DX41))</f>
        <v>0</v>
      </c>
      <c r="RE41" s="50">
        <f>IF(DY41="","",COUNTIFS($D$25:$D$267,Parameters!$K$2,$E$25:$E$267,Parameters!$M$6,Calendrier!$C$25:$C$267,DY41)+ COUNTIFS($D$25:$D$267,Parameters!$K$4,$E$25:$E$267,Parameters!$M$6,Calendrier!$C$25:$C$267,DY41))</f>
        <v>0</v>
      </c>
      <c r="RF41" s="50">
        <f>IF(DZ41="","",COUNTIFS($D$25:$D$267,Parameters!$K$2,$E$25:$E$267,Parameters!$M$6,Calendrier!$C$25:$C$267,DZ41)+ COUNTIFS($D$25:$D$267,Parameters!$K$3,$E$25:$E$267,Parameters!$M$6,Calendrier!$C$25:$C$267,DZ41))</f>
        <v>0</v>
      </c>
      <c r="RG41" s="50">
        <f>IF(EA41="","",COUNTIFS($D$25:$D$267,Parameters!$K$2,$E$25:$E$267,Parameters!$M$6,Calendrier!$C$25:$C$267,EA41)+ COUNTIFS($D$25:$D$267,Parameters!$K$4,$E$25:$E$267,Parameters!$M$6,Calendrier!$C$25:$C$267,EA41))</f>
        <v>0</v>
      </c>
      <c r="RH41" s="50">
        <f>IF(EB41="","",COUNTIFS($D$25:$D$267,Parameters!$K$2,$E$25:$E$267,Parameters!$M$6,Calendrier!$C$25:$C$267,EB41)+ COUNTIFS($D$25:$D$267,Parameters!$K$3,$E$25:$E$267,Parameters!$M$6,Calendrier!$C$25:$C$267,EB41))</f>
        <v>0</v>
      </c>
      <c r="RI41" s="50">
        <f>IF(EC41="","",COUNTIFS($D$25:$D$267,Parameters!$K$2,$E$25:$E$267,Parameters!$M$6,Calendrier!$C$25:$C$267,EC41)+ COUNTIFS($D$25:$D$267,Parameters!$K$4,$E$25:$E$267,Parameters!$M$6,Calendrier!$C$25:$C$267,EC41))</f>
        <v>0</v>
      </c>
      <c r="RJ41" s="50">
        <f>IF(ED41="","",COUNTIFS($D$25:$D$267,Parameters!$K$2,$E$25:$E$267,Parameters!$M$6,Calendrier!$C$25:$C$267,ED41)+ COUNTIFS($D$25:$D$267,Parameters!$K$3,$E$25:$E$267,Parameters!$M$6,Calendrier!$C$25:$C$267,ED41))</f>
        <v>0</v>
      </c>
      <c r="RK41" s="50">
        <f>IF(EE41="","",COUNTIFS($D$25:$D$267,Parameters!$K$2,$E$25:$E$267,Parameters!$M$6,Calendrier!$C$25:$C$267,EE41)+ COUNTIFS($D$25:$D$267,Parameters!$K$4,$E$25:$E$267,Parameters!$M$6,Calendrier!$C$25:$C$267,EE41))</f>
        <v>0</v>
      </c>
      <c r="RL41" s="50">
        <f>IF(EF41="","",COUNTIFS($D$25:$D$267,Parameters!$K$2,$E$25:$E$267,Parameters!$M$6,Calendrier!$C$25:$C$267,EF41)+ COUNTIFS($D$25:$D$267,Parameters!$K$3,$E$25:$E$267,Parameters!$M$6,Calendrier!$C$25:$C$267,EF41))</f>
        <v>0</v>
      </c>
      <c r="RM41" s="50">
        <f>IF(EG41="","",COUNTIFS($D$25:$D$267,Parameters!$K$2,$E$25:$E$267,Parameters!$M$6,Calendrier!$C$25:$C$267,EG41)+ COUNTIFS($D$25:$D$267,Parameters!$K$4,$E$25:$E$267,Parameters!$M$6,Calendrier!$C$25:$C$267,EG41))</f>
        <v>0</v>
      </c>
      <c r="RN41" s="50">
        <f>IF(EH41="","",COUNTIFS($D$25:$D$267,Parameters!$K$2,$E$25:$E$267,Parameters!$M$6,Calendrier!$C$25:$C$267,EH41)+ COUNTIFS($D$25:$D$267,Parameters!$K$3,$E$25:$E$267,Parameters!$M$6,Calendrier!$C$25:$C$267,EH41))</f>
        <v>0</v>
      </c>
      <c r="RO41" s="50">
        <f>IF(EI41="","",COUNTIFS($D$25:$D$267,Parameters!$K$2,$E$25:$E$267,Parameters!$M$6,Calendrier!$C$25:$C$267,EI41)+ COUNTIFS($D$25:$D$267,Parameters!$K$4,$E$25:$E$267,Parameters!$M$6,Calendrier!$C$25:$C$267,EI41))</f>
        <v>0</v>
      </c>
      <c r="RP41" s="50">
        <f>IF(EJ41="","",COUNTIFS($D$25:$D$267,Parameters!$K$2,$E$25:$E$267,Parameters!$M$6,Calendrier!$C$25:$C$267,EJ41)+ COUNTIFS($D$25:$D$267,Parameters!$K$3,$E$25:$E$267,Parameters!$M$6,Calendrier!$C$25:$C$267,EJ41))</f>
        <v>0</v>
      </c>
      <c r="RQ41" s="57">
        <f>IF(EK41="","",COUNTIFS($D$25:$D$267,Parameters!$K$2,$E$25:$E$267,Parameters!$M$6,Calendrier!$C$25:$C$267,EK41)+ COUNTIFS($D$25:$D$267,Parameters!$K$4,$E$25:$E$267,Parameters!$M$6,Calendrier!$C$25:$C$267,EK41))</f>
        <v>0</v>
      </c>
      <c r="RT41" s="49">
        <f>IF(EN41="","",COUNTIFS($D$25:$D$267,Parameters!$K$2,$E$25:$E$267,Parameters!$M$6,Calendrier!$C$25:$C$267,EN41)+ COUNTIFS($D$25:$D$267,Parameters!$K$3,$E$25:$E$267,Parameters!$M$6,Calendrier!$C$25:$C$267,EN41))</f>
        <v>0</v>
      </c>
      <c r="RU41" s="50">
        <f>IF(EO41="","",COUNTIFS($D$25:$D$267,Parameters!$K$2,$E$25:$E$267,Parameters!$M$6,Calendrier!$C$25:$C$267,EO41)+ COUNTIFS($D$25:$D$267,Parameters!$K$4,$E$25:$E$267,Parameters!$M$6,Calendrier!$C$25:$C$267,EO41))</f>
        <v>0</v>
      </c>
      <c r="RV41" s="50">
        <f>IF(EP41="","",COUNTIFS($D$25:$D$267,Parameters!$K$2,$E$25:$E$267,Parameters!$M$6,Calendrier!$C$25:$C$267,EP41)+ COUNTIFS($D$25:$D$267,Parameters!$K$3,$E$25:$E$267,Parameters!$M$6,Calendrier!$C$25:$C$267,EP41))</f>
        <v>0</v>
      </c>
      <c r="RW41" s="50">
        <f>IF(EQ41="","",COUNTIFS($D$25:$D$267,Parameters!$K$2,$E$25:$E$267,Parameters!$M$6,Calendrier!$C$25:$C$267,EQ41)+ COUNTIFS($D$25:$D$267,Parameters!$K$4,$E$25:$E$267,Parameters!$M$6,Calendrier!$C$25:$C$267,EQ41))</f>
        <v>0</v>
      </c>
      <c r="RX41" s="50">
        <f>IF(ER41="","",COUNTIFS($D$25:$D$267,Parameters!$K$2,$E$25:$E$267,Parameters!$M$6,Calendrier!$C$25:$C$267,ER41)+ COUNTIFS($D$25:$D$267,Parameters!$K$3,$E$25:$E$267,Parameters!$M$6,Calendrier!$C$25:$C$267,ER41))</f>
        <v>0</v>
      </c>
      <c r="RY41" s="50">
        <f>IF(ES41="","",COUNTIFS($D$25:$D$267,Parameters!$K$2,$E$25:$E$267,Parameters!$M$6,Calendrier!$C$25:$C$267,ES41)+ COUNTIFS($D$25:$D$267,Parameters!$K$4,$E$25:$E$267,Parameters!$M$6,Calendrier!$C$25:$C$267,ES41))</f>
        <v>0</v>
      </c>
      <c r="RZ41" s="50">
        <f>IF(ET41="","",COUNTIFS($D$25:$D$267,Parameters!$K$2,$E$25:$E$267,Parameters!$M$6,Calendrier!$C$25:$C$267,ET41)+ COUNTIFS($D$25:$D$267,Parameters!$K$3,$E$25:$E$267,Parameters!$M$6,Calendrier!$C$25:$C$267,ET41))</f>
        <v>0</v>
      </c>
      <c r="SA41" s="50">
        <f>IF(EU41="","",COUNTIFS($D$25:$D$267,Parameters!$K$2,$E$25:$E$267,Parameters!$M$6,Calendrier!$C$25:$C$267,EU41)+ COUNTIFS($D$25:$D$267,Parameters!$K$4,$E$25:$E$267,Parameters!$M$6,Calendrier!$C$25:$C$267,EU41))</f>
        <v>0</v>
      </c>
      <c r="SB41" s="50" t="str">
        <f>IF(EV41="","",COUNTIFS($D$25:$D$267,Parameters!$K$2,$E$25:$E$267,Parameters!$M$6,Calendrier!$C$25:$C$267,EV41)+ COUNTIFS($D$25:$D$267,Parameters!$K$3,$E$25:$E$267,Parameters!$M$6,Calendrier!$C$25:$C$267,EV41))</f>
        <v/>
      </c>
      <c r="SC41" s="50" t="str">
        <f>IF(EW41="","",COUNTIFS($D$25:$D$267,Parameters!$K$2,$E$25:$E$267,Parameters!$M$6,Calendrier!$C$25:$C$267,EW41)+ COUNTIFS($D$25:$D$267,Parameters!$K$4,$E$25:$E$267,Parameters!$M$6,Calendrier!$C$25:$C$267,EW41))</f>
        <v/>
      </c>
      <c r="SD41" s="50" t="str">
        <f>IF(EX41="","",COUNTIFS($D$25:$D$267,Parameters!$K$2,$E$25:$E$267,Parameters!$M$6,Calendrier!$C$25:$C$267,EX41)+ COUNTIFS($D$25:$D$267,Parameters!$K$3,$E$25:$E$267,Parameters!$M$6,Calendrier!$C$25:$C$267,EX41))</f>
        <v/>
      </c>
      <c r="SE41" s="50" t="str">
        <f>IF(EY41="","",COUNTIFS($D$25:$D$267,Parameters!$K$2,$E$25:$E$267,Parameters!$M$6,Calendrier!$C$25:$C$267,EY41)+ COUNTIFS($D$25:$D$267,Parameters!$K$4,$E$25:$E$267,Parameters!$M$6,Calendrier!$C$25:$C$267,EY41))</f>
        <v/>
      </c>
      <c r="SF41" s="50" t="str">
        <f>IF(EZ41="","",COUNTIFS($D$25:$D$267,Parameters!$K$2,$E$25:$E$267,Parameters!$M$6,Calendrier!$C$25:$C$267,EZ41)+ COUNTIFS($D$25:$D$267,Parameters!$K$3,$E$25:$E$267,Parameters!$M$6,Calendrier!$C$25:$C$267,EZ41))</f>
        <v/>
      </c>
      <c r="SG41" s="57" t="str">
        <f>IF(FA41="","",COUNTIFS($D$25:$D$267,Parameters!$K$2,$E$25:$E$267,Parameters!$M$6,Calendrier!$C$25:$C$267,FA41)+ COUNTIFS($D$25:$D$267,Parameters!$K$4,$E$25:$E$267,Parameters!$M$6,Calendrier!$C$25:$C$267,FA41))</f>
        <v/>
      </c>
      <c r="SL41" s="49">
        <f>IF(DH41="","",COUNTIFS($D$25:$D$267,Parameters!$K$2,$E$25:$E$267,Parameters!$M$7,Calendrier!$C$25:$C$267,DH41)+ COUNTIFS($D$25:$D$267,Parameters!$K$3,$E$25:$E$267,Parameters!$M$7,Calendrier!$C$25:$C$267,DH41))</f>
        <v>0</v>
      </c>
      <c r="SM41" s="50">
        <f>IF(DI41="","",COUNTIFS($D$25:$D$267,Parameters!$K$2,$E$25:$E$267,Parameters!$M$7,Calendrier!$C$25:$C$267,DI41)+ COUNTIFS($D$25:$D$267,Parameters!$K$4,$E$25:$E$267,Parameters!$M$7,Calendrier!$C$25:$C$267,DI41))</f>
        <v>0</v>
      </c>
      <c r="SN41" s="50">
        <f>IF(DJ41="","",COUNTIFS($D$25:$D$267,Parameters!$K$2,$E$25:$E$267,Parameters!$M$7,Calendrier!$C$25:$C$267,DJ41)+ COUNTIFS($D$25:$D$267,Parameters!$K$3,$E$25:$E$267,Parameters!$M$7,Calendrier!$C$25:$C$267,DJ41))</f>
        <v>0</v>
      </c>
      <c r="SO41" s="50">
        <f>IF(DK41="","",COUNTIFS($D$25:$D$267,Parameters!$K$2,$E$25:$E$267,Parameters!$M$7,Calendrier!$C$25:$C$267,DK41)+ COUNTIFS($D$25:$D$267,Parameters!$K$4,$E$25:$E$267,Parameters!$M$7,Calendrier!$C$25:$C$267,DK41))</f>
        <v>0</v>
      </c>
      <c r="SP41" s="50">
        <f>IF(DL41="","",COUNTIFS($D$25:$D$267,Parameters!$K$2,$E$25:$E$267,Parameters!$M$7,Calendrier!$C$25:$C$267,DL41)+ COUNTIFS($D$25:$D$267,Parameters!$K$3,$E$25:$E$267,Parameters!$M$7,Calendrier!$C$25:$C$267,DL41))</f>
        <v>0</v>
      </c>
      <c r="SQ41" s="50">
        <f>IF(DM41="","",COUNTIFS($D$25:$D$267,Parameters!$K$2,$E$25:$E$267,Parameters!$M$7,Calendrier!$C$25:$C$267,DM41)+ COUNTIFS($D$25:$D$267,Parameters!$K$4,$E$25:$E$267,Parameters!$M$7,Calendrier!$C$25:$C$267,DM41))</f>
        <v>0</v>
      </c>
      <c r="SR41" s="50">
        <f>IF(DN41="","",COUNTIFS($D$25:$D$267,Parameters!$K$2,$E$25:$E$267,Parameters!$M$7,Calendrier!$C$25:$C$267,DN41)+ COUNTIFS($D$25:$D$267,Parameters!$K$3,$E$25:$E$267,Parameters!$M$7,Calendrier!$C$25:$C$267,DN41))</f>
        <v>0</v>
      </c>
      <c r="SS41" s="50">
        <f>IF(DO41="","",COUNTIFS($D$25:$D$267,Parameters!$K$2,$E$25:$E$267,Parameters!$M$7,Calendrier!$C$25:$C$267,DO41)+ COUNTIFS($D$25:$D$267,Parameters!$K$4,$E$25:$E$267,Parameters!$M$7,Calendrier!$C$25:$C$267,DO41))</f>
        <v>0</v>
      </c>
      <c r="ST41" s="50">
        <f>IF(DP41="","",COUNTIFS($D$25:$D$267,Parameters!$K$2,$E$25:$E$267,Parameters!$M$7,Calendrier!$C$25:$C$267,DP41)+ COUNTIFS($D$25:$D$267,Parameters!$K$3,$E$25:$E$267,Parameters!$M$7,Calendrier!$C$25:$C$267,DP41))</f>
        <v>0</v>
      </c>
      <c r="SU41" s="50">
        <f>IF(DQ41="","",COUNTIFS($D$25:$D$267,Parameters!$K$2,$E$25:$E$267,Parameters!$M$7,Calendrier!$C$25:$C$267,DQ41)+ COUNTIFS($D$25:$D$267,Parameters!$K$4,$E$25:$E$267,Parameters!$M$7,Calendrier!$C$25:$C$267,DQ41))</f>
        <v>0</v>
      </c>
      <c r="SV41" s="50">
        <f>IF(DR41="","",COUNTIFS($D$25:$D$267,Parameters!$K$2,$E$25:$E$267,Parameters!$M$7,Calendrier!$C$25:$C$267,DR41)+ COUNTIFS($D$25:$D$267,Parameters!$K$3,$E$25:$E$267,Parameters!$M$7,Calendrier!$C$25:$C$267,DR41))</f>
        <v>0</v>
      </c>
      <c r="SW41" s="50">
        <f>IF(DS41="","",COUNTIFS($D$25:$D$267,Parameters!$K$2,$E$25:$E$267,Parameters!$M$7,Calendrier!$C$25:$C$267,DS41)+ COUNTIFS($D$25:$D$267,Parameters!$K$4,$E$25:$E$267,Parameters!$M$7,Calendrier!$C$25:$C$267,DS41))</f>
        <v>0</v>
      </c>
      <c r="SX41" s="50" t="str">
        <f>IF(DT41="","",COUNTIFS($D$25:$D$267,Parameters!$K$2,$E$25:$E$267,Parameters!$M$7,Calendrier!$C$25:$C$267,DT41)+ COUNTIFS($D$25:$D$267,Parameters!$K$3,$E$25:$E$267,Parameters!$M$7,Calendrier!$C$25:$C$267,DT41))</f>
        <v/>
      </c>
      <c r="SY41" s="57" t="str">
        <f>IF(DU41="","",COUNTIFS($D$25:$D$267,Parameters!$K$2,$E$25:$E$267,Parameters!$M$7,Calendrier!$C$25:$C$267,DU41)+ COUNTIFS($D$25:$D$267,Parameters!$K$4,$E$25:$E$267,Parameters!$M$7,Calendrier!$C$25:$C$267,DU41))</f>
        <v/>
      </c>
      <c r="TB41" s="49">
        <f>IF(DX41="","",COUNTIFS($D$25:$D$267,Parameters!$K$2,$E$25:$E$267,Parameters!$M$7,Calendrier!$C$25:$C$267,DX41)+ COUNTIFS($D$25:$D$267,Parameters!$K$3,$E$25:$E$267,Parameters!$M$7,Calendrier!$C$25:$C$267,DX41))</f>
        <v>0</v>
      </c>
      <c r="TC41" s="50">
        <f>IF(DY41="","",COUNTIFS($D$25:$D$267,Parameters!$K$2,$E$25:$E$267,Parameters!$M$7,Calendrier!$C$25:$C$267,DY41)+ COUNTIFS($D$25:$D$267,Parameters!$K$4,$E$25:$E$267,Parameters!$M$7,Calendrier!$C$25:$C$267,DY41))</f>
        <v>0</v>
      </c>
      <c r="TD41" s="50">
        <f>IF(DZ41="","",COUNTIFS($D$25:$D$267,Parameters!$K$2,$E$25:$E$267,Parameters!$M$7,Calendrier!$C$25:$C$267,DZ41)+ COUNTIFS($D$25:$D$267,Parameters!$K$3,$E$25:$E$267,Parameters!$M$7,Calendrier!$C$25:$C$267,DZ41))</f>
        <v>0</v>
      </c>
      <c r="TE41" s="50">
        <f>IF(EA41="","",COUNTIFS($D$25:$D$267,Parameters!$K$2,$E$25:$E$267,Parameters!$M$7,Calendrier!$C$25:$C$267,EA41)+ COUNTIFS($D$25:$D$267,Parameters!$K$4,$E$25:$E$267,Parameters!$M$7,Calendrier!$C$25:$C$267,EA41))</f>
        <v>0</v>
      </c>
      <c r="TF41" s="50">
        <f>IF(EB41="","",COUNTIFS($D$25:$D$267,Parameters!$K$2,$E$25:$E$267,Parameters!$M$7,Calendrier!$C$25:$C$267,EB41)+ COUNTIFS($D$25:$D$267,Parameters!$K$3,$E$25:$E$267,Parameters!$M$7,Calendrier!$C$25:$C$267,EB41))</f>
        <v>0</v>
      </c>
      <c r="TG41" s="50">
        <f>IF(EC41="","",COUNTIFS($D$25:$D$267,Parameters!$K$2,$E$25:$E$267,Parameters!$M$7,Calendrier!$C$25:$C$267,EC41)+ COUNTIFS($D$25:$D$267,Parameters!$K$4,$E$25:$E$267,Parameters!$M$7,Calendrier!$C$25:$C$267,EC41))</f>
        <v>0</v>
      </c>
      <c r="TH41" s="50">
        <f>IF(ED41="","",COUNTIFS($D$25:$D$267,Parameters!$K$2,$E$25:$E$267,Parameters!$M$7,Calendrier!$C$25:$C$267,ED41)+ COUNTIFS($D$25:$D$267,Parameters!$K$3,$E$25:$E$267,Parameters!$M$7,Calendrier!$C$25:$C$267,ED41))</f>
        <v>0</v>
      </c>
      <c r="TI41" s="50">
        <f>IF(EE41="","",COUNTIFS($D$25:$D$267,Parameters!$K$2,$E$25:$E$267,Parameters!$M$7,Calendrier!$C$25:$C$267,EE41)+ COUNTIFS($D$25:$D$267,Parameters!$K$4,$E$25:$E$267,Parameters!$M$7,Calendrier!$C$25:$C$267,EE41))</f>
        <v>0</v>
      </c>
      <c r="TJ41" s="50">
        <f>IF(EF41="","",COUNTIFS($D$25:$D$267,Parameters!$K$2,$E$25:$E$267,Parameters!$M$7,Calendrier!$C$25:$C$267,EF41)+ COUNTIFS($D$25:$D$267,Parameters!$K$3,$E$25:$E$267,Parameters!$M$7,Calendrier!$C$25:$C$267,EF41))</f>
        <v>0</v>
      </c>
      <c r="TK41" s="50">
        <f>IF(EG41="","",COUNTIFS($D$25:$D$267,Parameters!$K$2,$E$25:$E$267,Parameters!$M$7,Calendrier!$C$25:$C$267,EG41)+ COUNTIFS($D$25:$D$267,Parameters!$K$4,$E$25:$E$267,Parameters!$M$7,Calendrier!$C$25:$C$267,EG41))</f>
        <v>0</v>
      </c>
      <c r="TL41" s="50">
        <f>IF(EH41="","",COUNTIFS($D$25:$D$267,Parameters!$K$2,$E$25:$E$267,Parameters!$M$7,Calendrier!$C$25:$C$267,EH41)+ COUNTIFS($D$25:$D$267,Parameters!$K$3,$E$25:$E$267,Parameters!$M$7,Calendrier!$C$25:$C$267,EH41))</f>
        <v>0</v>
      </c>
      <c r="TM41" s="50">
        <f>IF(EI41="","",COUNTIFS($D$25:$D$267,Parameters!$K$2,$E$25:$E$267,Parameters!$M$7,Calendrier!$C$25:$C$267,EI41)+ COUNTIFS($D$25:$D$267,Parameters!$K$4,$E$25:$E$267,Parameters!$M$7,Calendrier!$C$25:$C$267,EI41))</f>
        <v>0</v>
      </c>
      <c r="TN41" s="50">
        <f>IF(EJ41="","",COUNTIFS($D$25:$D$267,Parameters!$K$2,$E$25:$E$267,Parameters!$M$7,Calendrier!$C$25:$C$267,EJ41)+ COUNTIFS($D$25:$D$267,Parameters!$K$3,$E$25:$E$267,Parameters!$M$7,Calendrier!$C$25:$C$267,EJ41))</f>
        <v>0</v>
      </c>
      <c r="TO41" s="57">
        <f>IF(EK41="","",COUNTIFS($D$25:$D$267,Parameters!$K$2,$E$25:$E$267,Parameters!$M$7,Calendrier!$C$25:$C$267,EK41)+ COUNTIFS($D$25:$D$267,Parameters!$K$4,$E$25:$E$267,Parameters!$M$7,Calendrier!$C$25:$C$267,EK41))</f>
        <v>0</v>
      </c>
      <c r="TR41" s="49">
        <f>IF(EN41="","",COUNTIFS($D$25:$D$267,Parameters!$K$2,$E$25:$E$267,Parameters!$M$7,Calendrier!$C$25:$C$267,EN41)+ COUNTIFS($D$25:$D$267,Parameters!$K$3,$E$25:$E$267,Parameters!$M$7,Calendrier!$C$25:$C$267,EN41))</f>
        <v>0</v>
      </c>
      <c r="TS41" s="50">
        <f>IF(EO41="","",COUNTIFS($D$25:$D$267,Parameters!$K$2,$E$25:$E$267,Parameters!$M$7,Calendrier!$C$25:$C$267,EO41)+ COUNTIFS($D$25:$D$267,Parameters!$K$4,$E$25:$E$267,Parameters!$M$7,Calendrier!$C$25:$C$267,EO41))</f>
        <v>0</v>
      </c>
      <c r="TT41" s="50">
        <f>IF(EP41="","",COUNTIFS($D$25:$D$267,Parameters!$K$2,$E$25:$E$267,Parameters!$M$7,Calendrier!$C$25:$C$267,EP41)+ COUNTIFS($D$25:$D$267,Parameters!$K$3,$E$25:$E$267,Parameters!$M$7,Calendrier!$C$25:$C$267,EP41))</f>
        <v>0</v>
      </c>
      <c r="TU41" s="50">
        <f>IF(EQ41="","",COUNTIFS($D$25:$D$267,Parameters!$K$2,$E$25:$E$267,Parameters!$M$7,Calendrier!$C$25:$C$267,EQ41)+ COUNTIFS($D$25:$D$267,Parameters!$K$4,$E$25:$E$267,Parameters!$M$7,Calendrier!$C$25:$C$267,EQ41))</f>
        <v>0</v>
      </c>
      <c r="TV41" s="50">
        <f>IF(ER41="","",COUNTIFS($D$25:$D$267,Parameters!$K$2,$E$25:$E$267,Parameters!$M$7,Calendrier!$C$25:$C$267,ER41)+ COUNTIFS($D$25:$D$267,Parameters!$K$3,$E$25:$E$267,Parameters!$M$7,Calendrier!$C$25:$C$267,ER41))</f>
        <v>0</v>
      </c>
      <c r="TW41" s="50">
        <f>IF(ES41="","",COUNTIFS($D$25:$D$267,Parameters!$K$2,$E$25:$E$267,Parameters!$M$7,Calendrier!$C$25:$C$267,ES41)+ COUNTIFS($D$25:$D$267,Parameters!$K$4,$E$25:$E$267,Parameters!$M$7,Calendrier!$C$25:$C$267,ES41))</f>
        <v>0</v>
      </c>
      <c r="TX41" s="50">
        <f>IF(ET41="","",COUNTIFS($D$25:$D$267,Parameters!$K$2,$E$25:$E$267,Parameters!$M$7,Calendrier!$C$25:$C$267,ET41)+ COUNTIFS($D$25:$D$267,Parameters!$K$3,$E$25:$E$267,Parameters!$M$7,Calendrier!$C$25:$C$267,ET41))</f>
        <v>0</v>
      </c>
      <c r="TY41" s="50">
        <f>IF(EU41="","",COUNTIFS($D$25:$D$267,Parameters!$K$2,$E$25:$E$267,Parameters!$M$7,Calendrier!$C$25:$C$267,EU41)+ COUNTIFS($D$25:$D$267,Parameters!$K$4,$E$25:$E$267,Parameters!$M$7,Calendrier!$C$25:$C$267,EU41))</f>
        <v>0</v>
      </c>
      <c r="TZ41" s="50" t="str">
        <f>IF(EV41="","",COUNTIFS($D$25:$D$267,Parameters!$K$2,$E$25:$E$267,Parameters!$M$7,Calendrier!$C$25:$C$267,EV41)+ COUNTIFS($D$25:$D$267,Parameters!$K$3,$E$25:$E$267,Parameters!$M$7,Calendrier!$C$25:$C$267,EV41))</f>
        <v/>
      </c>
      <c r="UA41" s="50" t="str">
        <f>IF(EW41="","",COUNTIFS($D$25:$D$267,Parameters!$K$2,$E$25:$E$267,Parameters!$M$7,Calendrier!$C$25:$C$267,EW41)+ COUNTIFS($D$25:$D$267,Parameters!$K$4,$E$25:$E$267,Parameters!$M$7,Calendrier!$C$25:$C$267,EW41))</f>
        <v/>
      </c>
      <c r="UB41" s="50" t="str">
        <f>IF(EX41="","",COUNTIFS($D$25:$D$267,Parameters!$K$2,$E$25:$E$267,Parameters!$M$7,Calendrier!$C$25:$C$267,EX41)+ COUNTIFS($D$25:$D$267,Parameters!$K$3,$E$25:$E$267,Parameters!$M$7,Calendrier!$C$25:$C$267,EX41))</f>
        <v/>
      </c>
      <c r="UC41" s="50" t="str">
        <f>IF(EY41="","",COUNTIFS($D$25:$D$267,Parameters!$K$2,$E$25:$E$267,Parameters!$M$7,Calendrier!$C$25:$C$267,EY41)+ COUNTIFS($D$25:$D$267,Parameters!$K$4,$E$25:$E$267,Parameters!$M$7,Calendrier!$C$25:$C$267,EY41))</f>
        <v/>
      </c>
      <c r="UD41" s="50" t="str">
        <f>IF(EZ41="","",COUNTIFS($D$25:$D$267,Parameters!$K$2,$E$25:$E$267,Parameters!$M$7,Calendrier!$C$25:$C$267,EZ41)+ COUNTIFS($D$25:$D$267,Parameters!$K$3,$E$25:$E$267,Parameters!$M$7,Calendrier!$C$25:$C$267,EZ41))</f>
        <v/>
      </c>
      <c r="UE41" s="57" t="str">
        <f>IF(FA41="","",COUNTIFS($D$25:$D$267,Parameters!$K$2,$E$25:$E$267,Parameters!$M$7,Calendrier!$C$25:$C$267,FA41)+ COUNTIFS($D$25:$D$267,Parameters!$K$4,$E$25:$E$267,Parameters!$M$7,Calendrier!$C$25:$C$267,FA41))</f>
        <v/>
      </c>
    </row>
    <row r="42" spans="2:551" ht="15" thickBot="1" x14ac:dyDescent="0.35">
      <c r="B42" s="73">
        <f t="shared" si="317"/>
        <v>2025</v>
      </c>
      <c r="C42" s="27">
        <v>45848</v>
      </c>
      <c r="D42" s="28" t="s">
        <v>30</v>
      </c>
      <c r="E42" s="30" t="s">
        <v>36</v>
      </c>
      <c r="F42" s="61"/>
      <c r="G42" s="77"/>
      <c r="K42" s="31"/>
      <c r="L42" s="22" t="str">
        <f t="shared" si="585"/>
        <v/>
      </c>
      <c r="M42" s="23"/>
      <c r="N42" s="22" t="str">
        <f t="shared" si="586"/>
        <v/>
      </c>
      <c r="O42" s="23"/>
      <c r="P42" s="22" t="str">
        <f t="shared" si="587"/>
        <v/>
      </c>
      <c r="Q42" s="23"/>
      <c r="R42" s="22" t="str">
        <f t="shared" si="588"/>
        <v/>
      </c>
      <c r="S42" s="23"/>
      <c r="T42" s="22" t="str">
        <f t="shared" si="589"/>
        <v/>
      </c>
      <c r="U42" s="23"/>
      <c r="V42" s="22" t="str">
        <f t="shared" si="590"/>
        <v/>
      </c>
      <c r="W42" s="23"/>
      <c r="X42" s="22" t="str">
        <f t="shared" si="591"/>
        <v/>
      </c>
      <c r="Y42" s="23"/>
      <c r="Z42" s="31"/>
      <c r="AA42" s="31"/>
      <c r="AB42" s="22">
        <f t="shared" si="592"/>
        <v>30</v>
      </c>
      <c r="AC42" s="23"/>
      <c r="AD42" s="22" t="str">
        <f t="shared" si="593"/>
        <v/>
      </c>
      <c r="AE42" s="23"/>
      <c r="AF42" s="22" t="str">
        <f t="shared" si="594"/>
        <v/>
      </c>
      <c r="AG42" s="23"/>
      <c r="AH42" s="22" t="str">
        <f t="shared" si="595"/>
        <v/>
      </c>
      <c r="AI42" s="23"/>
      <c r="AJ42" s="22" t="str">
        <f t="shared" si="596"/>
        <v/>
      </c>
      <c r="AK42" s="23"/>
      <c r="AL42" s="22" t="str">
        <f t="shared" si="597"/>
        <v/>
      </c>
      <c r="AM42" s="23"/>
      <c r="AN42" s="22" t="str">
        <f t="shared" si="598"/>
        <v/>
      </c>
      <c r="AO42" s="23"/>
      <c r="AP42" s="31"/>
      <c r="AQ42" s="31"/>
      <c r="AR42" s="22" t="str">
        <f t="shared" si="599"/>
        <v/>
      </c>
      <c r="AS42" s="23"/>
      <c r="AT42" s="22" t="str">
        <f t="shared" si="600"/>
        <v/>
      </c>
      <c r="AU42" s="23"/>
      <c r="AV42" s="22" t="str">
        <f t="shared" si="601"/>
        <v/>
      </c>
      <c r="AW42" s="23"/>
      <c r="AX42" s="22" t="str">
        <f t="shared" si="602"/>
        <v/>
      </c>
      <c r="AY42" s="23"/>
      <c r="AZ42" s="22" t="str">
        <f t="shared" si="603"/>
        <v/>
      </c>
      <c r="BA42" s="23"/>
      <c r="BB42" s="22" t="str">
        <f t="shared" si="604"/>
        <v/>
      </c>
      <c r="BC42" s="23"/>
      <c r="BD42" s="22" t="str">
        <f t="shared" si="605"/>
        <v/>
      </c>
      <c r="BE42" s="23"/>
      <c r="BF42" s="31"/>
      <c r="BG42" s="31"/>
      <c r="BJ42" s="42"/>
      <c r="BK42" s="6">
        <v>10</v>
      </c>
      <c r="BL42" s="6">
        <v>10</v>
      </c>
      <c r="BM42" s="6">
        <v>10</v>
      </c>
      <c r="BN42" s="6">
        <v>10</v>
      </c>
      <c r="BO42" s="6">
        <v>10</v>
      </c>
      <c r="BP42" s="6">
        <v>10</v>
      </c>
      <c r="BQ42" s="6">
        <v>10</v>
      </c>
      <c r="BR42" s="6">
        <v>10</v>
      </c>
      <c r="BS42" s="6">
        <v>10</v>
      </c>
      <c r="BT42" s="6">
        <v>10</v>
      </c>
      <c r="BU42" s="6">
        <v>10</v>
      </c>
      <c r="BV42" s="6">
        <v>10</v>
      </c>
      <c r="BW42" s="6">
        <v>10</v>
      </c>
      <c r="CA42" s="6">
        <v>11</v>
      </c>
      <c r="CB42" s="6">
        <v>11</v>
      </c>
      <c r="CC42" s="6">
        <v>11</v>
      </c>
      <c r="CD42" s="6">
        <v>11</v>
      </c>
      <c r="CE42" s="6">
        <v>11</v>
      </c>
      <c r="CF42" s="6">
        <v>11</v>
      </c>
      <c r="CG42" s="6">
        <v>11</v>
      </c>
      <c r="CH42" s="6">
        <v>11</v>
      </c>
      <c r="CI42" s="6">
        <v>11</v>
      </c>
      <c r="CJ42" s="6">
        <v>11</v>
      </c>
      <c r="CK42" s="6">
        <v>11</v>
      </c>
      <c r="CL42" s="6">
        <v>11</v>
      </c>
      <c r="CM42" s="6">
        <v>11</v>
      </c>
      <c r="CQ42" s="6">
        <v>12</v>
      </c>
      <c r="CR42" s="6">
        <v>12</v>
      </c>
      <c r="CS42" s="6">
        <v>12</v>
      </c>
      <c r="CT42" s="6">
        <v>12</v>
      </c>
      <c r="CU42" s="6">
        <v>12</v>
      </c>
      <c r="CV42" s="6">
        <v>12</v>
      </c>
      <c r="CW42" s="6">
        <v>12</v>
      </c>
      <c r="CX42" s="6">
        <v>12</v>
      </c>
      <c r="CY42" s="6">
        <v>12</v>
      </c>
      <c r="CZ42" s="6">
        <v>12</v>
      </c>
      <c r="DA42" s="6">
        <v>12</v>
      </c>
      <c r="DB42" s="6">
        <v>12</v>
      </c>
      <c r="DC42" s="6">
        <v>12</v>
      </c>
      <c r="DG42" s="42"/>
      <c r="DH42" s="46" t="str">
        <f t="shared" si="505"/>
        <v/>
      </c>
      <c r="DI42" s="47" t="str">
        <f t="shared" ref="DI42" si="625">DH42</f>
        <v/>
      </c>
      <c r="DJ42" s="47" t="str">
        <f t="shared" si="468"/>
        <v/>
      </c>
      <c r="DK42" s="47" t="str">
        <f t="shared" ref="DK42" si="626">DJ42</f>
        <v/>
      </c>
      <c r="DL42" s="47" t="str">
        <f t="shared" si="470"/>
        <v/>
      </c>
      <c r="DM42" s="47" t="str">
        <f t="shared" ref="DM42" si="627">DL42</f>
        <v/>
      </c>
      <c r="DN42" s="47" t="str">
        <f t="shared" si="472"/>
        <v/>
      </c>
      <c r="DO42" s="47" t="str">
        <f t="shared" ref="DO42" si="628">DN42</f>
        <v/>
      </c>
      <c r="DP42" s="47" t="str">
        <f t="shared" si="474"/>
        <v/>
      </c>
      <c r="DQ42" s="47" t="str">
        <f t="shared" ref="DQ42" si="629">DP42</f>
        <v/>
      </c>
      <c r="DR42" s="47" t="str">
        <f t="shared" si="476"/>
        <v/>
      </c>
      <c r="DS42" s="47" t="str">
        <f t="shared" ref="DS42" si="630">DR42</f>
        <v/>
      </c>
      <c r="DT42" s="47" t="str">
        <f t="shared" si="478"/>
        <v/>
      </c>
      <c r="DU42" s="48" t="str">
        <f t="shared" ref="DU42" si="631">DT42</f>
        <v/>
      </c>
      <c r="DX42" s="46">
        <f t="shared" si="513"/>
        <v>46356</v>
      </c>
      <c r="DY42" s="47">
        <f t="shared" ref="DY42" si="632">DX42</f>
        <v>46356</v>
      </c>
      <c r="DZ42" s="47" t="str">
        <f t="shared" si="480"/>
        <v/>
      </c>
      <c r="EA42" s="47" t="str">
        <f t="shared" ref="EA42" si="633">DZ42</f>
        <v/>
      </c>
      <c r="EB42" s="47" t="str">
        <f t="shared" si="482"/>
        <v/>
      </c>
      <c r="EC42" s="47" t="str">
        <f t="shared" ref="EC42" si="634">EB42</f>
        <v/>
      </c>
      <c r="ED42" s="47" t="str">
        <f t="shared" si="484"/>
        <v/>
      </c>
      <c r="EE42" s="47" t="str">
        <f t="shared" ref="EE42" si="635">ED42</f>
        <v/>
      </c>
      <c r="EF42" s="47" t="str">
        <f t="shared" si="486"/>
        <v/>
      </c>
      <c r="EG42" s="47" t="str">
        <f t="shared" ref="EG42" si="636">EF42</f>
        <v/>
      </c>
      <c r="EH42" s="47" t="str">
        <f t="shared" si="488"/>
        <v/>
      </c>
      <c r="EI42" s="47" t="str">
        <f t="shared" ref="EI42" si="637">EH42</f>
        <v/>
      </c>
      <c r="EJ42" s="47" t="str">
        <f t="shared" si="490"/>
        <v/>
      </c>
      <c r="EK42" s="48" t="str">
        <f t="shared" si="491"/>
        <v/>
      </c>
      <c r="EN42" s="46" t="str">
        <f t="shared" si="520"/>
        <v/>
      </c>
      <c r="EO42" s="47" t="str">
        <f t="shared" ref="EO42" si="638">EN42</f>
        <v/>
      </c>
      <c r="EP42" s="47" t="str">
        <f t="shared" si="492"/>
        <v/>
      </c>
      <c r="EQ42" s="47" t="str">
        <f t="shared" ref="EQ42" si="639">EP42</f>
        <v/>
      </c>
      <c r="ER42" s="47" t="str">
        <f t="shared" si="494"/>
        <v/>
      </c>
      <c r="ES42" s="47" t="str">
        <f t="shared" ref="ES42" si="640">ER42</f>
        <v/>
      </c>
      <c r="ET42" s="47" t="str">
        <f t="shared" si="496"/>
        <v/>
      </c>
      <c r="EU42" s="47" t="str">
        <f t="shared" ref="EU42" si="641">ET42</f>
        <v/>
      </c>
      <c r="EV42" s="47" t="str">
        <f t="shared" si="498"/>
        <v/>
      </c>
      <c r="EW42" s="47" t="str">
        <f t="shared" ref="EW42" si="642">EV42</f>
        <v/>
      </c>
      <c r="EX42" s="47" t="str">
        <f t="shared" si="500"/>
        <v/>
      </c>
      <c r="EY42" s="47" t="str">
        <f t="shared" ref="EY42" si="643">EX42</f>
        <v/>
      </c>
      <c r="EZ42" s="47" t="str">
        <f t="shared" si="502"/>
        <v/>
      </c>
      <c r="FA42" s="48" t="str">
        <f t="shared" si="503"/>
        <v/>
      </c>
      <c r="FE42" s="58">
        <f>COUNTIFS(Parameters!$S:$S,$D$4,Parameters!$Q:$Q,DH42)</f>
        <v>0</v>
      </c>
      <c r="FF42" s="59">
        <f>COUNTIFS(Parameters!$S:$S,$D$4,Parameters!$Q:$Q,DI42)</f>
        <v>0</v>
      </c>
      <c r="FG42" s="59">
        <f>COUNTIFS(Parameters!$S:$S,$D$4,Parameters!$Q:$Q,DJ42)</f>
        <v>0</v>
      </c>
      <c r="FH42" s="59">
        <f>COUNTIFS(Parameters!$S:$S,$D$4,Parameters!$Q:$Q,DK42)</f>
        <v>0</v>
      </c>
      <c r="FI42" s="59">
        <f>COUNTIFS(Parameters!$S:$S,$D$4,Parameters!$Q:$Q,DL42)</f>
        <v>0</v>
      </c>
      <c r="FJ42" s="59">
        <f>COUNTIFS(Parameters!$S:$S,$D$4,Parameters!$Q:$Q,DM42)</f>
        <v>0</v>
      </c>
      <c r="FK42" s="59">
        <f>COUNTIFS(Parameters!$S:$S,$D$4,Parameters!$Q:$Q,DN42)</f>
        <v>0</v>
      </c>
      <c r="FL42" s="59">
        <f>COUNTIFS(Parameters!$S:$S,$D$4,Parameters!$Q:$Q,DO42)</f>
        <v>0</v>
      </c>
      <c r="FM42" s="59">
        <f>COUNTIFS(Parameters!$S:$S,$D$4,Parameters!$Q:$Q,DP42)</f>
        <v>0</v>
      </c>
      <c r="FN42" s="59">
        <f>COUNTIFS(Parameters!$S:$S,$D$4,Parameters!$Q:$Q,DQ42)</f>
        <v>0</v>
      </c>
      <c r="FO42" s="59">
        <f>COUNTIFS(Parameters!$S:$S,$D$4,Parameters!$Q:$Q,DR42)</f>
        <v>0</v>
      </c>
      <c r="FP42" s="59">
        <f>COUNTIFS(Parameters!$S:$S,$D$4,Parameters!$Q:$Q,DS42)</f>
        <v>0</v>
      </c>
      <c r="FQ42" s="59">
        <f>COUNTIFS(Parameters!$S:$S,$D$4,Parameters!$Q:$Q,DT42)</f>
        <v>0</v>
      </c>
      <c r="FR42" s="60">
        <f>COUNTIFS(Parameters!$S:$S,$D$4,Parameters!$Q:$Q,DU42)</f>
        <v>0</v>
      </c>
      <c r="FS42" s="15"/>
      <c r="FT42" s="15"/>
      <c r="FU42" s="58">
        <f>COUNTIFS(Parameters!$S:$S,$D$4,Parameters!$Q:$Q,DX42)</f>
        <v>0</v>
      </c>
      <c r="FV42" s="59">
        <f>COUNTIFS(Parameters!$S:$S,$D$4,Parameters!$Q:$Q,DY42)</f>
        <v>0</v>
      </c>
      <c r="FW42" s="59">
        <f>COUNTIFS(Parameters!$S:$S,$D$4,Parameters!$Q:$Q,DZ42)</f>
        <v>0</v>
      </c>
      <c r="FX42" s="59">
        <f>COUNTIFS(Parameters!$S:$S,$D$4,Parameters!$Q:$Q,EA42)</f>
        <v>0</v>
      </c>
      <c r="FY42" s="59">
        <f>COUNTIFS(Parameters!$S:$S,$D$4,Parameters!$Q:$Q,EB42)</f>
        <v>0</v>
      </c>
      <c r="FZ42" s="59">
        <f>COUNTIFS(Parameters!$S:$S,$D$4,Parameters!$Q:$Q,EC42)</f>
        <v>0</v>
      </c>
      <c r="GA42" s="59">
        <f>COUNTIFS(Parameters!$S:$S,$D$4,Parameters!$Q:$Q,ED42)</f>
        <v>0</v>
      </c>
      <c r="GB42" s="59">
        <f>COUNTIFS(Parameters!$S:$S,$D$4,Parameters!$Q:$Q,EE42)</f>
        <v>0</v>
      </c>
      <c r="GC42" s="59">
        <f>COUNTIFS(Parameters!$S:$S,$D$4,Parameters!$Q:$Q,EF42)</f>
        <v>0</v>
      </c>
      <c r="GD42" s="59">
        <f>COUNTIFS(Parameters!$S:$S,$D$4,Parameters!$Q:$Q,EG42)</f>
        <v>0</v>
      </c>
      <c r="GE42" s="59">
        <f>COUNTIFS(Parameters!$S:$S,$D$4,Parameters!$Q:$Q,EH42)</f>
        <v>0</v>
      </c>
      <c r="GF42" s="59">
        <f>COUNTIFS(Parameters!$S:$S,$D$4,Parameters!$Q:$Q,EI42)</f>
        <v>0</v>
      </c>
      <c r="GG42" s="59">
        <f>COUNTIFS(Parameters!$S:$S,$D$4,Parameters!$Q:$Q,EJ42)</f>
        <v>0</v>
      </c>
      <c r="GH42" s="60">
        <f>COUNTIFS(Parameters!$S:$S,$D$4,Parameters!$Q:$Q,EK42)</f>
        <v>0</v>
      </c>
      <c r="GI42" s="15"/>
      <c r="GJ42" s="15"/>
      <c r="GK42" s="58">
        <f>COUNTIFS(Parameters!$S:$S,$D$4,Parameters!$Q:$Q,EN42)</f>
        <v>0</v>
      </c>
      <c r="GL42" s="59">
        <f>COUNTIFS(Parameters!$S:$S,$D$4,Parameters!$Q:$Q,EO42)</f>
        <v>0</v>
      </c>
      <c r="GM42" s="59">
        <f>COUNTIFS(Parameters!$S:$S,$D$4,Parameters!$Q:$Q,EP42)</f>
        <v>0</v>
      </c>
      <c r="GN42" s="59">
        <f>COUNTIFS(Parameters!$S:$S,$D$4,Parameters!$Q:$Q,EQ42)</f>
        <v>0</v>
      </c>
      <c r="GO42" s="59">
        <f>COUNTIFS(Parameters!$S:$S,$D$4,Parameters!$Q:$Q,ER42)</f>
        <v>0</v>
      </c>
      <c r="GP42" s="59">
        <f>COUNTIFS(Parameters!$S:$S,$D$4,Parameters!$Q:$Q,ES42)</f>
        <v>0</v>
      </c>
      <c r="GQ42" s="59">
        <f>COUNTIFS(Parameters!$S:$S,$D$4,Parameters!$Q:$Q,ET42)</f>
        <v>0</v>
      </c>
      <c r="GR42" s="59">
        <f>COUNTIFS(Parameters!$S:$S,$D$4,Parameters!$Q:$Q,EU42)</f>
        <v>0</v>
      </c>
      <c r="GS42" s="59">
        <f>COUNTIFS(Parameters!$S:$S,$D$4,Parameters!$Q:$Q,EV42)</f>
        <v>0</v>
      </c>
      <c r="GT42" s="59">
        <f>COUNTIFS(Parameters!$S:$S,$D$4,Parameters!$Q:$Q,EW42)</f>
        <v>0</v>
      </c>
      <c r="GU42" s="59">
        <f>COUNTIFS(Parameters!$S:$S,$D$4,Parameters!$Q:$Q,EX42)</f>
        <v>0</v>
      </c>
      <c r="GV42" s="59">
        <f>COUNTIFS(Parameters!$S:$S,$D$4,Parameters!$Q:$Q,EY42)</f>
        <v>0</v>
      </c>
      <c r="GW42" s="59">
        <f>COUNTIFS(Parameters!$S:$S,$D$4,Parameters!$Q:$Q,EZ42)</f>
        <v>0</v>
      </c>
      <c r="GX42" s="60">
        <f>COUNTIFS(Parameters!$S:$S,$D$4,Parameters!$Q:$Q,FA42)</f>
        <v>0</v>
      </c>
      <c r="HB42" s="58" t="str">
        <f>IF(DH42="","",COUNTIFS($D$25:$D$267,Parameters!$K$2,$E$25:$E$267,Parameters!$M$2,Calendrier!$C$25:$C$267,DH42)+ COUNTIFS($D$25:$D$267,Parameters!$K$3,$E$25:$E$267,Parameters!$M$2,Calendrier!$C$25:$C$267,DH42))</f>
        <v/>
      </c>
      <c r="HC42" s="59" t="str">
        <f>IF(DI42="","",COUNTIFS($D$25:$D$267,Parameters!$K$2,$E$25:$E$267,Parameters!$M$2,Calendrier!$C$25:$C$267,DI42)+ COUNTIFS($D$25:$D$267,Parameters!$K$4,$E$25:$E$267,Parameters!$M$2,Calendrier!$C$25:$C$267,DI42))</f>
        <v/>
      </c>
      <c r="HD42" s="59" t="str">
        <f>IF(DJ42="","",COUNTIFS($D$25:$D$267,Parameters!$K$2,$E$25:$E$267,Parameters!$M$2,Calendrier!$C$25:$C$267,DJ42)+ COUNTIFS($D$25:$D$267,Parameters!$K$3,$E$25:$E$267,Parameters!$M$2,Calendrier!$C$25:$C$267,DJ42))</f>
        <v/>
      </c>
      <c r="HE42" s="59" t="str">
        <f>IF(DK42="","",COUNTIFS($D$25:$D$267,Parameters!$K$2,$E$25:$E$267,Parameters!$M$2,Calendrier!$C$25:$C$267,DK42)+ COUNTIFS($D$25:$D$267,Parameters!$K$4,$E$25:$E$267,Parameters!$M$2,Calendrier!$C$25:$C$267,DK42))</f>
        <v/>
      </c>
      <c r="HF42" s="59" t="str">
        <f>IF(DL42="","",COUNTIFS($D$25:$D$267,Parameters!$K$2,$E$25:$E$267,Parameters!$M$2,Calendrier!$C$25:$C$267,DL42)+ COUNTIFS($D$25:$D$267,Parameters!$K$3,$E$25:$E$267,Parameters!$M$2,Calendrier!$C$25:$C$267,DL42))</f>
        <v/>
      </c>
      <c r="HG42" s="59" t="str">
        <f>IF(DM42="","",COUNTIFS($D$25:$D$267,Parameters!$K$2,$E$25:$E$267,Parameters!$M$2,Calendrier!$C$25:$C$267,DM42)+ COUNTIFS($D$25:$D$267,Parameters!$K$4,$E$25:$E$267,Parameters!$M$2,Calendrier!$C$25:$C$267,DM42))</f>
        <v/>
      </c>
      <c r="HH42" s="59" t="str">
        <f>IF(DN42="","",COUNTIFS($D$25:$D$267,Parameters!$K$2,$E$25:$E$267,Parameters!$M$2,Calendrier!$C$25:$C$267,DN42)+ COUNTIFS($D$25:$D$267,Parameters!$K$3,$E$25:$E$267,Parameters!$M$2,Calendrier!$C$25:$C$267,DN42))</f>
        <v/>
      </c>
      <c r="HI42" s="59" t="str">
        <f>IF(DO42="","",COUNTIFS($D$25:$D$267,Parameters!$K$2,$E$25:$E$267,Parameters!$M$2,Calendrier!$C$25:$C$267,DO42)+ COUNTIFS($D$25:$D$267,Parameters!$K$4,$E$25:$E$267,Parameters!$M$2,Calendrier!$C$25:$C$267,DO42))</f>
        <v/>
      </c>
      <c r="HJ42" s="59" t="str">
        <f>IF(DP42="","",COUNTIFS($D$25:$D$267,Parameters!$K$2,$E$25:$E$267,Parameters!$M$2,Calendrier!$C$25:$C$267,DP42)+ COUNTIFS($D$25:$D$267,Parameters!$K$3,$E$25:$E$267,Parameters!$M$2,Calendrier!$C$25:$C$267,DP42))</f>
        <v/>
      </c>
      <c r="HK42" s="59" t="str">
        <f>IF(DQ42="","",COUNTIFS($D$25:$D$267,Parameters!$K$2,$E$25:$E$267,Parameters!$M$2,Calendrier!$C$25:$C$267,DQ42)+ COUNTIFS($D$25:$D$267,Parameters!$K$4,$E$25:$E$267,Parameters!$M$2,Calendrier!$C$25:$C$267,DQ42))</f>
        <v/>
      </c>
      <c r="HL42" s="59" t="str">
        <f>IF(DR42="","",COUNTIFS($D$25:$D$267,Parameters!$K$2,$E$25:$E$267,Parameters!$M$2,Calendrier!$C$25:$C$267,DR42)+ COUNTIFS($D$25:$D$267,Parameters!$K$3,$E$25:$E$267,Parameters!$M$2,Calendrier!$C$25:$C$267,DR42))</f>
        <v/>
      </c>
      <c r="HM42" s="59" t="str">
        <f>IF(DS42="","",COUNTIFS($D$25:$D$267,Parameters!$K$2,$E$25:$E$267,Parameters!$M$2,Calendrier!$C$25:$C$267,DS42)+ COUNTIFS($D$25:$D$267,Parameters!$K$4,$E$25:$E$267,Parameters!$M$2,Calendrier!$C$25:$C$267,DS42))</f>
        <v/>
      </c>
      <c r="HN42" s="59" t="str">
        <f>IF(DT42="","",COUNTIFS($D$25:$D$267,Parameters!$K$2,$E$25:$E$267,Parameters!$M$2,Calendrier!$C$25:$C$267,DT42)+ COUNTIFS($D$25:$D$267,Parameters!$K$3,$E$25:$E$267,Parameters!$M$2,Calendrier!$C$25:$C$267,DT42))</f>
        <v/>
      </c>
      <c r="HO42" s="60" t="str">
        <f>IF(DU42="","",COUNTIFS($D$25:$D$267,Parameters!$K$2,$E$25:$E$267,Parameters!$M$2,Calendrier!$C$25:$C$267,DU42)+ COUNTIFS($D$25:$D$267,Parameters!$K$4,$E$25:$E$267,Parameters!$M$2,Calendrier!$C$25:$C$267,DU42))</f>
        <v/>
      </c>
      <c r="HP42" s="15"/>
      <c r="HQ42" s="15"/>
      <c r="HR42" s="58">
        <f>IF(DX42="","",COUNTIFS($D$25:$D$267,Parameters!$K$2,$E$25:$E$267,Parameters!$M$2,Calendrier!$C$25:$C$267,DX42)+ COUNTIFS($D$25:$D$267,Parameters!$K$3,$E$25:$E$267,Parameters!$M$2,Calendrier!$C$25:$C$267,DX42))</f>
        <v>0</v>
      </c>
      <c r="HS42" s="59">
        <f>IF(DY42="","",COUNTIFS($D$25:$D$267,Parameters!$K$2,$E$25:$E$267,Parameters!$M$2,Calendrier!$C$25:$C$267,DY42)+ COUNTIFS($D$25:$D$267,Parameters!$K$4,$E$25:$E$267,Parameters!$M$2,Calendrier!$C$25:$C$267,DY42))</f>
        <v>0</v>
      </c>
      <c r="HT42" s="59" t="str">
        <f>IF(DZ42="","",COUNTIFS($D$25:$D$267,Parameters!$K$2,$E$25:$E$267,Parameters!$M$2,Calendrier!$C$25:$C$267,DZ42)+ COUNTIFS($D$25:$D$267,Parameters!$K$3,$E$25:$E$267,Parameters!$M$2,Calendrier!$C$25:$C$267,DZ42))</f>
        <v/>
      </c>
      <c r="HU42" s="59" t="str">
        <f>IF(EA42="","",COUNTIFS($D$25:$D$267,Parameters!$K$2,$E$25:$E$267,Parameters!$M$2,Calendrier!$C$25:$C$267,EA42)+ COUNTIFS($D$25:$D$267,Parameters!$K$4,$E$25:$E$267,Parameters!$M$2,Calendrier!$C$25:$C$267,EA42))</f>
        <v/>
      </c>
      <c r="HV42" s="59" t="str">
        <f>IF(EB42="","",COUNTIFS($D$25:$D$267,Parameters!$K$2,$E$25:$E$267,Parameters!$M$2,Calendrier!$C$25:$C$267,EB42)+ COUNTIFS($D$25:$D$267,Parameters!$K$3,$E$25:$E$267,Parameters!$M$2,Calendrier!$C$25:$C$267,EB42))</f>
        <v/>
      </c>
      <c r="HW42" s="59" t="str">
        <f>IF(EC42="","",COUNTIFS($D$25:$D$267,Parameters!$K$2,$E$25:$E$267,Parameters!$M$2,Calendrier!$C$25:$C$267,EC42)+ COUNTIFS($D$25:$D$267,Parameters!$K$4,$E$25:$E$267,Parameters!$M$2,Calendrier!$C$25:$C$267,EC42))</f>
        <v/>
      </c>
      <c r="HX42" s="59" t="str">
        <f>IF(ED42="","",COUNTIFS($D$25:$D$267,Parameters!$K$2,$E$25:$E$267,Parameters!$M$2,Calendrier!$C$25:$C$267,ED42)+ COUNTIFS($D$25:$D$267,Parameters!$K$3,$E$25:$E$267,Parameters!$M$2,Calendrier!$C$25:$C$267,ED42))</f>
        <v/>
      </c>
      <c r="HY42" s="59" t="str">
        <f>IF(EE42="","",COUNTIFS($D$25:$D$267,Parameters!$K$2,$E$25:$E$267,Parameters!$M$2,Calendrier!$C$25:$C$267,EE42)+ COUNTIFS($D$25:$D$267,Parameters!$K$4,$E$25:$E$267,Parameters!$M$2,Calendrier!$C$25:$C$267,EE42))</f>
        <v/>
      </c>
      <c r="HZ42" s="59" t="str">
        <f>IF(EF42="","",COUNTIFS($D$25:$D$267,Parameters!$K$2,$E$25:$E$267,Parameters!$M$2,Calendrier!$C$25:$C$267,EF42)+ COUNTIFS($D$25:$D$267,Parameters!$K$3,$E$25:$E$267,Parameters!$M$2,Calendrier!$C$25:$C$267,EF42))</f>
        <v/>
      </c>
      <c r="IA42" s="59" t="str">
        <f>IF(EG42="","",COUNTIFS($D$25:$D$267,Parameters!$K$2,$E$25:$E$267,Parameters!$M$2,Calendrier!$C$25:$C$267,EG42)+ COUNTIFS($D$25:$D$267,Parameters!$K$4,$E$25:$E$267,Parameters!$M$2,Calendrier!$C$25:$C$267,EG42))</f>
        <v/>
      </c>
      <c r="IB42" s="59" t="str">
        <f>IF(EH42="","",COUNTIFS($D$25:$D$267,Parameters!$K$2,$E$25:$E$267,Parameters!$M$2,Calendrier!$C$25:$C$267,EH42)+ COUNTIFS($D$25:$D$267,Parameters!$K$3,$E$25:$E$267,Parameters!$M$2,Calendrier!$C$25:$C$267,EH42))</f>
        <v/>
      </c>
      <c r="IC42" s="59" t="str">
        <f>IF(EI42="","",COUNTIFS($D$25:$D$267,Parameters!$K$2,$E$25:$E$267,Parameters!$M$2,Calendrier!$C$25:$C$267,EI42)+ COUNTIFS($D$25:$D$267,Parameters!$K$4,$E$25:$E$267,Parameters!$M$2,Calendrier!$C$25:$C$267,EI42))</f>
        <v/>
      </c>
      <c r="ID42" s="59" t="str">
        <f>IF(EJ42="","",COUNTIFS($D$25:$D$267,Parameters!$K$2,$E$25:$E$267,Parameters!$M$2,Calendrier!$C$25:$C$267,EJ42)+ COUNTIFS($D$25:$D$267,Parameters!$K$3,$E$25:$E$267,Parameters!$M$2,Calendrier!$C$25:$C$267,EJ42))</f>
        <v/>
      </c>
      <c r="IE42" s="60" t="str">
        <f>IF(EK42="","",COUNTIFS($D$25:$D$267,Parameters!$K$2,$E$25:$E$267,Parameters!$M$2,Calendrier!$C$25:$C$267,EK42)+ COUNTIFS($D$25:$D$267,Parameters!$K$4,$E$25:$E$267,Parameters!$M$2,Calendrier!$C$25:$C$267,EK42))</f>
        <v/>
      </c>
      <c r="IF42" s="15"/>
      <c r="IG42" s="15"/>
      <c r="IH42" s="58" t="str">
        <f>IF(EN42="","",COUNTIFS($D$25:$D$267,Parameters!$K$2,$E$25:$E$267,Parameters!$M$2,Calendrier!$C$25:$C$267,EN42)+ COUNTIFS($D$25:$D$267,Parameters!$K$3,$E$25:$E$267,Parameters!$M$2,Calendrier!$C$25:$C$267,EN42))</f>
        <v/>
      </c>
      <c r="II42" s="59" t="str">
        <f>IF(EO42="","",COUNTIFS($D$25:$D$267,Parameters!$K$2,$E$25:$E$267,Parameters!$M$2,Calendrier!$C$25:$C$267,EO42)+ COUNTIFS($D$25:$D$267,Parameters!$K$4,$E$25:$E$267,Parameters!$M$2,Calendrier!$C$25:$C$267,EO42))</f>
        <v/>
      </c>
      <c r="IJ42" s="59" t="str">
        <f>IF(EP42="","",COUNTIFS($D$25:$D$267,Parameters!$K$2,$E$25:$E$267,Parameters!$M$2,Calendrier!$C$25:$C$267,EP42)+ COUNTIFS($D$25:$D$267,Parameters!$K$3,$E$25:$E$267,Parameters!$M$2,Calendrier!$C$25:$C$267,EP42))</f>
        <v/>
      </c>
      <c r="IK42" s="59" t="str">
        <f>IF(EQ42="","",COUNTIFS($D$25:$D$267,Parameters!$K$2,$E$25:$E$267,Parameters!$M$2,Calendrier!$C$25:$C$267,EQ42)+ COUNTIFS($D$25:$D$267,Parameters!$K$4,$E$25:$E$267,Parameters!$M$2,Calendrier!$C$25:$C$267,EQ42))</f>
        <v/>
      </c>
      <c r="IL42" s="59" t="str">
        <f>IF(ER42="","",COUNTIFS($D$25:$D$267,Parameters!$K$2,$E$25:$E$267,Parameters!$M$2,Calendrier!$C$25:$C$267,ER42)+ COUNTIFS($D$25:$D$267,Parameters!$K$3,$E$25:$E$267,Parameters!$M$2,Calendrier!$C$25:$C$267,ER42))</f>
        <v/>
      </c>
      <c r="IM42" s="59" t="str">
        <f>IF(ES42="","",COUNTIFS($D$25:$D$267,Parameters!$K$2,$E$25:$E$267,Parameters!$M$2,Calendrier!$C$25:$C$267,ES42)+ COUNTIFS($D$25:$D$267,Parameters!$K$4,$E$25:$E$267,Parameters!$M$2,Calendrier!$C$25:$C$267,ES42))</f>
        <v/>
      </c>
      <c r="IN42" s="59" t="str">
        <f>IF(ET42="","",COUNTIFS($D$25:$D$267,Parameters!$K$2,$E$25:$E$267,Parameters!$M$2,Calendrier!$C$25:$C$267,ET42)+ COUNTIFS($D$25:$D$267,Parameters!$K$3,$E$25:$E$267,Parameters!$M$2,Calendrier!$C$25:$C$267,ET42))</f>
        <v/>
      </c>
      <c r="IO42" s="59" t="str">
        <f>IF(EU42="","",COUNTIFS($D$25:$D$267,Parameters!$K$2,$E$25:$E$267,Parameters!$M$2,Calendrier!$C$25:$C$267,EU42)+ COUNTIFS($D$25:$D$267,Parameters!$K$4,$E$25:$E$267,Parameters!$M$2,Calendrier!$C$25:$C$267,EU42))</f>
        <v/>
      </c>
      <c r="IP42" s="59" t="str">
        <f>IF(EV42="","",COUNTIFS($D$25:$D$267,Parameters!$K$2,$E$25:$E$267,Parameters!$M$2,Calendrier!$C$25:$C$267,EV42)+ COUNTIFS($D$25:$D$267,Parameters!$K$3,$E$25:$E$267,Parameters!$M$2,Calendrier!$C$25:$C$267,EV42))</f>
        <v/>
      </c>
      <c r="IQ42" s="59" t="str">
        <f>IF(EW42="","",COUNTIFS($D$25:$D$267,Parameters!$K$2,$E$25:$E$267,Parameters!$M$2,Calendrier!$C$25:$C$267,EW42)+ COUNTIFS($D$25:$D$267,Parameters!$K$4,$E$25:$E$267,Parameters!$M$2,Calendrier!$C$25:$C$267,EW42))</f>
        <v/>
      </c>
      <c r="IR42" s="59" t="str">
        <f>IF(EX42="","",COUNTIFS($D$25:$D$267,Parameters!$K$2,$E$25:$E$267,Parameters!$M$2,Calendrier!$C$25:$C$267,EX42)+ COUNTIFS($D$25:$D$267,Parameters!$K$3,$E$25:$E$267,Parameters!$M$2,Calendrier!$C$25:$C$267,EX42))</f>
        <v/>
      </c>
      <c r="IS42" s="59" t="str">
        <f>IF(EY42="","",COUNTIFS($D$25:$D$267,Parameters!$K$2,$E$25:$E$267,Parameters!$M$2,Calendrier!$C$25:$C$267,EY42)+ COUNTIFS($D$25:$D$267,Parameters!$K$4,$E$25:$E$267,Parameters!$M$2,Calendrier!$C$25:$C$267,EY42))</f>
        <v/>
      </c>
      <c r="IT42" s="59" t="str">
        <f>IF(EZ42="","",COUNTIFS($D$25:$D$267,Parameters!$K$2,$E$25:$E$267,Parameters!$M$2,Calendrier!$C$25:$C$267,EZ42)+ COUNTIFS($D$25:$D$267,Parameters!$K$3,$E$25:$E$267,Parameters!$M$2,Calendrier!$C$25:$C$267,EZ42))</f>
        <v/>
      </c>
      <c r="IU42" s="60" t="str">
        <f>IF(FA42="","",COUNTIFS($D$25:$D$267,Parameters!$K$2,$E$25:$E$267,Parameters!$M$2,Calendrier!$C$25:$C$267,FA42)+ COUNTIFS($D$25:$D$267,Parameters!$K$4,$E$25:$E$267,Parameters!$M$2,Calendrier!$C$25:$C$267,FA42))</f>
        <v/>
      </c>
      <c r="IY42" s="58" t="str">
        <f>IF(DH42="","",COUNTIFS($D$25:$D$267,Parameters!$K$2,$E$25:$E$267,Parameters!$M$3,Calendrier!$C$25:$C$267,DH42)+ COUNTIFS($D$25:$D$267,Parameters!$K$3,$E$25:$E$267,Parameters!$M$3,Calendrier!$C$25:$C$267,DH42))</f>
        <v/>
      </c>
      <c r="IZ42" s="59" t="str">
        <f>IF(DI42="","",COUNTIFS($D$25:$D$267,Parameters!$K$2,$E$25:$E$267,Parameters!$M$3,Calendrier!$C$25:$C$267,DI42)+ COUNTIFS($D$25:$D$267,Parameters!$K$4,$E$25:$E$267,Parameters!$M$3,Calendrier!$C$25:$C$267,DI42))</f>
        <v/>
      </c>
      <c r="JA42" s="59" t="str">
        <f>IF(DJ42="","",COUNTIFS($D$25:$D$267,Parameters!$K$2,$E$25:$E$267,Parameters!$M$3,Calendrier!$C$25:$C$267,DJ42)+ COUNTIFS($D$25:$D$267,Parameters!$K$3,$E$25:$E$267,Parameters!$M$3,Calendrier!$C$25:$C$267,DJ42))</f>
        <v/>
      </c>
      <c r="JB42" s="59" t="str">
        <f>IF(DK42="","",COUNTIFS($D$25:$D$267,Parameters!$K$2,$E$25:$E$267,Parameters!$M$3,Calendrier!$C$25:$C$267,DK42)+ COUNTIFS($D$25:$D$267,Parameters!$K$4,$E$25:$E$267,Parameters!$M$3,Calendrier!$C$25:$C$267,DK42))</f>
        <v/>
      </c>
      <c r="JC42" s="59" t="str">
        <f>IF(DL42="","",COUNTIFS($D$25:$D$267,Parameters!$K$2,$E$25:$E$267,Parameters!$M$3,Calendrier!$C$25:$C$267,DL42)+ COUNTIFS($D$25:$D$267,Parameters!$K$3,$E$25:$E$267,Parameters!$M$3,Calendrier!$C$25:$C$267,DL42))</f>
        <v/>
      </c>
      <c r="JD42" s="59" t="str">
        <f>IF(DM42="","",COUNTIFS($D$25:$D$267,Parameters!$K$2,$E$25:$E$267,Parameters!$M$3,Calendrier!$C$25:$C$267,DM42)+ COUNTIFS($D$25:$D$267,Parameters!$K$4,$E$25:$E$267,Parameters!$M$3,Calendrier!$C$25:$C$267,DM42))</f>
        <v/>
      </c>
      <c r="JE42" s="59" t="str">
        <f>IF(DN42="","",COUNTIFS($D$25:$D$267,Parameters!$K$2,$E$25:$E$267,Parameters!$M$3,Calendrier!$C$25:$C$267,DN42)+ COUNTIFS($D$25:$D$267,Parameters!$K$3,$E$25:$E$267,Parameters!$M$3,Calendrier!$C$25:$C$267,DN42))</f>
        <v/>
      </c>
      <c r="JF42" s="59" t="str">
        <f>IF(DO42="","",COUNTIFS($D$25:$D$267,Parameters!$K$2,$E$25:$E$267,Parameters!$M$3,Calendrier!$C$25:$C$267,DO42)+ COUNTIFS($D$25:$D$267,Parameters!$K$4,$E$25:$E$267,Parameters!$M$3,Calendrier!$C$25:$C$267,DO42))</f>
        <v/>
      </c>
      <c r="JG42" s="59" t="str">
        <f>IF(DP42="","",COUNTIFS($D$25:$D$267,Parameters!$K$2,$E$25:$E$267,Parameters!$M$3,Calendrier!$C$25:$C$267,DP42)+ COUNTIFS($D$25:$D$267,Parameters!$K$3,$E$25:$E$267,Parameters!$M$3,Calendrier!$C$25:$C$267,DP42))</f>
        <v/>
      </c>
      <c r="JH42" s="59" t="str">
        <f>IF(DQ42="","",COUNTIFS($D$25:$D$267,Parameters!$K$2,$E$25:$E$267,Parameters!$M$3,Calendrier!$C$25:$C$267,DQ42)+ COUNTIFS($D$25:$D$267,Parameters!$K$4,$E$25:$E$267,Parameters!$M$3,Calendrier!$C$25:$C$267,DQ42))</f>
        <v/>
      </c>
      <c r="JI42" s="59" t="str">
        <f>IF(DR42="","",COUNTIFS($D$25:$D$267,Parameters!$K$2,$E$25:$E$267,Parameters!$M$3,Calendrier!$C$25:$C$267,DR42)+ COUNTIFS($D$25:$D$267,Parameters!$K$3,$E$25:$E$267,Parameters!$M$3,Calendrier!$C$25:$C$267,DR42))</f>
        <v/>
      </c>
      <c r="JJ42" s="59" t="str">
        <f>IF(DS42="","",COUNTIFS($D$25:$D$267,Parameters!$K$2,$E$25:$E$267,Parameters!$M$3,Calendrier!$C$25:$C$267,DS42)+ COUNTIFS($D$25:$D$267,Parameters!$K$4,$E$25:$E$267,Parameters!$M$3,Calendrier!$C$25:$C$267,DS42))</f>
        <v/>
      </c>
      <c r="JK42" s="59" t="str">
        <f>IF(DT42="","",COUNTIFS($D$25:$D$267,Parameters!$K$2,$E$25:$E$267,Parameters!$M$3,Calendrier!$C$25:$C$267,DT42)+ COUNTIFS($D$25:$D$267,Parameters!$K$3,$E$25:$E$267,Parameters!$M$3,Calendrier!$C$25:$C$267,DT42))</f>
        <v/>
      </c>
      <c r="JL42" s="60" t="str">
        <f>IF(DU42="","",COUNTIFS($D$25:$D$267,Parameters!$K$2,$E$25:$E$267,Parameters!$M$3,Calendrier!$C$25:$C$267,DU42)+ COUNTIFS($D$25:$D$267,Parameters!$K$4,$E$25:$E$267,Parameters!$M$3,Calendrier!$C$25:$C$267,DU42))</f>
        <v/>
      </c>
      <c r="JM42" s="15"/>
      <c r="JN42" s="15"/>
      <c r="JO42" s="58">
        <f>IF(DX42="","",COUNTIFS($D$25:$D$267,Parameters!$K$2,$E$25:$E$267,Parameters!$M$3,Calendrier!$C$25:$C$267,DX42)+ COUNTIFS($D$25:$D$267,Parameters!$K$3,$E$25:$E$267,Parameters!$M$3,Calendrier!$C$25:$C$267,DX42))</f>
        <v>0</v>
      </c>
      <c r="JP42" s="59">
        <f>IF(DY42="","",COUNTIFS($D$25:$D$267,Parameters!$K$2,$E$25:$E$267,Parameters!$M$3,Calendrier!$C$25:$C$267,DY42)+ COUNTIFS($D$25:$D$267,Parameters!$K$4,$E$25:$E$267,Parameters!$M$3,Calendrier!$C$25:$C$267,DY42))</f>
        <v>0</v>
      </c>
      <c r="JQ42" s="59" t="str">
        <f>IF(DZ42="","",COUNTIFS($D$25:$D$267,Parameters!$K$2,$E$25:$E$267,Parameters!$M$3,Calendrier!$C$25:$C$267,DZ42)+ COUNTIFS($D$25:$D$267,Parameters!$K$3,$E$25:$E$267,Parameters!$M$3,Calendrier!$C$25:$C$267,DZ42))</f>
        <v/>
      </c>
      <c r="JR42" s="59" t="str">
        <f>IF(EA42="","",COUNTIFS($D$25:$D$267,Parameters!$K$2,$E$25:$E$267,Parameters!$M$3,Calendrier!$C$25:$C$267,EA42)+ COUNTIFS($D$25:$D$267,Parameters!$K$4,$E$25:$E$267,Parameters!$M$3,Calendrier!$C$25:$C$267,EA42))</f>
        <v/>
      </c>
      <c r="JS42" s="59" t="str">
        <f>IF(EB42="","",COUNTIFS($D$25:$D$267,Parameters!$K$2,$E$25:$E$267,Parameters!$M$3,Calendrier!$C$25:$C$267,EB42)+ COUNTIFS($D$25:$D$267,Parameters!$K$3,$E$25:$E$267,Parameters!$M$3,Calendrier!$C$25:$C$267,EB42))</f>
        <v/>
      </c>
      <c r="JT42" s="59" t="str">
        <f>IF(EC42="","",COUNTIFS($D$25:$D$267,Parameters!$K$2,$E$25:$E$267,Parameters!$M$3,Calendrier!$C$25:$C$267,EC42)+ COUNTIFS($D$25:$D$267,Parameters!$K$4,$E$25:$E$267,Parameters!$M$3,Calendrier!$C$25:$C$267,EC42))</f>
        <v/>
      </c>
      <c r="JU42" s="59" t="str">
        <f>IF(ED42="","",COUNTIFS($D$25:$D$267,Parameters!$K$2,$E$25:$E$267,Parameters!$M$3,Calendrier!$C$25:$C$267,ED42)+ COUNTIFS($D$25:$D$267,Parameters!$K$3,$E$25:$E$267,Parameters!$M$3,Calendrier!$C$25:$C$267,ED42))</f>
        <v/>
      </c>
      <c r="JV42" s="59" t="str">
        <f>IF(EE42="","",COUNTIFS($D$25:$D$267,Parameters!$K$2,$E$25:$E$267,Parameters!$M$3,Calendrier!$C$25:$C$267,EE42)+ COUNTIFS($D$25:$D$267,Parameters!$K$4,$E$25:$E$267,Parameters!$M$3,Calendrier!$C$25:$C$267,EE42))</f>
        <v/>
      </c>
      <c r="JW42" s="59" t="str">
        <f>IF(EF42="","",COUNTIFS($D$25:$D$267,Parameters!$K$2,$E$25:$E$267,Parameters!$M$3,Calendrier!$C$25:$C$267,EF42)+ COUNTIFS($D$25:$D$267,Parameters!$K$3,$E$25:$E$267,Parameters!$M$3,Calendrier!$C$25:$C$267,EF42))</f>
        <v/>
      </c>
      <c r="JX42" s="59" t="str">
        <f>IF(EG42="","",COUNTIFS($D$25:$D$267,Parameters!$K$2,$E$25:$E$267,Parameters!$M$3,Calendrier!$C$25:$C$267,EG42)+ COUNTIFS($D$25:$D$267,Parameters!$K$4,$E$25:$E$267,Parameters!$M$3,Calendrier!$C$25:$C$267,EG42))</f>
        <v/>
      </c>
      <c r="JY42" s="59" t="str">
        <f>IF(EH42="","",COUNTIFS($D$25:$D$267,Parameters!$K$2,$E$25:$E$267,Parameters!$M$3,Calendrier!$C$25:$C$267,EH42)+ COUNTIFS($D$25:$D$267,Parameters!$K$3,$E$25:$E$267,Parameters!$M$3,Calendrier!$C$25:$C$267,EH42))</f>
        <v/>
      </c>
      <c r="JZ42" s="59" t="str">
        <f>IF(EI42="","",COUNTIFS($D$25:$D$267,Parameters!$K$2,$E$25:$E$267,Parameters!$M$3,Calendrier!$C$25:$C$267,EI42)+ COUNTIFS($D$25:$D$267,Parameters!$K$4,$E$25:$E$267,Parameters!$M$3,Calendrier!$C$25:$C$267,EI42))</f>
        <v/>
      </c>
      <c r="KA42" s="59" t="str">
        <f>IF(EJ42="","",COUNTIFS($D$25:$D$267,Parameters!$K$2,$E$25:$E$267,Parameters!$M$3,Calendrier!$C$25:$C$267,EJ42)+ COUNTIFS($D$25:$D$267,Parameters!$K$3,$E$25:$E$267,Parameters!$M$3,Calendrier!$C$25:$C$267,EJ42))</f>
        <v/>
      </c>
      <c r="KB42" s="60" t="str">
        <f>IF(EK42="","",COUNTIFS($D$25:$D$267,Parameters!$K$2,$E$25:$E$267,Parameters!$M$3,Calendrier!$C$25:$C$267,EK42)+ COUNTIFS($D$25:$D$267,Parameters!$K$4,$E$25:$E$267,Parameters!$M$3,Calendrier!$C$25:$C$267,EK42))</f>
        <v/>
      </c>
      <c r="KC42" s="15"/>
      <c r="KD42" s="15"/>
      <c r="KE42" s="58" t="str">
        <f>IF(EN42="","",COUNTIFS($D$25:$D$267,Parameters!$K$2,$E$25:$E$267,Parameters!$M$3,Calendrier!$C$25:$C$267,EN42)+ COUNTIFS($D$25:$D$267,Parameters!$K$3,$E$25:$E$267,Parameters!$M$3,Calendrier!$C$25:$C$267,EN42))</f>
        <v/>
      </c>
      <c r="KF42" s="59" t="str">
        <f>IF(EO42="","",COUNTIFS($D$25:$D$267,Parameters!$K$2,$E$25:$E$267,Parameters!$M$3,Calendrier!$C$25:$C$267,EO42)+ COUNTIFS($D$25:$D$267,Parameters!$K$4,$E$25:$E$267,Parameters!$M$3,Calendrier!$C$25:$C$267,EO42))</f>
        <v/>
      </c>
      <c r="KG42" s="59" t="str">
        <f>IF(EP42="","",COUNTIFS($D$25:$D$267,Parameters!$K$2,$E$25:$E$267,Parameters!$M$3,Calendrier!$C$25:$C$267,EP42)+ COUNTIFS($D$25:$D$267,Parameters!$K$3,$E$25:$E$267,Parameters!$M$3,Calendrier!$C$25:$C$267,EP42))</f>
        <v/>
      </c>
      <c r="KH42" s="59" t="str">
        <f>IF(EQ42="","",COUNTIFS($D$25:$D$267,Parameters!$K$2,$E$25:$E$267,Parameters!$M$3,Calendrier!$C$25:$C$267,EQ42)+ COUNTIFS($D$25:$D$267,Parameters!$K$4,$E$25:$E$267,Parameters!$M$3,Calendrier!$C$25:$C$267,EQ42))</f>
        <v/>
      </c>
      <c r="KI42" s="59" t="str">
        <f>IF(ER42="","",COUNTIFS($D$25:$D$267,Parameters!$K$2,$E$25:$E$267,Parameters!$M$3,Calendrier!$C$25:$C$267,ER42)+ COUNTIFS($D$25:$D$267,Parameters!$K$3,$E$25:$E$267,Parameters!$M$3,Calendrier!$C$25:$C$267,ER42))</f>
        <v/>
      </c>
      <c r="KJ42" s="59" t="str">
        <f>IF(ES42="","",COUNTIFS($D$25:$D$267,Parameters!$K$2,$E$25:$E$267,Parameters!$M$3,Calendrier!$C$25:$C$267,ES42)+ COUNTIFS($D$25:$D$267,Parameters!$K$4,$E$25:$E$267,Parameters!$M$3,Calendrier!$C$25:$C$267,ES42))</f>
        <v/>
      </c>
      <c r="KK42" s="59" t="str">
        <f>IF(ET42="","",COUNTIFS($D$25:$D$267,Parameters!$K$2,$E$25:$E$267,Parameters!$M$3,Calendrier!$C$25:$C$267,ET42)+ COUNTIFS($D$25:$D$267,Parameters!$K$3,$E$25:$E$267,Parameters!$M$3,Calendrier!$C$25:$C$267,ET42))</f>
        <v/>
      </c>
      <c r="KL42" s="59" t="str">
        <f>IF(EU42="","",COUNTIFS($D$25:$D$267,Parameters!$K$2,$E$25:$E$267,Parameters!$M$3,Calendrier!$C$25:$C$267,EU42)+ COUNTIFS($D$25:$D$267,Parameters!$K$4,$E$25:$E$267,Parameters!$M$3,Calendrier!$C$25:$C$267,EU42))</f>
        <v/>
      </c>
      <c r="KM42" s="59" t="str">
        <f>IF(EV42="","",COUNTIFS($D$25:$D$267,Parameters!$K$2,$E$25:$E$267,Parameters!$M$3,Calendrier!$C$25:$C$267,EV42)+ COUNTIFS($D$25:$D$267,Parameters!$K$3,$E$25:$E$267,Parameters!$M$3,Calendrier!$C$25:$C$267,EV42))</f>
        <v/>
      </c>
      <c r="KN42" s="59" t="str">
        <f>IF(EW42="","",COUNTIFS($D$25:$D$267,Parameters!$K$2,$E$25:$E$267,Parameters!$M$3,Calendrier!$C$25:$C$267,EW42)+ COUNTIFS($D$25:$D$267,Parameters!$K$4,$E$25:$E$267,Parameters!$M$3,Calendrier!$C$25:$C$267,EW42))</f>
        <v/>
      </c>
      <c r="KO42" s="59" t="str">
        <f>IF(EX42="","",COUNTIFS($D$25:$D$267,Parameters!$K$2,$E$25:$E$267,Parameters!$M$3,Calendrier!$C$25:$C$267,EX42)+ COUNTIFS($D$25:$D$267,Parameters!$K$3,$E$25:$E$267,Parameters!$M$3,Calendrier!$C$25:$C$267,EX42))</f>
        <v/>
      </c>
      <c r="KP42" s="59" t="str">
        <f>IF(EY42="","",COUNTIFS($D$25:$D$267,Parameters!$K$2,$E$25:$E$267,Parameters!$M$3,Calendrier!$C$25:$C$267,EY42)+ COUNTIFS($D$25:$D$267,Parameters!$K$4,$E$25:$E$267,Parameters!$M$3,Calendrier!$C$25:$C$267,EY42))</f>
        <v/>
      </c>
      <c r="KQ42" s="59" t="str">
        <f>IF(EZ42="","",COUNTIFS($D$25:$D$267,Parameters!$K$2,$E$25:$E$267,Parameters!$M$3,Calendrier!$C$25:$C$267,EZ42)+ COUNTIFS($D$25:$D$267,Parameters!$K$3,$E$25:$E$267,Parameters!$M$3,Calendrier!$C$25:$C$267,EZ42))</f>
        <v/>
      </c>
      <c r="KR42" s="60" t="str">
        <f>IF(FA42="","",COUNTIFS($D$25:$D$267,Parameters!$K$2,$E$25:$E$267,Parameters!$M$3,Calendrier!$C$25:$C$267,FA42)+ COUNTIFS($D$25:$D$267,Parameters!$K$4,$E$25:$E$267,Parameters!$M$3,Calendrier!$C$25:$C$267,FA42))</f>
        <v/>
      </c>
      <c r="KV42" s="58" t="str">
        <f>IF(DH42="","",COUNTIFS($D$25:$D$267,Parameters!$K$2,$E$25:$E$267,Parameters!$M$4,Calendrier!$C$25:$C$267,DH42)+ COUNTIFS($D$25:$D$267,Parameters!$K$3,$E$25:$E$267,Parameters!$M$4,Calendrier!$C$25:$C$267,DH42))</f>
        <v/>
      </c>
      <c r="KW42" s="59" t="str">
        <f>IF(DI42="","",COUNTIFS($D$25:$D$267,Parameters!$K$2,$E$25:$E$267,Parameters!$M$4,Calendrier!$C$25:$C$267,DI42)+ COUNTIFS($D$25:$D$267,Parameters!$K$4,$E$25:$E$267,Parameters!$M$4,Calendrier!$C$25:$C$267,DI42))</f>
        <v/>
      </c>
      <c r="KX42" s="59" t="str">
        <f>IF(DJ42="","",COUNTIFS($D$25:$D$267,Parameters!$K$2,$E$25:$E$267,Parameters!$M$4,Calendrier!$C$25:$C$267,DJ42)+ COUNTIFS($D$25:$D$267,Parameters!$K$3,$E$25:$E$267,Parameters!$M$4,Calendrier!$C$25:$C$267,DJ42))</f>
        <v/>
      </c>
      <c r="KY42" s="59" t="str">
        <f>IF(DK42="","",COUNTIFS($D$25:$D$267,Parameters!$K$2,$E$25:$E$267,Parameters!$M$4,Calendrier!$C$25:$C$267,DK42)+ COUNTIFS($D$25:$D$267,Parameters!$K$4,$E$25:$E$267,Parameters!$M$4,Calendrier!$C$25:$C$267,DK42))</f>
        <v/>
      </c>
      <c r="KZ42" s="59" t="str">
        <f>IF(DL42="","",COUNTIFS($D$25:$D$267,Parameters!$K$2,$E$25:$E$267,Parameters!$M$4,Calendrier!$C$25:$C$267,DL42)+ COUNTIFS($D$25:$D$267,Parameters!$K$3,$E$25:$E$267,Parameters!$M$4,Calendrier!$C$25:$C$267,DL42))</f>
        <v/>
      </c>
      <c r="LA42" s="59" t="str">
        <f>IF(DM42="","",COUNTIFS($D$25:$D$267,Parameters!$K$2,$E$25:$E$267,Parameters!$M$4,Calendrier!$C$25:$C$267,DM42)+ COUNTIFS($D$25:$D$267,Parameters!$K$4,$E$25:$E$267,Parameters!$M$4,Calendrier!$C$25:$C$267,DM42))</f>
        <v/>
      </c>
      <c r="LB42" s="59" t="str">
        <f>IF(DN42="","",COUNTIFS($D$25:$D$267,Parameters!$K$2,$E$25:$E$267,Parameters!$M$4,Calendrier!$C$25:$C$267,DN42)+ COUNTIFS($D$25:$D$267,Parameters!$K$3,$E$25:$E$267,Parameters!$M$4,Calendrier!$C$25:$C$267,DN42))</f>
        <v/>
      </c>
      <c r="LC42" s="59" t="str">
        <f>IF(DO42="","",COUNTIFS($D$25:$D$267,Parameters!$K$2,$E$25:$E$267,Parameters!$M$4,Calendrier!$C$25:$C$267,DO42)+ COUNTIFS($D$25:$D$267,Parameters!$K$4,$E$25:$E$267,Parameters!$M$4,Calendrier!$C$25:$C$267,DO42))</f>
        <v/>
      </c>
      <c r="LD42" s="59" t="str">
        <f>IF(DP42="","",COUNTIFS($D$25:$D$267,Parameters!$K$2,$E$25:$E$267,Parameters!$M$4,Calendrier!$C$25:$C$267,DP42)+ COUNTIFS($D$25:$D$267,Parameters!$K$3,$E$25:$E$267,Parameters!$M$4,Calendrier!$C$25:$C$267,DP42))</f>
        <v/>
      </c>
      <c r="LE42" s="59" t="str">
        <f>IF(DQ42="","",COUNTIFS($D$25:$D$267,Parameters!$K$2,$E$25:$E$267,Parameters!$M$4,Calendrier!$C$25:$C$267,DQ42)+ COUNTIFS($D$25:$D$267,Parameters!$K$4,$E$25:$E$267,Parameters!$M$4,Calendrier!$C$25:$C$267,DQ42))</f>
        <v/>
      </c>
      <c r="LF42" s="59" t="str">
        <f>IF(DR42="","",COUNTIFS($D$25:$D$267,Parameters!$K$2,$E$25:$E$267,Parameters!$M$4,Calendrier!$C$25:$C$267,DR42)+ COUNTIFS($D$25:$D$267,Parameters!$K$3,$E$25:$E$267,Parameters!$M$4,Calendrier!$C$25:$C$267,DR42))</f>
        <v/>
      </c>
      <c r="LG42" s="59" t="str">
        <f>IF(DS42="","",COUNTIFS($D$25:$D$267,Parameters!$K$2,$E$25:$E$267,Parameters!$M$4,Calendrier!$C$25:$C$267,DS42)+ COUNTIFS($D$25:$D$267,Parameters!$K$4,$E$25:$E$267,Parameters!$M$4,Calendrier!$C$25:$C$267,DS42))</f>
        <v/>
      </c>
      <c r="LH42" s="59" t="str">
        <f>IF(DT42="","",COUNTIFS($D$25:$D$267,Parameters!$K$2,$E$25:$E$267,Parameters!$M$4,Calendrier!$C$25:$C$267,DT42)+ COUNTIFS($D$25:$D$267,Parameters!$K$3,$E$25:$E$267,Parameters!$M$4,Calendrier!$C$25:$C$267,DT42))</f>
        <v/>
      </c>
      <c r="LI42" s="60" t="str">
        <f>IF(DU42="","",COUNTIFS($D$25:$D$267,Parameters!$K$2,$E$25:$E$267,Parameters!$M$4,Calendrier!$C$25:$C$267,DU42)+ COUNTIFS($D$25:$D$267,Parameters!$K$4,$E$25:$E$267,Parameters!$M$4,Calendrier!$C$25:$C$267,DU42))</f>
        <v/>
      </c>
      <c r="LJ42" s="15"/>
      <c r="LK42" s="15"/>
      <c r="LL42" s="58">
        <f>IF(DX42="","",COUNTIFS($D$25:$D$267,Parameters!$K$2,$E$25:$E$267,Parameters!$M$4,Calendrier!$C$25:$C$267,DX42)+ COUNTIFS($D$25:$D$267,Parameters!$K$3,$E$25:$E$267,Parameters!$M$4,Calendrier!$C$25:$C$267,DX42))</f>
        <v>0</v>
      </c>
      <c r="LM42" s="59">
        <f>IF(DY42="","",COUNTIFS($D$25:$D$267,Parameters!$K$2,$E$25:$E$267,Parameters!$M$4,Calendrier!$C$25:$C$267,DY42)+ COUNTIFS($D$25:$D$267,Parameters!$K$4,$E$25:$E$267,Parameters!$M$4,Calendrier!$C$25:$C$267,DY42))</f>
        <v>0</v>
      </c>
      <c r="LN42" s="59" t="str">
        <f>IF(DZ42="","",COUNTIFS($D$25:$D$267,Parameters!$K$2,$E$25:$E$267,Parameters!$M$4,Calendrier!$C$25:$C$267,DZ42)+ COUNTIFS($D$25:$D$267,Parameters!$K$3,$E$25:$E$267,Parameters!$M$4,Calendrier!$C$25:$C$267,DZ42))</f>
        <v/>
      </c>
      <c r="LO42" s="59" t="str">
        <f>IF(EA42="","",COUNTIFS($D$25:$D$267,Parameters!$K$2,$E$25:$E$267,Parameters!$M$4,Calendrier!$C$25:$C$267,EA42)+ COUNTIFS($D$25:$D$267,Parameters!$K$4,$E$25:$E$267,Parameters!$M$4,Calendrier!$C$25:$C$267,EA42))</f>
        <v/>
      </c>
      <c r="LP42" s="59" t="str">
        <f>IF(EB42="","",COUNTIFS($D$25:$D$267,Parameters!$K$2,$E$25:$E$267,Parameters!$M$4,Calendrier!$C$25:$C$267,EB42)+ COUNTIFS($D$25:$D$267,Parameters!$K$3,$E$25:$E$267,Parameters!$M$4,Calendrier!$C$25:$C$267,EB42))</f>
        <v/>
      </c>
      <c r="LQ42" s="59" t="str">
        <f>IF(EC42="","",COUNTIFS($D$25:$D$267,Parameters!$K$2,$E$25:$E$267,Parameters!$M$4,Calendrier!$C$25:$C$267,EC42)+ COUNTIFS($D$25:$D$267,Parameters!$K$4,$E$25:$E$267,Parameters!$M$4,Calendrier!$C$25:$C$267,EC42))</f>
        <v/>
      </c>
      <c r="LR42" s="59" t="str">
        <f>IF(ED42="","",COUNTIFS($D$25:$D$267,Parameters!$K$2,$E$25:$E$267,Parameters!$M$4,Calendrier!$C$25:$C$267,ED42)+ COUNTIFS($D$25:$D$267,Parameters!$K$3,$E$25:$E$267,Parameters!$M$4,Calendrier!$C$25:$C$267,ED42))</f>
        <v/>
      </c>
      <c r="LS42" s="59" t="str">
        <f>IF(EE42="","",COUNTIFS($D$25:$D$267,Parameters!$K$2,$E$25:$E$267,Parameters!$M$4,Calendrier!$C$25:$C$267,EE42)+ COUNTIFS($D$25:$D$267,Parameters!$K$4,$E$25:$E$267,Parameters!$M$4,Calendrier!$C$25:$C$267,EE42))</f>
        <v/>
      </c>
      <c r="LT42" s="59" t="str">
        <f>IF(EF42="","",COUNTIFS($D$25:$D$267,Parameters!$K$2,$E$25:$E$267,Parameters!$M$4,Calendrier!$C$25:$C$267,EF42)+ COUNTIFS($D$25:$D$267,Parameters!$K$3,$E$25:$E$267,Parameters!$M$4,Calendrier!$C$25:$C$267,EF42))</f>
        <v/>
      </c>
      <c r="LU42" s="59" t="str">
        <f>IF(EG42="","",COUNTIFS($D$25:$D$267,Parameters!$K$2,$E$25:$E$267,Parameters!$M$4,Calendrier!$C$25:$C$267,EG42)+ COUNTIFS($D$25:$D$267,Parameters!$K$4,$E$25:$E$267,Parameters!$M$4,Calendrier!$C$25:$C$267,EG42))</f>
        <v/>
      </c>
      <c r="LV42" s="59" t="str">
        <f>IF(EH42="","",COUNTIFS($D$25:$D$267,Parameters!$K$2,$E$25:$E$267,Parameters!$M$4,Calendrier!$C$25:$C$267,EH42)+ COUNTIFS($D$25:$D$267,Parameters!$K$3,$E$25:$E$267,Parameters!$M$4,Calendrier!$C$25:$C$267,EH42))</f>
        <v/>
      </c>
      <c r="LW42" s="59" t="str">
        <f>IF(EI42="","",COUNTIFS($D$25:$D$267,Parameters!$K$2,$E$25:$E$267,Parameters!$M$4,Calendrier!$C$25:$C$267,EI42)+ COUNTIFS($D$25:$D$267,Parameters!$K$4,$E$25:$E$267,Parameters!$M$4,Calendrier!$C$25:$C$267,EI42))</f>
        <v/>
      </c>
      <c r="LX42" s="59" t="str">
        <f>IF(EJ42="","",COUNTIFS($D$25:$D$267,Parameters!$K$2,$E$25:$E$267,Parameters!$M$4,Calendrier!$C$25:$C$267,EJ42)+ COUNTIFS($D$25:$D$267,Parameters!$K$3,$E$25:$E$267,Parameters!$M$4,Calendrier!$C$25:$C$267,EJ42))</f>
        <v/>
      </c>
      <c r="LY42" s="60" t="str">
        <f>IF(EK42="","",COUNTIFS($D$25:$D$267,Parameters!$K$2,$E$25:$E$267,Parameters!$M$4,Calendrier!$C$25:$C$267,EK42)+ COUNTIFS($D$25:$D$267,Parameters!$K$4,$E$25:$E$267,Parameters!$M$4,Calendrier!$C$25:$C$267,EK42))</f>
        <v/>
      </c>
      <c r="LZ42" s="15"/>
      <c r="MA42" s="15"/>
      <c r="MB42" s="58" t="str">
        <f>IF(EN42="","",COUNTIFS($D$25:$D$267,Parameters!$K$2,$E$25:$E$267,Parameters!$M$4,Calendrier!$C$25:$C$267,EN42)+ COUNTIFS($D$25:$D$267,Parameters!$K$3,$E$25:$E$267,Parameters!$M$4,Calendrier!$C$25:$C$267,EN42))</f>
        <v/>
      </c>
      <c r="MC42" s="59" t="str">
        <f>IF(EO42="","",COUNTIFS($D$25:$D$267,Parameters!$K$2,$E$25:$E$267,Parameters!$M$4,Calendrier!$C$25:$C$267,EO42)+ COUNTIFS($D$25:$D$267,Parameters!$K$4,$E$25:$E$267,Parameters!$M$4,Calendrier!$C$25:$C$267,EO42))</f>
        <v/>
      </c>
      <c r="MD42" s="59" t="str">
        <f>IF(EP42="","",COUNTIFS($D$25:$D$267,Parameters!$K$2,$E$25:$E$267,Parameters!$M$4,Calendrier!$C$25:$C$267,EP42)+ COUNTIFS($D$25:$D$267,Parameters!$K$3,$E$25:$E$267,Parameters!$M$4,Calendrier!$C$25:$C$267,EP42))</f>
        <v/>
      </c>
      <c r="ME42" s="59" t="str">
        <f>IF(EQ42="","",COUNTIFS($D$25:$D$267,Parameters!$K$2,$E$25:$E$267,Parameters!$M$4,Calendrier!$C$25:$C$267,EQ42)+ COUNTIFS($D$25:$D$267,Parameters!$K$4,$E$25:$E$267,Parameters!$M$4,Calendrier!$C$25:$C$267,EQ42))</f>
        <v/>
      </c>
      <c r="MF42" s="59" t="str">
        <f>IF(ER42="","",COUNTIFS($D$25:$D$267,Parameters!$K$2,$E$25:$E$267,Parameters!$M$4,Calendrier!$C$25:$C$267,ER42)+ COUNTIFS($D$25:$D$267,Parameters!$K$3,$E$25:$E$267,Parameters!$M$4,Calendrier!$C$25:$C$267,ER42))</f>
        <v/>
      </c>
      <c r="MG42" s="59" t="str">
        <f>IF(ES42="","",COUNTIFS($D$25:$D$267,Parameters!$K$2,$E$25:$E$267,Parameters!$M$4,Calendrier!$C$25:$C$267,ES42)+ COUNTIFS($D$25:$D$267,Parameters!$K$4,$E$25:$E$267,Parameters!$M$4,Calendrier!$C$25:$C$267,ES42))</f>
        <v/>
      </c>
      <c r="MH42" s="59" t="str">
        <f>IF(ET42="","",COUNTIFS($D$25:$D$267,Parameters!$K$2,$E$25:$E$267,Parameters!$M$4,Calendrier!$C$25:$C$267,ET42)+ COUNTIFS($D$25:$D$267,Parameters!$K$3,$E$25:$E$267,Parameters!$M$4,Calendrier!$C$25:$C$267,ET42))</f>
        <v/>
      </c>
      <c r="MI42" s="59" t="str">
        <f>IF(EU42="","",COUNTIFS($D$25:$D$267,Parameters!$K$2,$E$25:$E$267,Parameters!$M$4,Calendrier!$C$25:$C$267,EU42)+ COUNTIFS($D$25:$D$267,Parameters!$K$4,$E$25:$E$267,Parameters!$M$4,Calendrier!$C$25:$C$267,EU42))</f>
        <v/>
      </c>
      <c r="MJ42" s="59" t="str">
        <f>IF(EV42="","",COUNTIFS($D$25:$D$267,Parameters!$K$2,$E$25:$E$267,Parameters!$M$4,Calendrier!$C$25:$C$267,EV42)+ COUNTIFS($D$25:$D$267,Parameters!$K$3,$E$25:$E$267,Parameters!$M$4,Calendrier!$C$25:$C$267,EV42))</f>
        <v/>
      </c>
      <c r="MK42" s="59" t="str">
        <f>IF(EW42="","",COUNTIFS($D$25:$D$267,Parameters!$K$2,$E$25:$E$267,Parameters!$M$4,Calendrier!$C$25:$C$267,EW42)+ COUNTIFS($D$25:$D$267,Parameters!$K$4,$E$25:$E$267,Parameters!$M$4,Calendrier!$C$25:$C$267,EW42))</f>
        <v/>
      </c>
      <c r="ML42" s="59" t="str">
        <f>IF(EX42="","",COUNTIFS($D$25:$D$267,Parameters!$K$2,$E$25:$E$267,Parameters!$M$4,Calendrier!$C$25:$C$267,EX42)+ COUNTIFS($D$25:$D$267,Parameters!$K$3,$E$25:$E$267,Parameters!$M$4,Calendrier!$C$25:$C$267,EX42))</f>
        <v/>
      </c>
      <c r="MM42" s="59" t="str">
        <f>IF(EY42="","",COUNTIFS($D$25:$D$267,Parameters!$K$2,$E$25:$E$267,Parameters!$M$4,Calendrier!$C$25:$C$267,EY42)+ COUNTIFS($D$25:$D$267,Parameters!$K$4,$E$25:$E$267,Parameters!$M$4,Calendrier!$C$25:$C$267,EY42))</f>
        <v/>
      </c>
      <c r="MN42" s="59" t="str">
        <f>IF(EZ42="","",COUNTIFS($D$25:$D$267,Parameters!$K$2,$E$25:$E$267,Parameters!$M$4,Calendrier!$C$25:$C$267,EZ42)+ COUNTIFS($D$25:$D$267,Parameters!$K$3,$E$25:$E$267,Parameters!$M$4,Calendrier!$C$25:$C$267,EZ42))</f>
        <v/>
      </c>
      <c r="MO42" s="60" t="str">
        <f>IF(FA42="","",COUNTIFS($D$25:$D$267,Parameters!$K$2,$E$25:$E$267,Parameters!$M$4,Calendrier!$C$25:$C$267,FA42)+ COUNTIFS($D$25:$D$267,Parameters!$K$4,$E$25:$E$267,Parameters!$M$4,Calendrier!$C$25:$C$267,FA42))</f>
        <v/>
      </c>
      <c r="MS42" s="58" t="str">
        <f>IF(DH42="","",COUNTIFS($D$25:$D$267,Parameters!$K$2,$E$25:$E$267,Parameters!$M$5,Calendrier!$C$25:$C$267,DH42)+ COUNTIFS($D$25:$D$267,Parameters!$K$3,$E$25:$E$267,Parameters!$M$5,Calendrier!$C$25:$C$267,DH42))</f>
        <v/>
      </c>
      <c r="MT42" s="59" t="str">
        <f>IF(DI42="","",COUNTIFS($D$25:$D$267,Parameters!$K$2,$E$25:$E$267,Parameters!$M$5,Calendrier!$C$25:$C$267,DI42)+ COUNTIFS($D$25:$D$267,Parameters!$K$4,$E$25:$E$267,Parameters!$M$5,Calendrier!$C$25:$C$267,DI42))</f>
        <v/>
      </c>
      <c r="MU42" s="59" t="str">
        <f>IF(DJ42="","",COUNTIFS($D$25:$D$267,Parameters!$K$2,$E$25:$E$267,Parameters!$M$5,Calendrier!$C$25:$C$267,DJ42)+ COUNTIFS($D$25:$D$267,Parameters!$K$3,$E$25:$E$267,Parameters!$M$5,Calendrier!$C$25:$C$267,DJ42))</f>
        <v/>
      </c>
      <c r="MV42" s="59" t="str">
        <f>IF(DK42="","",COUNTIFS($D$25:$D$267,Parameters!$K$2,$E$25:$E$267,Parameters!$M$5,Calendrier!$C$25:$C$267,DK42)+ COUNTIFS($D$25:$D$267,Parameters!$K$4,$E$25:$E$267,Parameters!$M$5,Calendrier!$C$25:$C$267,DK42))</f>
        <v/>
      </c>
      <c r="MW42" s="59" t="str">
        <f>IF(DL42="","",COUNTIFS($D$25:$D$267,Parameters!$K$2,$E$25:$E$267,Parameters!$M$5,Calendrier!$C$25:$C$267,DL42)+ COUNTIFS($D$25:$D$267,Parameters!$K$3,$E$25:$E$267,Parameters!$M$5,Calendrier!$C$25:$C$267,DL42))</f>
        <v/>
      </c>
      <c r="MX42" s="59" t="str">
        <f>IF(DM42="","",COUNTIFS($D$25:$D$267,Parameters!$K$2,$E$25:$E$267,Parameters!$M$5,Calendrier!$C$25:$C$267,DM42)+ COUNTIFS($D$25:$D$267,Parameters!$K$4,$E$25:$E$267,Parameters!$M$5,Calendrier!$C$25:$C$267,DM42))</f>
        <v/>
      </c>
      <c r="MY42" s="59" t="str">
        <f>IF(DN42="","",COUNTIFS($D$25:$D$267,Parameters!$K$2,$E$25:$E$267,Parameters!$M$5,Calendrier!$C$25:$C$267,DN42)+ COUNTIFS($D$25:$D$267,Parameters!$K$3,$E$25:$E$267,Parameters!$M$5,Calendrier!$C$25:$C$267,DN42))</f>
        <v/>
      </c>
      <c r="MZ42" s="59" t="str">
        <f>IF(DO42="","",COUNTIFS($D$25:$D$267,Parameters!$K$2,$E$25:$E$267,Parameters!$M$5,Calendrier!$C$25:$C$267,DO42)+ COUNTIFS($D$25:$D$267,Parameters!$K$4,$E$25:$E$267,Parameters!$M$5,Calendrier!$C$25:$C$267,DO42))</f>
        <v/>
      </c>
      <c r="NA42" s="59" t="str">
        <f>IF(DP42="","",COUNTIFS($D$25:$D$267,Parameters!$K$2,$E$25:$E$267,Parameters!$M$5,Calendrier!$C$25:$C$267,DP42)+ COUNTIFS($D$25:$D$267,Parameters!$K$3,$E$25:$E$267,Parameters!$M$5,Calendrier!$C$25:$C$267,DP42))</f>
        <v/>
      </c>
      <c r="NB42" s="59" t="str">
        <f>IF(DQ42="","",COUNTIFS($D$25:$D$267,Parameters!$K$2,$E$25:$E$267,Parameters!$M$5,Calendrier!$C$25:$C$267,DQ42)+ COUNTIFS($D$25:$D$267,Parameters!$K$4,$E$25:$E$267,Parameters!$M$5,Calendrier!$C$25:$C$267,DQ42))</f>
        <v/>
      </c>
      <c r="NC42" s="59" t="str">
        <f>IF(DR42="","",COUNTIFS($D$25:$D$267,Parameters!$K$2,$E$25:$E$267,Parameters!$M$5,Calendrier!$C$25:$C$267,DR42)+ COUNTIFS($D$25:$D$267,Parameters!$K$3,$E$25:$E$267,Parameters!$M$5,Calendrier!$C$25:$C$267,DR42))</f>
        <v/>
      </c>
      <c r="ND42" s="59" t="str">
        <f>IF(DS42="","",COUNTIFS($D$25:$D$267,Parameters!$K$2,$E$25:$E$267,Parameters!$M$5,Calendrier!$C$25:$C$267,DS42)+ COUNTIFS($D$25:$D$267,Parameters!$K$4,$E$25:$E$267,Parameters!$M$5,Calendrier!$C$25:$C$267,DS42))</f>
        <v/>
      </c>
      <c r="NE42" s="59" t="str">
        <f>IF(DT42="","",COUNTIFS($D$25:$D$267,Parameters!$K$2,$E$25:$E$267,Parameters!$M$5,Calendrier!$C$25:$C$267,DT42)+ COUNTIFS($D$25:$D$267,Parameters!$K$3,$E$25:$E$267,Parameters!$M$5,Calendrier!$C$25:$C$267,DT42))</f>
        <v/>
      </c>
      <c r="NF42" s="60" t="str">
        <f>IF(DU42="","",COUNTIFS($D$25:$D$267,Parameters!$K$2,$E$25:$E$267,Parameters!$M$5,Calendrier!$C$25:$C$267,DU42)+ COUNTIFS($D$25:$D$267,Parameters!$K$4,$E$25:$E$267,Parameters!$M$5,Calendrier!$C$25:$C$267,DU42))</f>
        <v/>
      </c>
      <c r="NG42" s="15"/>
      <c r="NH42" s="15"/>
      <c r="NI42" s="58">
        <f>IF(DX42="","",COUNTIFS($D$25:$D$267,Parameters!$K$2,$E$25:$E$267,Parameters!$M$5,Calendrier!$C$25:$C$267,DX42)+ COUNTIFS($D$25:$D$267,Parameters!$K$3,$E$25:$E$267,Parameters!$M$5,Calendrier!$C$25:$C$267,DX42))</f>
        <v>0</v>
      </c>
      <c r="NJ42" s="59">
        <f>IF(DY42="","",COUNTIFS($D$25:$D$267,Parameters!$K$2,$E$25:$E$267,Parameters!$M$5,Calendrier!$C$25:$C$267,DY42)+ COUNTIFS($D$25:$D$267,Parameters!$K$4,$E$25:$E$267,Parameters!$M$5,Calendrier!$C$25:$C$267,DY42))</f>
        <v>0</v>
      </c>
      <c r="NK42" s="59" t="str">
        <f>IF(DZ42="","",COUNTIFS($D$25:$D$267,Parameters!$K$2,$E$25:$E$267,Parameters!$M$5,Calendrier!$C$25:$C$267,DZ42)+ COUNTIFS($D$25:$D$267,Parameters!$K$3,$E$25:$E$267,Parameters!$M$5,Calendrier!$C$25:$C$267,DZ42))</f>
        <v/>
      </c>
      <c r="NL42" s="59" t="str">
        <f>IF(EA42="","",COUNTIFS($D$25:$D$267,Parameters!$K$2,$E$25:$E$267,Parameters!$M$5,Calendrier!$C$25:$C$267,EA42)+ COUNTIFS($D$25:$D$267,Parameters!$K$4,$E$25:$E$267,Parameters!$M$5,Calendrier!$C$25:$C$267,EA42))</f>
        <v/>
      </c>
      <c r="NM42" s="59" t="str">
        <f>IF(EB42="","",COUNTIFS($D$25:$D$267,Parameters!$K$2,$E$25:$E$267,Parameters!$M$5,Calendrier!$C$25:$C$267,EB42)+ COUNTIFS($D$25:$D$267,Parameters!$K$3,$E$25:$E$267,Parameters!$M$5,Calendrier!$C$25:$C$267,EB42))</f>
        <v/>
      </c>
      <c r="NN42" s="59" t="str">
        <f>IF(EC42="","",COUNTIFS($D$25:$D$267,Parameters!$K$2,$E$25:$E$267,Parameters!$M$5,Calendrier!$C$25:$C$267,EC42)+ COUNTIFS($D$25:$D$267,Parameters!$K$4,$E$25:$E$267,Parameters!$M$5,Calendrier!$C$25:$C$267,EC42))</f>
        <v/>
      </c>
      <c r="NO42" s="59" t="str">
        <f>IF(ED42="","",COUNTIFS($D$25:$D$267,Parameters!$K$2,$E$25:$E$267,Parameters!$M$5,Calendrier!$C$25:$C$267,ED42)+ COUNTIFS($D$25:$D$267,Parameters!$K$3,$E$25:$E$267,Parameters!$M$5,Calendrier!$C$25:$C$267,ED42))</f>
        <v/>
      </c>
      <c r="NP42" s="59" t="str">
        <f>IF(EE42="","",COUNTIFS($D$25:$D$267,Parameters!$K$2,$E$25:$E$267,Parameters!$M$5,Calendrier!$C$25:$C$267,EE42)+ COUNTIFS($D$25:$D$267,Parameters!$K$4,$E$25:$E$267,Parameters!$M$5,Calendrier!$C$25:$C$267,EE42))</f>
        <v/>
      </c>
      <c r="NQ42" s="59" t="str">
        <f>IF(EF42="","",COUNTIFS($D$25:$D$267,Parameters!$K$2,$E$25:$E$267,Parameters!$M$5,Calendrier!$C$25:$C$267,EF42)+ COUNTIFS($D$25:$D$267,Parameters!$K$3,$E$25:$E$267,Parameters!$M$5,Calendrier!$C$25:$C$267,EF42))</f>
        <v/>
      </c>
      <c r="NR42" s="59" t="str">
        <f>IF(EG42="","",COUNTIFS($D$25:$D$267,Parameters!$K$2,$E$25:$E$267,Parameters!$M$5,Calendrier!$C$25:$C$267,EG42)+ COUNTIFS($D$25:$D$267,Parameters!$K$4,$E$25:$E$267,Parameters!$M$5,Calendrier!$C$25:$C$267,EG42))</f>
        <v/>
      </c>
      <c r="NS42" s="59" t="str">
        <f>IF(EH42="","",COUNTIFS($D$25:$D$267,Parameters!$K$2,$E$25:$E$267,Parameters!$M$5,Calendrier!$C$25:$C$267,EH42)+ COUNTIFS($D$25:$D$267,Parameters!$K$3,$E$25:$E$267,Parameters!$M$5,Calendrier!$C$25:$C$267,EH42))</f>
        <v/>
      </c>
      <c r="NT42" s="59" t="str">
        <f>IF(EI42="","",COUNTIFS($D$25:$D$267,Parameters!$K$2,$E$25:$E$267,Parameters!$M$5,Calendrier!$C$25:$C$267,EI42)+ COUNTIFS($D$25:$D$267,Parameters!$K$4,$E$25:$E$267,Parameters!$M$5,Calendrier!$C$25:$C$267,EI42))</f>
        <v/>
      </c>
      <c r="NU42" s="59" t="str">
        <f>IF(EJ42="","",COUNTIFS($D$25:$D$267,Parameters!$K$2,$E$25:$E$267,Parameters!$M$5,Calendrier!$C$25:$C$267,EJ42)+ COUNTIFS($D$25:$D$267,Parameters!$K$3,$E$25:$E$267,Parameters!$M$5,Calendrier!$C$25:$C$267,EJ42))</f>
        <v/>
      </c>
      <c r="NV42" s="60" t="str">
        <f>IF(EK42="","",COUNTIFS($D$25:$D$267,Parameters!$K$2,$E$25:$E$267,Parameters!$M$5,Calendrier!$C$25:$C$267,EK42)+ COUNTIFS($D$25:$D$267,Parameters!$K$4,$E$25:$E$267,Parameters!$M$5,Calendrier!$C$25:$C$267,EK42))</f>
        <v/>
      </c>
      <c r="NW42" s="15"/>
      <c r="NX42" s="15"/>
      <c r="NY42" s="58" t="str">
        <f>IF(EN42="","",COUNTIFS($D$25:$D$267,Parameters!$K$2,$E$25:$E$267,Parameters!$M$5,Calendrier!$C$25:$C$267,EN42)+ COUNTIFS($D$25:$D$267,Parameters!$K$3,$E$25:$E$267,Parameters!$M$5,Calendrier!$C$25:$C$267,EN42))</f>
        <v/>
      </c>
      <c r="NZ42" s="59" t="str">
        <f>IF(EO42="","",COUNTIFS($D$25:$D$267,Parameters!$K$2,$E$25:$E$267,Parameters!$M$5,Calendrier!$C$25:$C$267,EO42)+ COUNTIFS($D$25:$D$267,Parameters!$K$4,$E$25:$E$267,Parameters!$M$5,Calendrier!$C$25:$C$267,EO42))</f>
        <v/>
      </c>
      <c r="OA42" s="59" t="str">
        <f>IF(EP42="","",COUNTIFS($D$25:$D$267,Parameters!$K$2,$E$25:$E$267,Parameters!$M$5,Calendrier!$C$25:$C$267,EP42)+ COUNTIFS($D$25:$D$267,Parameters!$K$3,$E$25:$E$267,Parameters!$M$5,Calendrier!$C$25:$C$267,EP42))</f>
        <v/>
      </c>
      <c r="OB42" s="59" t="str">
        <f>IF(EQ42="","",COUNTIFS($D$25:$D$267,Parameters!$K$2,$E$25:$E$267,Parameters!$M$5,Calendrier!$C$25:$C$267,EQ42)+ COUNTIFS($D$25:$D$267,Parameters!$K$4,$E$25:$E$267,Parameters!$M$5,Calendrier!$C$25:$C$267,EQ42))</f>
        <v/>
      </c>
      <c r="OC42" s="59" t="str">
        <f>IF(ER42="","",COUNTIFS($D$25:$D$267,Parameters!$K$2,$E$25:$E$267,Parameters!$M$5,Calendrier!$C$25:$C$267,ER42)+ COUNTIFS($D$25:$D$267,Parameters!$K$3,$E$25:$E$267,Parameters!$M$5,Calendrier!$C$25:$C$267,ER42))</f>
        <v/>
      </c>
      <c r="OD42" s="59" t="str">
        <f>IF(ES42="","",COUNTIFS($D$25:$D$267,Parameters!$K$2,$E$25:$E$267,Parameters!$M$5,Calendrier!$C$25:$C$267,ES42)+ COUNTIFS($D$25:$D$267,Parameters!$K$4,$E$25:$E$267,Parameters!$M$5,Calendrier!$C$25:$C$267,ES42))</f>
        <v/>
      </c>
      <c r="OE42" s="59" t="str">
        <f>IF(ET42="","",COUNTIFS($D$25:$D$267,Parameters!$K$2,$E$25:$E$267,Parameters!$M$5,Calendrier!$C$25:$C$267,ET42)+ COUNTIFS($D$25:$D$267,Parameters!$K$3,$E$25:$E$267,Parameters!$M$5,Calendrier!$C$25:$C$267,ET42))</f>
        <v/>
      </c>
      <c r="OF42" s="59" t="str">
        <f>IF(EU42="","",COUNTIFS($D$25:$D$267,Parameters!$K$2,$E$25:$E$267,Parameters!$M$5,Calendrier!$C$25:$C$267,EU42)+ COUNTIFS($D$25:$D$267,Parameters!$K$4,$E$25:$E$267,Parameters!$M$5,Calendrier!$C$25:$C$267,EU42))</f>
        <v/>
      </c>
      <c r="OG42" s="59" t="str">
        <f>IF(EV42="","",COUNTIFS($D$25:$D$267,Parameters!$K$2,$E$25:$E$267,Parameters!$M$5,Calendrier!$C$25:$C$267,EV42)+ COUNTIFS($D$25:$D$267,Parameters!$K$3,$E$25:$E$267,Parameters!$M$5,Calendrier!$C$25:$C$267,EV42))</f>
        <v/>
      </c>
      <c r="OH42" s="59" t="str">
        <f>IF(EW42="","",COUNTIFS($D$25:$D$267,Parameters!$K$2,$E$25:$E$267,Parameters!$M$5,Calendrier!$C$25:$C$267,EW42)+ COUNTIFS($D$25:$D$267,Parameters!$K$4,$E$25:$E$267,Parameters!$M$5,Calendrier!$C$25:$C$267,EW42))</f>
        <v/>
      </c>
      <c r="OI42" s="59" t="str">
        <f>IF(EX42="","",COUNTIFS($D$25:$D$267,Parameters!$K$2,$E$25:$E$267,Parameters!$M$5,Calendrier!$C$25:$C$267,EX42)+ COUNTIFS($D$25:$D$267,Parameters!$K$3,$E$25:$E$267,Parameters!$M$5,Calendrier!$C$25:$C$267,EX42))</f>
        <v/>
      </c>
      <c r="OJ42" s="59" t="str">
        <f>IF(EY42="","",COUNTIFS($D$25:$D$267,Parameters!$K$2,$E$25:$E$267,Parameters!$M$5,Calendrier!$C$25:$C$267,EY42)+ COUNTIFS($D$25:$D$267,Parameters!$K$4,$E$25:$E$267,Parameters!$M$5,Calendrier!$C$25:$C$267,EY42))</f>
        <v/>
      </c>
      <c r="OK42" s="59" t="str">
        <f>IF(EZ42="","",COUNTIFS($D$25:$D$267,Parameters!$K$2,$E$25:$E$267,Parameters!$M$5,Calendrier!$C$25:$C$267,EZ42)+ COUNTIFS($D$25:$D$267,Parameters!$K$3,$E$25:$E$267,Parameters!$M$5,Calendrier!$C$25:$C$267,EZ42))</f>
        <v/>
      </c>
      <c r="OL42" s="60" t="str">
        <f>IF(FA42="","",COUNTIFS($D$25:$D$267,Parameters!$K$2,$E$25:$E$267,Parameters!$M$5,Calendrier!$C$25:$C$267,FA42)+ COUNTIFS($D$25:$D$267,Parameters!$K$4,$E$25:$E$267,Parameters!$M$5,Calendrier!$C$25:$C$267,FA42))</f>
        <v/>
      </c>
      <c r="OP42" s="58" t="str">
        <f>IF(DH42="","",COUNTIFS(Parameters!$Y:$Y,$BF$4,Parameters!$X:$X,DH42))</f>
        <v/>
      </c>
      <c r="OQ42" s="59" t="str">
        <f>IF(DI42="","",COUNTIFS(Parameters!$Y:$Y,$BF$4,Parameters!$X:$X,DI42))</f>
        <v/>
      </c>
      <c r="OR42" s="59" t="str">
        <f>IF(DJ42="","",COUNTIFS(Parameters!$Y:$Y,$BF$4,Parameters!$X:$X,DJ42))</f>
        <v/>
      </c>
      <c r="OS42" s="59" t="str">
        <f>IF(DK42="","",COUNTIFS(Parameters!$Y:$Y,$BF$4,Parameters!$X:$X,DK42))</f>
        <v/>
      </c>
      <c r="OT42" s="59" t="str">
        <f>IF(DL42="","",COUNTIFS(Parameters!$Y:$Y,$BF$4,Parameters!$X:$X,DL42))</f>
        <v/>
      </c>
      <c r="OU42" s="59" t="str">
        <f>IF(DM42="","",COUNTIFS(Parameters!$Y:$Y,$BF$4,Parameters!$X:$X,DM42))</f>
        <v/>
      </c>
      <c r="OV42" s="59" t="str">
        <f>IF(DN42="","",COUNTIFS(Parameters!$Y:$Y,$BF$4,Parameters!$X:$X,DN42))</f>
        <v/>
      </c>
      <c r="OW42" s="59" t="str">
        <f>IF(DO42="","",COUNTIFS(Parameters!$Y:$Y,$BF$4,Parameters!$X:$X,DO42))</f>
        <v/>
      </c>
      <c r="OX42" s="59" t="str">
        <f>IF(DP42="","",COUNTIFS(Parameters!$Y:$Y,$BF$4,Parameters!$X:$X,DP42))</f>
        <v/>
      </c>
      <c r="OY42" s="59" t="str">
        <f>IF(DQ42="","",COUNTIFS(Parameters!$Y:$Y,$BF$4,Parameters!$X:$X,DQ42))</f>
        <v/>
      </c>
      <c r="OZ42" s="59" t="str">
        <f>IF(DR42="","",COUNTIFS(Parameters!$Y:$Y,$BF$4,Parameters!$X:$X,DR42))</f>
        <v/>
      </c>
      <c r="PA42" s="59" t="str">
        <f>IF(DS42="","",COUNTIFS(Parameters!$Y:$Y,$BF$4,Parameters!$X:$X,DS42))</f>
        <v/>
      </c>
      <c r="PB42" s="59" t="str">
        <f>IF(DT42="","",COUNTIFS(Parameters!$Y:$Y,$BF$4,Parameters!$X:$X,DT42))</f>
        <v/>
      </c>
      <c r="PC42" s="60" t="str">
        <f>IF(DU42="","",COUNTIFS(Parameters!$Y:$Y,$BF$4,Parameters!$X:$X,DU42))</f>
        <v/>
      </c>
      <c r="PD42" s="15"/>
      <c r="PE42" s="15"/>
      <c r="PF42" s="58">
        <f>IF(DX42="","",COUNTIFS(Parameters!$Y:$Y,$BF$4,Parameters!$X:$X,DX42))</f>
        <v>0</v>
      </c>
      <c r="PG42" s="59">
        <f>IF(DY42="","",COUNTIFS(Parameters!$Y:$Y,$BF$4,Parameters!$X:$X,DY42))</f>
        <v>0</v>
      </c>
      <c r="PH42" s="59" t="str">
        <f>IF(DZ42="","",COUNTIFS(Parameters!$Y:$Y,$BF$4,Parameters!$X:$X,DZ42))</f>
        <v/>
      </c>
      <c r="PI42" s="59" t="str">
        <f>IF(EA42="","",COUNTIFS(Parameters!$Y:$Y,$BF$4,Parameters!$X:$X,EA42))</f>
        <v/>
      </c>
      <c r="PJ42" s="59" t="str">
        <f>IF(EB42="","",COUNTIFS(Parameters!$Y:$Y,$BF$4,Parameters!$X:$X,EB42))</f>
        <v/>
      </c>
      <c r="PK42" s="59" t="str">
        <f>IF(EC42="","",COUNTIFS(Parameters!$Y:$Y,$BF$4,Parameters!$X:$X,EC42))</f>
        <v/>
      </c>
      <c r="PL42" s="59" t="str">
        <f>IF(ED42="","",COUNTIFS(Parameters!$Y:$Y,$BF$4,Parameters!$X:$X,ED42))</f>
        <v/>
      </c>
      <c r="PM42" s="59" t="str">
        <f>IF(EE42="","",COUNTIFS(Parameters!$Y:$Y,$BF$4,Parameters!$X:$X,EE42))</f>
        <v/>
      </c>
      <c r="PN42" s="59" t="str">
        <f>IF(EF42="","",COUNTIFS(Parameters!$Y:$Y,$BF$4,Parameters!$X:$X,EF42))</f>
        <v/>
      </c>
      <c r="PO42" s="59" t="str">
        <f>IF(EG42="","",COUNTIFS(Parameters!$Y:$Y,$BF$4,Parameters!$X:$X,EG42))</f>
        <v/>
      </c>
      <c r="PP42" s="59" t="str">
        <f>IF(EH42="","",COUNTIFS(Parameters!$Y:$Y,$BF$4,Parameters!$X:$X,EH42))</f>
        <v/>
      </c>
      <c r="PQ42" s="59" t="str">
        <f>IF(EI42="","",COUNTIFS(Parameters!$Y:$Y,$BF$4,Parameters!$X:$X,EI42))</f>
        <v/>
      </c>
      <c r="PR42" s="59" t="str">
        <f>IF(EJ42="","",COUNTIFS(Parameters!$Y:$Y,$BF$4,Parameters!$X:$X,EJ42))</f>
        <v/>
      </c>
      <c r="PS42" s="60" t="str">
        <f>IF(EK42="","",COUNTIFS(Parameters!$Y:$Y,$BF$4,Parameters!$X:$X,EK42))</f>
        <v/>
      </c>
      <c r="PT42" s="15"/>
      <c r="PU42" s="15"/>
      <c r="PV42" s="58" t="str">
        <f>IF(EN42="","",COUNTIFS(Parameters!$Y:$Y,$BF$4,Parameters!$X:$X,EN42))</f>
        <v/>
      </c>
      <c r="PW42" s="59" t="str">
        <f>IF(EO42="","",COUNTIFS(Parameters!$Y:$Y,$BF$4,Parameters!$X:$X,EO42))</f>
        <v/>
      </c>
      <c r="PX42" s="59" t="str">
        <f>IF(EP42="","",COUNTIFS(Parameters!$Y:$Y,$BF$4,Parameters!$X:$X,EP42))</f>
        <v/>
      </c>
      <c r="PY42" s="59" t="str">
        <f>IF(EQ42="","",COUNTIFS(Parameters!$Y:$Y,$BF$4,Parameters!$X:$X,EQ42))</f>
        <v/>
      </c>
      <c r="PZ42" s="59" t="str">
        <f>IF(ER42="","",COUNTIFS(Parameters!$Y:$Y,$BF$4,Parameters!$X:$X,ER42))</f>
        <v/>
      </c>
      <c r="QA42" s="59" t="str">
        <f>IF(ES42="","",COUNTIFS(Parameters!$Y:$Y,$BF$4,Parameters!$X:$X,ES42))</f>
        <v/>
      </c>
      <c r="QB42" s="59" t="str">
        <f>IF(ET42="","",COUNTIFS(Parameters!$Y:$Y,$BF$4,Parameters!$X:$X,ET42))</f>
        <v/>
      </c>
      <c r="QC42" s="59" t="str">
        <f>IF(EU42="","",COUNTIFS(Parameters!$Y:$Y,$BF$4,Parameters!$X:$X,EU42))</f>
        <v/>
      </c>
      <c r="QD42" s="59" t="str">
        <f>IF(EV42="","",COUNTIFS(Parameters!$Y:$Y,$BF$4,Parameters!$X:$X,EV42))</f>
        <v/>
      </c>
      <c r="QE42" s="59" t="str">
        <f>IF(EW42="","",COUNTIFS(Parameters!$Y:$Y,$BF$4,Parameters!$X:$X,EW42))</f>
        <v/>
      </c>
      <c r="QF42" s="59" t="str">
        <f>IF(EX42="","",COUNTIFS(Parameters!$Y:$Y,$BF$4,Parameters!$X:$X,EX42))</f>
        <v/>
      </c>
      <c r="QG42" s="59" t="str">
        <f>IF(EY42="","",COUNTIFS(Parameters!$Y:$Y,$BF$4,Parameters!$X:$X,EY42))</f>
        <v/>
      </c>
      <c r="QH42" s="59" t="str">
        <f>IF(EZ42="","",COUNTIFS(Parameters!$Y:$Y,$BF$4,Parameters!$X:$X,EZ42))</f>
        <v/>
      </c>
      <c r="QI42" s="60" t="str">
        <f>IF(FA42="","",COUNTIFS(Parameters!$Y:$Y,$BF$4,Parameters!$X:$X,FA42))</f>
        <v/>
      </c>
      <c r="QN42" s="58" t="str">
        <f>IF(DH42="","",COUNTIFS($D$25:$D$267,Parameters!$K$2,$E$25:$E$267,Parameters!$M$6,Calendrier!$C$25:$C$267,DH42)+ COUNTIFS($D$25:$D$267,Parameters!$K$3,$E$25:$E$267,Parameters!$M$6,Calendrier!$C$25:$C$267,DH42))</f>
        <v/>
      </c>
      <c r="QO42" s="59" t="str">
        <f>IF(DI42="","",COUNTIFS($D$25:$D$267,Parameters!$K$2,$E$25:$E$267,Parameters!$M$6,Calendrier!$C$25:$C$267,DI42)+ COUNTIFS($D$25:$D$267,Parameters!$K$4,$E$25:$E$267,Parameters!$M$6,Calendrier!$C$25:$C$267,DI42))</f>
        <v/>
      </c>
      <c r="QP42" s="59" t="str">
        <f>IF(DJ42="","",COUNTIFS($D$25:$D$267,Parameters!$K$2,$E$25:$E$267,Parameters!$M$6,Calendrier!$C$25:$C$267,DJ42)+ COUNTIFS($D$25:$D$267,Parameters!$K$3,$E$25:$E$267,Parameters!$M$6,Calendrier!$C$25:$C$267,DJ42))</f>
        <v/>
      </c>
      <c r="QQ42" s="59" t="str">
        <f>IF(DK42="","",COUNTIFS($D$25:$D$267,Parameters!$K$2,$E$25:$E$267,Parameters!$M$6,Calendrier!$C$25:$C$267,DK42)+ COUNTIFS($D$25:$D$267,Parameters!$K$4,$E$25:$E$267,Parameters!$M$6,Calendrier!$C$25:$C$267,DK42))</f>
        <v/>
      </c>
      <c r="QR42" s="59" t="str">
        <f>IF(DL42="","",COUNTIFS($D$25:$D$267,Parameters!$K$2,$E$25:$E$267,Parameters!$M$6,Calendrier!$C$25:$C$267,DL42)+ COUNTIFS($D$25:$D$267,Parameters!$K$3,$E$25:$E$267,Parameters!$M$6,Calendrier!$C$25:$C$267,DL42))</f>
        <v/>
      </c>
      <c r="QS42" s="59" t="str">
        <f>IF(DM42="","",COUNTIFS($D$25:$D$267,Parameters!$K$2,$E$25:$E$267,Parameters!$M$6,Calendrier!$C$25:$C$267,DM42)+ COUNTIFS($D$25:$D$267,Parameters!$K$4,$E$25:$E$267,Parameters!$M$6,Calendrier!$C$25:$C$267,DM42))</f>
        <v/>
      </c>
      <c r="QT42" s="59" t="str">
        <f>IF(DN42="","",COUNTIFS($D$25:$D$267,Parameters!$K$2,$E$25:$E$267,Parameters!$M$6,Calendrier!$C$25:$C$267,DN42)+ COUNTIFS($D$25:$D$267,Parameters!$K$3,$E$25:$E$267,Parameters!$M$6,Calendrier!$C$25:$C$267,DN42))</f>
        <v/>
      </c>
      <c r="QU42" s="59" t="str">
        <f>IF(DO42="","",COUNTIFS($D$25:$D$267,Parameters!$K$2,$E$25:$E$267,Parameters!$M$6,Calendrier!$C$25:$C$267,DO42)+ COUNTIFS($D$25:$D$267,Parameters!$K$4,$E$25:$E$267,Parameters!$M$6,Calendrier!$C$25:$C$267,DO42))</f>
        <v/>
      </c>
      <c r="QV42" s="59" t="str">
        <f>IF(DP42="","",COUNTIFS($D$25:$D$267,Parameters!$K$2,$E$25:$E$267,Parameters!$M$6,Calendrier!$C$25:$C$267,DP42)+ COUNTIFS($D$25:$D$267,Parameters!$K$3,$E$25:$E$267,Parameters!$M$6,Calendrier!$C$25:$C$267,DP42))</f>
        <v/>
      </c>
      <c r="QW42" s="59" t="str">
        <f>IF(DQ42="","",COUNTIFS($D$25:$D$267,Parameters!$K$2,$E$25:$E$267,Parameters!$M$6,Calendrier!$C$25:$C$267,DQ42)+ COUNTIFS($D$25:$D$267,Parameters!$K$4,$E$25:$E$267,Parameters!$M$6,Calendrier!$C$25:$C$267,DQ42))</f>
        <v/>
      </c>
      <c r="QX42" s="59" t="str">
        <f>IF(DR42="","",COUNTIFS($D$25:$D$267,Parameters!$K$2,$E$25:$E$267,Parameters!$M$6,Calendrier!$C$25:$C$267,DR42)+ COUNTIFS($D$25:$D$267,Parameters!$K$3,$E$25:$E$267,Parameters!$M$6,Calendrier!$C$25:$C$267,DR42))</f>
        <v/>
      </c>
      <c r="QY42" s="59" t="str">
        <f>IF(DS42="","",COUNTIFS($D$25:$D$267,Parameters!$K$2,$E$25:$E$267,Parameters!$M$6,Calendrier!$C$25:$C$267,DS42)+ COUNTIFS($D$25:$D$267,Parameters!$K$4,$E$25:$E$267,Parameters!$M$6,Calendrier!$C$25:$C$267,DS42))</f>
        <v/>
      </c>
      <c r="QZ42" s="59" t="str">
        <f>IF(DT42="","",COUNTIFS($D$25:$D$267,Parameters!$K$2,$E$25:$E$267,Parameters!$M$6,Calendrier!$C$25:$C$267,DT42)+ COUNTIFS($D$25:$D$267,Parameters!$K$3,$E$25:$E$267,Parameters!$M$6,Calendrier!$C$25:$C$267,DT42))</f>
        <v/>
      </c>
      <c r="RA42" s="60" t="str">
        <f>IF(DU42="","",COUNTIFS($D$25:$D$267,Parameters!$K$2,$E$25:$E$267,Parameters!$M$6,Calendrier!$C$25:$C$267,DU42)+ COUNTIFS($D$25:$D$267,Parameters!$K$4,$E$25:$E$267,Parameters!$M$6,Calendrier!$C$25:$C$267,DU42))</f>
        <v/>
      </c>
      <c r="RB42" s="15"/>
      <c r="RC42" s="15"/>
      <c r="RD42" s="58">
        <f>IF(DX42="","",COUNTIFS($D$25:$D$267,Parameters!$K$2,$E$25:$E$267,Parameters!$M$6,Calendrier!$C$25:$C$267,DX42)+ COUNTIFS($D$25:$D$267,Parameters!$K$3,$E$25:$E$267,Parameters!$M$6,Calendrier!$C$25:$C$267,DX42))</f>
        <v>0</v>
      </c>
      <c r="RE42" s="59">
        <f>IF(DY42="","",COUNTIFS($D$25:$D$267,Parameters!$K$2,$E$25:$E$267,Parameters!$M$6,Calendrier!$C$25:$C$267,DY42)+ COUNTIFS($D$25:$D$267,Parameters!$K$4,$E$25:$E$267,Parameters!$M$6,Calendrier!$C$25:$C$267,DY42))</f>
        <v>0</v>
      </c>
      <c r="RF42" s="59" t="str">
        <f>IF(DZ42="","",COUNTIFS($D$25:$D$267,Parameters!$K$2,$E$25:$E$267,Parameters!$M$6,Calendrier!$C$25:$C$267,DZ42)+ COUNTIFS($D$25:$D$267,Parameters!$K$3,$E$25:$E$267,Parameters!$M$6,Calendrier!$C$25:$C$267,DZ42))</f>
        <v/>
      </c>
      <c r="RG42" s="59" t="str">
        <f>IF(EA42="","",COUNTIFS($D$25:$D$267,Parameters!$K$2,$E$25:$E$267,Parameters!$M$6,Calendrier!$C$25:$C$267,EA42)+ COUNTIFS($D$25:$D$267,Parameters!$K$4,$E$25:$E$267,Parameters!$M$6,Calendrier!$C$25:$C$267,EA42))</f>
        <v/>
      </c>
      <c r="RH42" s="59" t="str">
        <f>IF(EB42="","",COUNTIFS($D$25:$D$267,Parameters!$K$2,$E$25:$E$267,Parameters!$M$6,Calendrier!$C$25:$C$267,EB42)+ COUNTIFS($D$25:$D$267,Parameters!$K$3,$E$25:$E$267,Parameters!$M$6,Calendrier!$C$25:$C$267,EB42))</f>
        <v/>
      </c>
      <c r="RI42" s="59" t="str">
        <f>IF(EC42="","",COUNTIFS($D$25:$D$267,Parameters!$K$2,$E$25:$E$267,Parameters!$M$6,Calendrier!$C$25:$C$267,EC42)+ COUNTIFS($D$25:$D$267,Parameters!$K$4,$E$25:$E$267,Parameters!$M$6,Calendrier!$C$25:$C$267,EC42))</f>
        <v/>
      </c>
      <c r="RJ42" s="59" t="str">
        <f>IF(ED42="","",COUNTIFS($D$25:$D$267,Parameters!$K$2,$E$25:$E$267,Parameters!$M$6,Calendrier!$C$25:$C$267,ED42)+ COUNTIFS($D$25:$D$267,Parameters!$K$3,$E$25:$E$267,Parameters!$M$6,Calendrier!$C$25:$C$267,ED42))</f>
        <v/>
      </c>
      <c r="RK42" s="59" t="str">
        <f>IF(EE42="","",COUNTIFS($D$25:$D$267,Parameters!$K$2,$E$25:$E$267,Parameters!$M$6,Calendrier!$C$25:$C$267,EE42)+ COUNTIFS($D$25:$D$267,Parameters!$K$4,$E$25:$E$267,Parameters!$M$6,Calendrier!$C$25:$C$267,EE42))</f>
        <v/>
      </c>
      <c r="RL42" s="59" t="str">
        <f>IF(EF42="","",COUNTIFS($D$25:$D$267,Parameters!$K$2,$E$25:$E$267,Parameters!$M$6,Calendrier!$C$25:$C$267,EF42)+ COUNTIFS($D$25:$D$267,Parameters!$K$3,$E$25:$E$267,Parameters!$M$6,Calendrier!$C$25:$C$267,EF42))</f>
        <v/>
      </c>
      <c r="RM42" s="59" t="str">
        <f>IF(EG42="","",COUNTIFS($D$25:$D$267,Parameters!$K$2,$E$25:$E$267,Parameters!$M$6,Calendrier!$C$25:$C$267,EG42)+ COUNTIFS($D$25:$D$267,Parameters!$K$4,$E$25:$E$267,Parameters!$M$6,Calendrier!$C$25:$C$267,EG42))</f>
        <v/>
      </c>
      <c r="RN42" s="59" t="str">
        <f>IF(EH42="","",COUNTIFS($D$25:$D$267,Parameters!$K$2,$E$25:$E$267,Parameters!$M$6,Calendrier!$C$25:$C$267,EH42)+ COUNTIFS($D$25:$D$267,Parameters!$K$3,$E$25:$E$267,Parameters!$M$6,Calendrier!$C$25:$C$267,EH42))</f>
        <v/>
      </c>
      <c r="RO42" s="59" t="str">
        <f>IF(EI42="","",COUNTIFS($D$25:$D$267,Parameters!$K$2,$E$25:$E$267,Parameters!$M$6,Calendrier!$C$25:$C$267,EI42)+ COUNTIFS($D$25:$D$267,Parameters!$K$4,$E$25:$E$267,Parameters!$M$6,Calendrier!$C$25:$C$267,EI42))</f>
        <v/>
      </c>
      <c r="RP42" s="59" t="str">
        <f>IF(EJ42="","",COUNTIFS($D$25:$D$267,Parameters!$K$2,$E$25:$E$267,Parameters!$M$6,Calendrier!$C$25:$C$267,EJ42)+ COUNTIFS($D$25:$D$267,Parameters!$K$3,$E$25:$E$267,Parameters!$M$6,Calendrier!$C$25:$C$267,EJ42))</f>
        <v/>
      </c>
      <c r="RQ42" s="60" t="str">
        <f>IF(EK42="","",COUNTIFS($D$25:$D$267,Parameters!$K$2,$E$25:$E$267,Parameters!$M$6,Calendrier!$C$25:$C$267,EK42)+ COUNTIFS($D$25:$D$267,Parameters!$K$4,$E$25:$E$267,Parameters!$M$6,Calendrier!$C$25:$C$267,EK42))</f>
        <v/>
      </c>
      <c r="RR42" s="15"/>
      <c r="RS42" s="15"/>
      <c r="RT42" s="58" t="str">
        <f>IF(EN42="","",COUNTIFS($D$25:$D$267,Parameters!$K$2,$E$25:$E$267,Parameters!$M$6,Calendrier!$C$25:$C$267,EN42)+ COUNTIFS($D$25:$D$267,Parameters!$K$3,$E$25:$E$267,Parameters!$M$6,Calendrier!$C$25:$C$267,EN42))</f>
        <v/>
      </c>
      <c r="RU42" s="59" t="str">
        <f>IF(EO42="","",COUNTIFS($D$25:$D$267,Parameters!$K$2,$E$25:$E$267,Parameters!$M$6,Calendrier!$C$25:$C$267,EO42)+ COUNTIFS($D$25:$D$267,Parameters!$K$4,$E$25:$E$267,Parameters!$M$6,Calendrier!$C$25:$C$267,EO42))</f>
        <v/>
      </c>
      <c r="RV42" s="59" t="str">
        <f>IF(EP42="","",COUNTIFS($D$25:$D$267,Parameters!$K$2,$E$25:$E$267,Parameters!$M$6,Calendrier!$C$25:$C$267,EP42)+ COUNTIFS($D$25:$D$267,Parameters!$K$3,$E$25:$E$267,Parameters!$M$6,Calendrier!$C$25:$C$267,EP42))</f>
        <v/>
      </c>
      <c r="RW42" s="59" t="str">
        <f>IF(EQ42="","",COUNTIFS($D$25:$D$267,Parameters!$K$2,$E$25:$E$267,Parameters!$M$6,Calendrier!$C$25:$C$267,EQ42)+ COUNTIFS($D$25:$D$267,Parameters!$K$4,$E$25:$E$267,Parameters!$M$6,Calendrier!$C$25:$C$267,EQ42))</f>
        <v/>
      </c>
      <c r="RX42" s="59" t="str">
        <f>IF(ER42="","",COUNTIFS($D$25:$D$267,Parameters!$K$2,$E$25:$E$267,Parameters!$M$6,Calendrier!$C$25:$C$267,ER42)+ COUNTIFS($D$25:$D$267,Parameters!$K$3,$E$25:$E$267,Parameters!$M$6,Calendrier!$C$25:$C$267,ER42))</f>
        <v/>
      </c>
      <c r="RY42" s="59" t="str">
        <f>IF(ES42="","",COUNTIFS($D$25:$D$267,Parameters!$K$2,$E$25:$E$267,Parameters!$M$6,Calendrier!$C$25:$C$267,ES42)+ COUNTIFS($D$25:$D$267,Parameters!$K$4,$E$25:$E$267,Parameters!$M$6,Calendrier!$C$25:$C$267,ES42))</f>
        <v/>
      </c>
      <c r="RZ42" s="59" t="str">
        <f>IF(ET42="","",COUNTIFS($D$25:$D$267,Parameters!$K$2,$E$25:$E$267,Parameters!$M$6,Calendrier!$C$25:$C$267,ET42)+ COUNTIFS($D$25:$D$267,Parameters!$K$3,$E$25:$E$267,Parameters!$M$6,Calendrier!$C$25:$C$267,ET42))</f>
        <v/>
      </c>
      <c r="SA42" s="59" t="str">
        <f>IF(EU42="","",COUNTIFS($D$25:$D$267,Parameters!$K$2,$E$25:$E$267,Parameters!$M$6,Calendrier!$C$25:$C$267,EU42)+ COUNTIFS($D$25:$D$267,Parameters!$K$4,$E$25:$E$267,Parameters!$M$6,Calendrier!$C$25:$C$267,EU42))</f>
        <v/>
      </c>
      <c r="SB42" s="59" t="str">
        <f>IF(EV42="","",COUNTIFS($D$25:$D$267,Parameters!$K$2,$E$25:$E$267,Parameters!$M$6,Calendrier!$C$25:$C$267,EV42)+ COUNTIFS($D$25:$D$267,Parameters!$K$3,$E$25:$E$267,Parameters!$M$6,Calendrier!$C$25:$C$267,EV42))</f>
        <v/>
      </c>
      <c r="SC42" s="59" t="str">
        <f>IF(EW42="","",COUNTIFS($D$25:$D$267,Parameters!$K$2,$E$25:$E$267,Parameters!$M$6,Calendrier!$C$25:$C$267,EW42)+ COUNTIFS($D$25:$D$267,Parameters!$K$4,$E$25:$E$267,Parameters!$M$6,Calendrier!$C$25:$C$267,EW42))</f>
        <v/>
      </c>
      <c r="SD42" s="59" t="str">
        <f>IF(EX42="","",COUNTIFS($D$25:$D$267,Parameters!$K$2,$E$25:$E$267,Parameters!$M$6,Calendrier!$C$25:$C$267,EX42)+ COUNTIFS($D$25:$D$267,Parameters!$K$3,$E$25:$E$267,Parameters!$M$6,Calendrier!$C$25:$C$267,EX42))</f>
        <v/>
      </c>
      <c r="SE42" s="59" t="str">
        <f>IF(EY42="","",COUNTIFS($D$25:$D$267,Parameters!$K$2,$E$25:$E$267,Parameters!$M$6,Calendrier!$C$25:$C$267,EY42)+ COUNTIFS($D$25:$D$267,Parameters!$K$4,$E$25:$E$267,Parameters!$M$6,Calendrier!$C$25:$C$267,EY42))</f>
        <v/>
      </c>
      <c r="SF42" s="59" t="str">
        <f>IF(EZ42="","",COUNTIFS($D$25:$D$267,Parameters!$K$2,$E$25:$E$267,Parameters!$M$6,Calendrier!$C$25:$C$267,EZ42)+ COUNTIFS($D$25:$D$267,Parameters!$K$3,$E$25:$E$267,Parameters!$M$6,Calendrier!$C$25:$C$267,EZ42))</f>
        <v/>
      </c>
      <c r="SG42" s="60" t="str">
        <f>IF(FA42="","",COUNTIFS($D$25:$D$267,Parameters!$K$2,$E$25:$E$267,Parameters!$M$6,Calendrier!$C$25:$C$267,FA42)+ COUNTIFS($D$25:$D$267,Parameters!$K$4,$E$25:$E$267,Parameters!$M$6,Calendrier!$C$25:$C$267,FA42))</f>
        <v/>
      </c>
      <c r="SL42" s="58" t="str">
        <f>IF(DH42="","",COUNTIFS($D$25:$D$267,Parameters!$K$2,$E$25:$E$267,Parameters!$M$7,Calendrier!$C$25:$C$267,DH42)+ COUNTIFS($D$25:$D$267,Parameters!$K$3,$E$25:$E$267,Parameters!$M$7,Calendrier!$C$25:$C$267,DH42))</f>
        <v/>
      </c>
      <c r="SM42" s="59" t="str">
        <f>IF(DI42="","",COUNTIFS($D$25:$D$267,Parameters!$K$2,$E$25:$E$267,Parameters!$M$7,Calendrier!$C$25:$C$267,DI42)+ COUNTIFS($D$25:$D$267,Parameters!$K$4,$E$25:$E$267,Parameters!$M$7,Calendrier!$C$25:$C$267,DI42))</f>
        <v/>
      </c>
      <c r="SN42" s="59" t="str">
        <f>IF(DJ42="","",COUNTIFS($D$25:$D$267,Parameters!$K$2,$E$25:$E$267,Parameters!$M$7,Calendrier!$C$25:$C$267,DJ42)+ COUNTIFS($D$25:$D$267,Parameters!$K$3,$E$25:$E$267,Parameters!$M$7,Calendrier!$C$25:$C$267,DJ42))</f>
        <v/>
      </c>
      <c r="SO42" s="59" t="str">
        <f>IF(DK42="","",COUNTIFS($D$25:$D$267,Parameters!$K$2,$E$25:$E$267,Parameters!$M$7,Calendrier!$C$25:$C$267,DK42)+ COUNTIFS($D$25:$D$267,Parameters!$K$4,$E$25:$E$267,Parameters!$M$7,Calendrier!$C$25:$C$267,DK42))</f>
        <v/>
      </c>
      <c r="SP42" s="59" t="str">
        <f>IF(DL42="","",COUNTIFS($D$25:$D$267,Parameters!$K$2,$E$25:$E$267,Parameters!$M$7,Calendrier!$C$25:$C$267,DL42)+ COUNTIFS($D$25:$D$267,Parameters!$K$3,$E$25:$E$267,Parameters!$M$7,Calendrier!$C$25:$C$267,DL42))</f>
        <v/>
      </c>
      <c r="SQ42" s="59" t="str">
        <f>IF(DM42="","",COUNTIFS($D$25:$D$267,Parameters!$K$2,$E$25:$E$267,Parameters!$M$7,Calendrier!$C$25:$C$267,DM42)+ COUNTIFS($D$25:$D$267,Parameters!$K$4,$E$25:$E$267,Parameters!$M$7,Calendrier!$C$25:$C$267,DM42))</f>
        <v/>
      </c>
      <c r="SR42" s="59" t="str">
        <f>IF(DN42="","",COUNTIFS($D$25:$D$267,Parameters!$K$2,$E$25:$E$267,Parameters!$M$7,Calendrier!$C$25:$C$267,DN42)+ COUNTIFS($D$25:$D$267,Parameters!$K$3,$E$25:$E$267,Parameters!$M$7,Calendrier!$C$25:$C$267,DN42))</f>
        <v/>
      </c>
      <c r="SS42" s="59" t="str">
        <f>IF(DO42="","",COUNTIFS($D$25:$D$267,Parameters!$K$2,$E$25:$E$267,Parameters!$M$7,Calendrier!$C$25:$C$267,DO42)+ COUNTIFS($D$25:$D$267,Parameters!$K$4,$E$25:$E$267,Parameters!$M$7,Calendrier!$C$25:$C$267,DO42))</f>
        <v/>
      </c>
      <c r="ST42" s="59" t="str">
        <f>IF(DP42="","",COUNTIFS($D$25:$D$267,Parameters!$K$2,$E$25:$E$267,Parameters!$M$7,Calendrier!$C$25:$C$267,DP42)+ COUNTIFS($D$25:$D$267,Parameters!$K$3,$E$25:$E$267,Parameters!$M$7,Calendrier!$C$25:$C$267,DP42))</f>
        <v/>
      </c>
      <c r="SU42" s="59" t="str">
        <f>IF(DQ42="","",COUNTIFS($D$25:$D$267,Parameters!$K$2,$E$25:$E$267,Parameters!$M$7,Calendrier!$C$25:$C$267,DQ42)+ COUNTIFS($D$25:$D$267,Parameters!$K$4,$E$25:$E$267,Parameters!$M$7,Calendrier!$C$25:$C$267,DQ42))</f>
        <v/>
      </c>
      <c r="SV42" s="59" t="str">
        <f>IF(DR42="","",COUNTIFS($D$25:$D$267,Parameters!$K$2,$E$25:$E$267,Parameters!$M$7,Calendrier!$C$25:$C$267,DR42)+ COUNTIFS($D$25:$D$267,Parameters!$K$3,$E$25:$E$267,Parameters!$M$7,Calendrier!$C$25:$C$267,DR42))</f>
        <v/>
      </c>
      <c r="SW42" s="59" t="str">
        <f>IF(DS42="","",COUNTIFS($D$25:$D$267,Parameters!$K$2,$E$25:$E$267,Parameters!$M$7,Calendrier!$C$25:$C$267,DS42)+ COUNTIFS($D$25:$D$267,Parameters!$K$4,$E$25:$E$267,Parameters!$M$7,Calendrier!$C$25:$C$267,DS42))</f>
        <v/>
      </c>
      <c r="SX42" s="59" t="str">
        <f>IF(DT42="","",COUNTIFS($D$25:$D$267,Parameters!$K$2,$E$25:$E$267,Parameters!$M$7,Calendrier!$C$25:$C$267,DT42)+ COUNTIFS($D$25:$D$267,Parameters!$K$3,$E$25:$E$267,Parameters!$M$7,Calendrier!$C$25:$C$267,DT42))</f>
        <v/>
      </c>
      <c r="SY42" s="60" t="str">
        <f>IF(DU42="","",COUNTIFS($D$25:$D$267,Parameters!$K$2,$E$25:$E$267,Parameters!$M$7,Calendrier!$C$25:$C$267,DU42)+ COUNTIFS($D$25:$D$267,Parameters!$K$4,$E$25:$E$267,Parameters!$M$7,Calendrier!$C$25:$C$267,DU42))</f>
        <v/>
      </c>
      <c r="SZ42" s="15"/>
      <c r="TA42" s="15"/>
      <c r="TB42" s="58">
        <f>IF(DX42="","",COUNTIFS($D$25:$D$267,Parameters!$K$2,$E$25:$E$267,Parameters!$M$7,Calendrier!$C$25:$C$267,DX42)+ COUNTIFS($D$25:$D$267,Parameters!$K$3,$E$25:$E$267,Parameters!$M$7,Calendrier!$C$25:$C$267,DX42))</f>
        <v>0</v>
      </c>
      <c r="TC42" s="59">
        <f>IF(DY42="","",COUNTIFS($D$25:$D$267,Parameters!$K$2,$E$25:$E$267,Parameters!$M$7,Calendrier!$C$25:$C$267,DY42)+ COUNTIFS($D$25:$D$267,Parameters!$K$4,$E$25:$E$267,Parameters!$M$7,Calendrier!$C$25:$C$267,DY42))</f>
        <v>0</v>
      </c>
      <c r="TD42" s="59" t="str">
        <f>IF(DZ42="","",COUNTIFS($D$25:$D$267,Parameters!$K$2,$E$25:$E$267,Parameters!$M$7,Calendrier!$C$25:$C$267,DZ42)+ COUNTIFS($D$25:$D$267,Parameters!$K$3,$E$25:$E$267,Parameters!$M$7,Calendrier!$C$25:$C$267,DZ42))</f>
        <v/>
      </c>
      <c r="TE42" s="59" t="str">
        <f>IF(EA42="","",COUNTIFS($D$25:$D$267,Parameters!$K$2,$E$25:$E$267,Parameters!$M$7,Calendrier!$C$25:$C$267,EA42)+ COUNTIFS($D$25:$D$267,Parameters!$K$4,$E$25:$E$267,Parameters!$M$7,Calendrier!$C$25:$C$267,EA42))</f>
        <v/>
      </c>
      <c r="TF42" s="59" t="str">
        <f>IF(EB42="","",COUNTIFS($D$25:$D$267,Parameters!$K$2,$E$25:$E$267,Parameters!$M$7,Calendrier!$C$25:$C$267,EB42)+ COUNTIFS($D$25:$D$267,Parameters!$K$3,$E$25:$E$267,Parameters!$M$7,Calendrier!$C$25:$C$267,EB42))</f>
        <v/>
      </c>
      <c r="TG42" s="59" t="str">
        <f>IF(EC42="","",COUNTIFS($D$25:$D$267,Parameters!$K$2,$E$25:$E$267,Parameters!$M$7,Calendrier!$C$25:$C$267,EC42)+ COUNTIFS($D$25:$D$267,Parameters!$K$4,$E$25:$E$267,Parameters!$M$7,Calendrier!$C$25:$C$267,EC42))</f>
        <v/>
      </c>
      <c r="TH42" s="59" t="str">
        <f>IF(ED42="","",COUNTIFS($D$25:$D$267,Parameters!$K$2,$E$25:$E$267,Parameters!$M$7,Calendrier!$C$25:$C$267,ED42)+ COUNTIFS($D$25:$D$267,Parameters!$K$3,$E$25:$E$267,Parameters!$M$7,Calendrier!$C$25:$C$267,ED42))</f>
        <v/>
      </c>
      <c r="TI42" s="59" t="str">
        <f>IF(EE42="","",COUNTIFS($D$25:$D$267,Parameters!$K$2,$E$25:$E$267,Parameters!$M$7,Calendrier!$C$25:$C$267,EE42)+ COUNTIFS($D$25:$D$267,Parameters!$K$4,$E$25:$E$267,Parameters!$M$7,Calendrier!$C$25:$C$267,EE42))</f>
        <v/>
      </c>
      <c r="TJ42" s="59" t="str">
        <f>IF(EF42="","",COUNTIFS($D$25:$D$267,Parameters!$K$2,$E$25:$E$267,Parameters!$M$7,Calendrier!$C$25:$C$267,EF42)+ COUNTIFS($D$25:$D$267,Parameters!$K$3,$E$25:$E$267,Parameters!$M$7,Calendrier!$C$25:$C$267,EF42))</f>
        <v/>
      </c>
      <c r="TK42" s="59" t="str">
        <f>IF(EG42="","",COUNTIFS($D$25:$D$267,Parameters!$K$2,$E$25:$E$267,Parameters!$M$7,Calendrier!$C$25:$C$267,EG42)+ COUNTIFS($D$25:$D$267,Parameters!$K$4,$E$25:$E$267,Parameters!$M$7,Calendrier!$C$25:$C$267,EG42))</f>
        <v/>
      </c>
      <c r="TL42" s="59" t="str">
        <f>IF(EH42="","",COUNTIFS($D$25:$D$267,Parameters!$K$2,$E$25:$E$267,Parameters!$M$7,Calendrier!$C$25:$C$267,EH42)+ COUNTIFS($D$25:$D$267,Parameters!$K$3,$E$25:$E$267,Parameters!$M$7,Calendrier!$C$25:$C$267,EH42))</f>
        <v/>
      </c>
      <c r="TM42" s="59" t="str">
        <f>IF(EI42="","",COUNTIFS($D$25:$D$267,Parameters!$K$2,$E$25:$E$267,Parameters!$M$7,Calendrier!$C$25:$C$267,EI42)+ COUNTIFS($D$25:$D$267,Parameters!$K$4,$E$25:$E$267,Parameters!$M$7,Calendrier!$C$25:$C$267,EI42))</f>
        <v/>
      </c>
      <c r="TN42" s="59" t="str">
        <f>IF(EJ42="","",COUNTIFS($D$25:$D$267,Parameters!$K$2,$E$25:$E$267,Parameters!$M$7,Calendrier!$C$25:$C$267,EJ42)+ COUNTIFS($D$25:$D$267,Parameters!$K$3,$E$25:$E$267,Parameters!$M$7,Calendrier!$C$25:$C$267,EJ42))</f>
        <v/>
      </c>
      <c r="TO42" s="60" t="str">
        <f>IF(EK42="","",COUNTIFS($D$25:$D$267,Parameters!$K$2,$E$25:$E$267,Parameters!$M$7,Calendrier!$C$25:$C$267,EK42)+ COUNTIFS($D$25:$D$267,Parameters!$K$4,$E$25:$E$267,Parameters!$M$7,Calendrier!$C$25:$C$267,EK42))</f>
        <v/>
      </c>
      <c r="TP42" s="15"/>
      <c r="TQ42" s="15"/>
      <c r="TR42" s="58" t="str">
        <f>IF(EN42="","",COUNTIFS($D$25:$D$267,Parameters!$K$2,$E$25:$E$267,Parameters!$M$7,Calendrier!$C$25:$C$267,EN42)+ COUNTIFS($D$25:$D$267,Parameters!$K$3,$E$25:$E$267,Parameters!$M$7,Calendrier!$C$25:$C$267,EN42))</f>
        <v/>
      </c>
      <c r="TS42" s="59" t="str">
        <f>IF(EO42="","",COUNTIFS($D$25:$D$267,Parameters!$K$2,$E$25:$E$267,Parameters!$M$7,Calendrier!$C$25:$C$267,EO42)+ COUNTIFS($D$25:$D$267,Parameters!$K$4,$E$25:$E$267,Parameters!$M$7,Calendrier!$C$25:$C$267,EO42))</f>
        <v/>
      </c>
      <c r="TT42" s="59" t="str">
        <f>IF(EP42="","",COUNTIFS($D$25:$D$267,Parameters!$K$2,$E$25:$E$267,Parameters!$M$7,Calendrier!$C$25:$C$267,EP42)+ COUNTIFS($D$25:$D$267,Parameters!$K$3,$E$25:$E$267,Parameters!$M$7,Calendrier!$C$25:$C$267,EP42))</f>
        <v/>
      </c>
      <c r="TU42" s="59" t="str">
        <f>IF(EQ42="","",COUNTIFS($D$25:$D$267,Parameters!$K$2,$E$25:$E$267,Parameters!$M$7,Calendrier!$C$25:$C$267,EQ42)+ COUNTIFS($D$25:$D$267,Parameters!$K$4,$E$25:$E$267,Parameters!$M$7,Calendrier!$C$25:$C$267,EQ42))</f>
        <v/>
      </c>
      <c r="TV42" s="59" t="str">
        <f>IF(ER42="","",COUNTIFS($D$25:$D$267,Parameters!$K$2,$E$25:$E$267,Parameters!$M$7,Calendrier!$C$25:$C$267,ER42)+ COUNTIFS($D$25:$D$267,Parameters!$K$3,$E$25:$E$267,Parameters!$M$7,Calendrier!$C$25:$C$267,ER42))</f>
        <v/>
      </c>
      <c r="TW42" s="59" t="str">
        <f>IF(ES42="","",COUNTIFS($D$25:$D$267,Parameters!$K$2,$E$25:$E$267,Parameters!$M$7,Calendrier!$C$25:$C$267,ES42)+ COUNTIFS($D$25:$D$267,Parameters!$K$4,$E$25:$E$267,Parameters!$M$7,Calendrier!$C$25:$C$267,ES42))</f>
        <v/>
      </c>
      <c r="TX42" s="59" t="str">
        <f>IF(ET42="","",COUNTIFS($D$25:$D$267,Parameters!$K$2,$E$25:$E$267,Parameters!$M$7,Calendrier!$C$25:$C$267,ET42)+ COUNTIFS($D$25:$D$267,Parameters!$K$3,$E$25:$E$267,Parameters!$M$7,Calendrier!$C$25:$C$267,ET42))</f>
        <v/>
      </c>
      <c r="TY42" s="59" t="str">
        <f>IF(EU42="","",COUNTIFS($D$25:$D$267,Parameters!$K$2,$E$25:$E$267,Parameters!$M$7,Calendrier!$C$25:$C$267,EU42)+ COUNTIFS($D$25:$D$267,Parameters!$K$4,$E$25:$E$267,Parameters!$M$7,Calendrier!$C$25:$C$267,EU42))</f>
        <v/>
      </c>
      <c r="TZ42" s="59" t="str">
        <f>IF(EV42="","",COUNTIFS($D$25:$D$267,Parameters!$K$2,$E$25:$E$267,Parameters!$M$7,Calendrier!$C$25:$C$267,EV42)+ COUNTIFS($D$25:$D$267,Parameters!$K$3,$E$25:$E$267,Parameters!$M$7,Calendrier!$C$25:$C$267,EV42))</f>
        <v/>
      </c>
      <c r="UA42" s="59" t="str">
        <f>IF(EW42="","",COUNTIFS($D$25:$D$267,Parameters!$K$2,$E$25:$E$267,Parameters!$M$7,Calendrier!$C$25:$C$267,EW42)+ COUNTIFS($D$25:$D$267,Parameters!$K$4,$E$25:$E$267,Parameters!$M$7,Calendrier!$C$25:$C$267,EW42))</f>
        <v/>
      </c>
      <c r="UB42" s="59" t="str">
        <f>IF(EX42="","",COUNTIFS($D$25:$D$267,Parameters!$K$2,$E$25:$E$267,Parameters!$M$7,Calendrier!$C$25:$C$267,EX42)+ COUNTIFS($D$25:$D$267,Parameters!$K$3,$E$25:$E$267,Parameters!$M$7,Calendrier!$C$25:$C$267,EX42))</f>
        <v/>
      </c>
      <c r="UC42" s="59" t="str">
        <f>IF(EY42="","",COUNTIFS($D$25:$D$267,Parameters!$K$2,$E$25:$E$267,Parameters!$M$7,Calendrier!$C$25:$C$267,EY42)+ COUNTIFS($D$25:$D$267,Parameters!$K$4,$E$25:$E$267,Parameters!$M$7,Calendrier!$C$25:$C$267,EY42))</f>
        <v/>
      </c>
      <c r="UD42" s="59" t="str">
        <f>IF(EZ42="","",COUNTIFS($D$25:$D$267,Parameters!$K$2,$E$25:$E$267,Parameters!$M$7,Calendrier!$C$25:$C$267,EZ42)+ COUNTIFS($D$25:$D$267,Parameters!$K$3,$E$25:$E$267,Parameters!$M$7,Calendrier!$C$25:$C$267,EZ42))</f>
        <v/>
      </c>
      <c r="UE42" s="60" t="str">
        <f>IF(FA42="","",COUNTIFS($D$25:$D$267,Parameters!$K$2,$E$25:$E$267,Parameters!$M$7,Calendrier!$C$25:$C$267,FA42)+ COUNTIFS($D$25:$D$267,Parameters!$K$4,$E$25:$E$267,Parameters!$M$7,Calendrier!$C$25:$C$267,FA42))</f>
        <v/>
      </c>
    </row>
    <row r="43" spans="2:551" x14ac:dyDescent="0.3">
      <c r="B43" s="73">
        <f t="shared" si="317"/>
        <v>2025</v>
      </c>
      <c r="C43" s="27">
        <v>45852</v>
      </c>
      <c r="D43" s="28" t="s">
        <v>30</v>
      </c>
      <c r="E43" s="30" t="s">
        <v>36</v>
      </c>
      <c r="F43" s="61"/>
      <c r="G43" s="77"/>
      <c r="K43" s="31"/>
      <c r="Z43" s="31"/>
      <c r="AA43" s="31"/>
      <c r="AP43" s="31"/>
      <c r="AQ43" s="31"/>
    </row>
    <row r="44" spans="2:551" x14ac:dyDescent="0.3">
      <c r="B44" s="73">
        <f t="shared" si="317"/>
        <v>2025</v>
      </c>
      <c r="C44" s="27">
        <v>45876</v>
      </c>
      <c r="D44" s="28" t="s">
        <v>30</v>
      </c>
      <c r="E44" s="28" t="s">
        <v>36</v>
      </c>
      <c r="F44" s="61"/>
      <c r="G44" s="77"/>
      <c r="K44" s="31"/>
      <c r="Z44" s="31"/>
      <c r="AA44" s="31"/>
      <c r="AT44" s="6" t="str">
        <f>COUNTIFS(D25:D301,"J",B25:B301,K2,E25:E301,"Congé")+ COUNTIFS(D25:D301,"AM",B25:B301,K2,E25:E301,"Congé")*0.5+COUNTIFS(D25:D301,"PM",B25:B301,K2,E25:E301,"Congé")*0.5 &amp; " jours vacances sur " &amp; K2  &amp;" sur 20 jours possibles à 80%."</f>
        <v>22 jours vacances sur 2026 sur 20 jours possibles à 80%.</v>
      </c>
    </row>
    <row r="45" spans="2:551" x14ac:dyDescent="0.3">
      <c r="B45" s="73">
        <f t="shared" si="317"/>
        <v>2025</v>
      </c>
      <c r="C45" s="27">
        <v>45880</v>
      </c>
      <c r="D45" s="28" t="s">
        <v>30</v>
      </c>
      <c r="E45" s="28" t="s">
        <v>36</v>
      </c>
      <c r="F45" s="68"/>
      <c r="G45" s="77"/>
      <c r="Z45" s="31"/>
      <c r="AA45" s="31"/>
      <c r="AT45" s="6" t="str">
        <f>COUNTIFS(D25:D301,"J",B25:B301,K2,E25:E301,Parameters!$M$6)+ COUNTIFS(D25:D301,"AM",B25:B301,K2,E25:E301,Parameters!$M$6)*0.5+COUNTIFS(D25:D301,"PM",B25:B301,K2,E25:E301,Parameters!$M$6)*0.5 &amp; " jours malade sur " &amp; K2 &amp; "."</f>
        <v>0 jours malade sur 2026.</v>
      </c>
    </row>
    <row r="46" spans="2:551" x14ac:dyDescent="0.3">
      <c r="B46" s="73">
        <f t="shared" si="317"/>
        <v>2025</v>
      </c>
      <c r="C46" s="27">
        <v>45881</v>
      </c>
      <c r="D46" s="28" t="s">
        <v>30</v>
      </c>
      <c r="E46" s="28" t="s">
        <v>36</v>
      </c>
      <c r="F46" s="61"/>
      <c r="G46" s="77"/>
      <c r="AT46" s="6" t="str">
        <f>COUNTIFS(D25:D301,"J",B25:B301,K2,E25:E301,Parameters!$M$7)+ COUNTIFS(D25:D301,"AM",B25:B301,K2,E25:E301,Parameters!$M$7)*0.5+COUNTIFS(D25:D301,"PM",B25:B301,K2,E25:E301,Parameters!$M$7)*0.5 &amp; " jours travaillé supplémentaire sur " &amp; K2 &amp; "."</f>
        <v>0 jours travaillé supplémentaire sur 2026.</v>
      </c>
    </row>
    <row r="47" spans="2:551" x14ac:dyDescent="0.3">
      <c r="B47" s="73">
        <f t="shared" si="317"/>
        <v>2025</v>
      </c>
      <c r="C47" s="27">
        <v>45882</v>
      </c>
      <c r="D47" s="28" t="s">
        <v>30</v>
      </c>
      <c r="E47" s="28" t="s">
        <v>36</v>
      </c>
      <c r="F47" s="61"/>
      <c r="G47" s="77"/>
      <c r="AT47" s="6" t="str">
        <f>COUNTIFS(D25:D301,"J",B25:B301,K2,E25:E301,"Formation")+ COUNTIFS(D25:D301,"AM",B25:B301,K2,E25:E301,"Formation")*0.5+COUNTIFS(D25:D301,"PM",B25:B301,K2,E25:E301,"Formation")*0.5&amp; " jours sur " &amp; K2 &amp; " jours de formations sur " &amp; K2 &amp; "."</f>
        <v>0 jours sur 2026 jours de formations sur 2026.</v>
      </c>
    </row>
    <row r="48" spans="2:551" x14ac:dyDescent="0.3">
      <c r="B48" s="73">
        <f t="shared" si="317"/>
        <v>2025</v>
      </c>
      <c r="C48" s="27">
        <v>45883</v>
      </c>
      <c r="D48" s="28" t="s">
        <v>30</v>
      </c>
      <c r="E48" s="28" t="s">
        <v>36</v>
      </c>
      <c r="F48" s="61"/>
      <c r="G48" s="77"/>
    </row>
    <row r="49" spans="2:64" x14ac:dyDescent="0.3">
      <c r="B49" s="73">
        <f t="shared" si="317"/>
        <v>2025</v>
      </c>
      <c r="C49" s="27">
        <v>45915</v>
      </c>
      <c r="D49" s="28" t="s">
        <v>30</v>
      </c>
      <c r="E49" s="28" t="s">
        <v>36</v>
      </c>
      <c r="F49" s="61"/>
      <c r="G49" s="77"/>
      <c r="AT49" s="6" t="s">
        <v>80</v>
      </c>
    </row>
    <row r="50" spans="2:64" x14ac:dyDescent="0.3">
      <c r="B50" s="73">
        <f t="shared" si="317"/>
        <v>2025</v>
      </c>
      <c r="C50" s="27">
        <v>45916</v>
      </c>
      <c r="D50" s="28" t="s">
        <v>30</v>
      </c>
      <c r="E50" s="28" t="s">
        <v>36</v>
      </c>
      <c r="F50" s="61"/>
      <c r="G50" s="77"/>
    </row>
    <row r="51" spans="2:64" x14ac:dyDescent="0.3">
      <c r="B51" s="73">
        <f t="shared" si="317"/>
        <v>2025</v>
      </c>
      <c r="C51" s="27">
        <v>46015</v>
      </c>
      <c r="D51" s="28" t="s">
        <v>30</v>
      </c>
      <c r="E51" s="28" t="s">
        <v>37</v>
      </c>
      <c r="F51" s="61"/>
      <c r="G51" s="77"/>
    </row>
    <row r="52" spans="2:64" x14ac:dyDescent="0.3">
      <c r="B52" s="73">
        <f t="shared" si="317"/>
        <v>2025</v>
      </c>
      <c r="C52" s="27">
        <v>46020</v>
      </c>
      <c r="D52" s="28" t="s">
        <v>30</v>
      </c>
      <c r="E52" s="28" t="s">
        <v>37</v>
      </c>
      <c r="F52" s="61"/>
      <c r="G52" s="77"/>
    </row>
    <row r="53" spans="2:64" x14ac:dyDescent="0.3">
      <c r="B53" s="73">
        <f t="shared" si="317"/>
        <v>2025</v>
      </c>
      <c r="C53" s="27">
        <v>46021</v>
      </c>
      <c r="D53" s="28" t="s">
        <v>30</v>
      </c>
      <c r="E53" s="28" t="s">
        <v>37</v>
      </c>
      <c r="F53" s="61"/>
      <c r="G53" s="77"/>
    </row>
    <row r="54" spans="2:64" x14ac:dyDescent="0.3">
      <c r="B54" s="73">
        <f t="shared" si="317"/>
        <v>2026</v>
      </c>
      <c r="C54" s="27">
        <v>46076</v>
      </c>
      <c r="D54" s="28" t="s">
        <v>30</v>
      </c>
      <c r="E54" s="28" t="s">
        <v>36</v>
      </c>
      <c r="F54" s="61"/>
      <c r="G54" s="77"/>
    </row>
    <row r="55" spans="2:64" x14ac:dyDescent="0.3">
      <c r="B55" s="73">
        <f t="shared" si="317"/>
        <v>2026</v>
      </c>
      <c r="C55" s="27">
        <v>46077</v>
      </c>
      <c r="D55" s="28" t="s">
        <v>30</v>
      </c>
      <c r="E55" s="28" t="s">
        <v>36</v>
      </c>
      <c r="F55" s="61"/>
      <c r="G55" s="77"/>
    </row>
    <row r="56" spans="2:64" x14ac:dyDescent="0.3">
      <c r="B56" s="73">
        <f t="shared" si="317"/>
        <v>2026</v>
      </c>
      <c r="C56" s="27">
        <v>46078</v>
      </c>
      <c r="D56" s="28" t="s">
        <v>30</v>
      </c>
      <c r="E56" s="28" t="s">
        <v>36</v>
      </c>
      <c r="F56" s="61"/>
      <c r="G56" s="77"/>
      <c r="BL56" s="6" t="s">
        <v>86</v>
      </c>
    </row>
    <row r="57" spans="2:64" x14ac:dyDescent="0.3">
      <c r="B57" s="73">
        <f t="shared" si="317"/>
        <v>2026</v>
      </c>
      <c r="C57" s="27">
        <v>46079</v>
      </c>
      <c r="D57" s="28" t="s">
        <v>30</v>
      </c>
      <c r="E57" s="28" t="s">
        <v>36</v>
      </c>
      <c r="F57" s="61"/>
      <c r="G57" s="77"/>
      <c r="BL57" s="6" t="s">
        <v>87</v>
      </c>
    </row>
    <row r="58" spans="2:64" x14ac:dyDescent="0.3">
      <c r="B58" s="73">
        <f t="shared" si="317"/>
        <v>2026</v>
      </c>
      <c r="C58" s="27">
        <v>46174</v>
      </c>
      <c r="D58" s="28" t="s">
        <v>30</v>
      </c>
      <c r="E58" s="28" t="s">
        <v>36</v>
      </c>
      <c r="F58" s="61"/>
      <c r="G58" s="77"/>
      <c r="BL58" s="6" t="s">
        <v>88</v>
      </c>
    </row>
    <row r="59" spans="2:64" x14ac:dyDescent="0.3">
      <c r="B59" s="73">
        <f t="shared" si="317"/>
        <v>2026</v>
      </c>
      <c r="C59" s="27">
        <v>46175</v>
      </c>
      <c r="D59" s="28" t="s">
        <v>30</v>
      </c>
      <c r="E59" s="28" t="s">
        <v>36</v>
      </c>
      <c r="F59" s="61"/>
      <c r="G59" s="77"/>
    </row>
    <row r="60" spans="2:64" x14ac:dyDescent="0.3">
      <c r="B60" s="73">
        <f t="shared" si="317"/>
        <v>2026</v>
      </c>
      <c r="C60" s="27">
        <v>46176</v>
      </c>
      <c r="D60" s="28" t="s">
        <v>30</v>
      </c>
      <c r="E60" s="28" t="s">
        <v>36</v>
      </c>
      <c r="F60" s="61"/>
      <c r="G60" s="77"/>
    </row>
    <row r="61" spans="2:64" x14ac:dyDescent="0.3">
      <c r="B61" s="73">
        <f t="shared" si="317"/>
        <v>2026</v>
      </c>
      <c r="C61" s="27">
        <v>46177</v>
      </c>
      <c r="D61" s="28" t="s">
        <v>30</v>
      </c>
      <c r="E61" s="28" t="s">
        <v>36</v>
      </c>
      <c r="F61" s="61"/>
      <c r="G61" s="77"/>
      <c r="BL61" s="6" t="s">
        <v>81</v>
      </c>
    </row>
    <row r="62" spans="2:64" x14ac:dyDescent="0.3">
      <c r="B62" s="73">
        <f t="shared" si="317"/>
        <v>2026</v>
      </c>
      <c r="C62" s="27">
        <v>46181</v>
      </c>
      <c r="D62" s="28" t="s">
        <v>30</v>
      </c>
      <c r="E62" s="28" t="s">
        <v>36</v>
      </c>
      <c r="F62" s="61"/>
      <c r="G62" s="77"/>
      <c r="BL62" s="6" t="s">
        <v>82</v>
      </c>
    </row>
    <row r="63" spans="2:64" x14ac:dyDescent="0.3">
      <c r="B63" s="73">
        <f t="shared" si="317"/>
        <v>2026</v>
      </c>
      <c r="C63" s="27">
        <v>46182</v>
      </c>
      <c r="D63" s="28" t="s">
        <v>30</v>
      </c>
      <c r="E63" s="28" t="s">
        <v>36</v>
      </c>
      <c r="F63" s="61"/>
      <c r="G63" s="77"/>
      <c r="BL63" s="6" t="s">
        <v>83</v>
      </c>
    </row>
    <row r="64" spans="2:64" x14ac:dyDescent="0.3">
      <c r="B64" s="73">
        <f t="shared" si="317"/>
        <v>2026</v>
      </c>
      <c r="C64" s="27">
        <v>46314</v>
      </c>
      <c r="D64" s="28" t="s">
        <v>30</v>
      </c>
      <c r="E64" s="28" t="s">
        <v>36</v>
      </c>
      <c r="F64" s="61"/>
      <c r="G64" s="77"/>
      <c r="BL64" s="6" t="s">
        <v>85</v>
      </c>
    </row>
    <row r="65" spans="2:64" x14ac:dyDescent="0.3">
      <c r="B65" s="73">
        <f t="shared" si="317"/>
        <v>2026</v>
      </c>
      <c r="C65" s="27">
        <v>46315</v>
      </c>
      <c r="D65" s="28" t="s">
        <v>30</v>
      </c>
      <c r="E65" s="28" t="s">
        <v>36</v>
      </c>
      <c r="F65" s="61"/>
      <c r="G65" s="77"/>
      <c r="BL65" s="6" t="s">
        <v>84</v>
      </c>
    </row>
    <row r="66" spans="2:64" x14ac:dyDescent="0.3">
      <c r="B66" s="73">
        <f t="shared" si="317"/>
        <v>2026</v>
      </c>
      <c r="C66" s="29">
        <v>46316</v>
      </c>
      <c r="D66" s="28" t="s">
        <v>30</v>
      </c>
      <c r="E66" s="28" t="s">
        <v>36</v>
      </c>
      <c r="F66" s="61"/>
      <c r="G66" s="77"/>
    </row>
    <row r="67" spans="2:64" x14ac:dyDescent="0.3">
      <c r="B67" s="73">
        <f t="shared" si="317"/>
        <v>2026</v>
      </c>
      <c r="C67" s="27">
        <v>46317</v>
      </c>
      <c r="D67" s="28" t="s">
        <v>30</v>
      </c>
      <c r="E67" s="28" t="s">
        <v>36</v>
      </c>
      <c r="F67" s="61"/>
      <c r="G67" s="77"/>
    </row>
    <row r="68" spans="2:64" x14ac:dyDescent="0.3">
      <c r="B68" s="73">
        <f t="shared" si="317"/>
        <v>2026</v>
      </c>
      <c r="C68" s="27">
        <v>46216</v>
      </c>
      <c r="D68" s="28" t="s">
        <v>30</v>
      </c>
      <c r="E68" s="28" t="s">
        <v>36</v>
      </c>
      <c r="F68" s="61"/>
      <c r="G68" s="77"/>
    </row>
    <row r="69" spans="2:64" x14ac:dyDescent="0.3">
      <c r="B69" s="73">
        <f t="shared" si="317"/>
        <v>2026</v>
      </c>
      <c r="C69" s="27">
        <v>46217</v>
      </c>
      <c r="D69" s="28" t="s">
        <v>30</v>
      </c>
      <c r="E69" s="28" t="s">
        <v>36</v>
      </c>
      <c r="F69" s="61"/>
      <c r="G69" s="77"/>
    </row>
    <row r="70" spans="2:64" x14ac:dyDescent="0.3">
      <c r="B70" s="73">
        <f t="shared" si="317"/>
        <v>2026</v>
      </c>
      <c r="C70" s="27">
        <v>46218</v>
      </c>
      <c r="D70" s="28" t="s">
        <v>30</v>
      </c>
      <c r="E70" s="28" t="s">
        <v>36</v>
      </c>
      <c r="F70" s="61"/>
      <c r="G70" s="77"/>
    </row>
    <row r="71" spans="2:64" x14ac:dyDescent="0.3">
      <c r="B71" s="73">
        <f t="shared" si="317"/>
        <v>2026</v>
      </c>
      <c r="C71" s="27">
        <v>46219</v>
      </c>
      <c r="D71" s="28" t="s">
        <v>30</v>
      </c>
      <c r="E71" s="28" t="s">
        <v>36</v>
      </c>
      <c r="F71" s="61"/>
      <c r="G71" s="77"/>
    </row>
    <row r="72" spans="2:64" x14ac:dyDescent="0.3">
      <c r="B72" s="73">
        <f t="shared" si="317"/>
        <v>2026</v>
      </c>
      <c r="C72" s="27">
        <v>46223</v>
      </c>
      <c r="D72" s="28" t="s">
        <v>30</v>
      </c>
      <c r="E72" s="28" t="s">
        <v>36</v>
      </c>
      <c r="F72" s="61"/>
      <c r="G72" s="77"/>
    </row>
    <row r="73" spans="2:64" x14ac:dyDescent="0.3">
      <c r="B73" s="73">
        <f t="shared" si="317"/>
        <v>2026</v>
      </c>
      <c r="C73" s="27">
        <v>46224</v>
      </c>
      <c r="D73" s="28" t="s">
        <v>30</v>
      </c>
      <c r="E73" s="28" t="s">
        <v>36</v>
      </c>
      <c r="F73" s="61"/>
      <c r="G73" s="77"/>
    </row>
    <row r="74" spans="2:64" x14ac:dyDescent="0.3">
      <c r="B74" s="73">
        <f t="shared" si="317"/>
        <v>2026</v>
      </c>
      <c r="C74" s="27">
        <v>46225</v>
      </c>
      <c r="D74" s="28" t="s">
        <v>30</v>
      </c>
      <c r="E74" s="28" t="s">
        <v>36</v>
      </c>
      <c r="F74" s="61"/>
      <c r="G74" s="77"/>
    </row>
    <row r="75" spans="2:64" x14ac:dyDescent="0.3">
      <c r="B75" s="73">
        <f t="shared" si="317"/>
        <v>2026</v>
      </c>
      <c r="C75" s="27">
        <v>46226</v>
      </c>
      <c r="D75" s="28" t="s">
        <v>30</v>
      </c>
      <c r="E75" s="28" t="s">
        <v>36</v>
      </c>
      <c r="F75" s="61"/>
      <c r="G75" s="77"/>
    </row>
    <row r="76" spans="2:64" x14ac:dyDescent="0.3">
      <c r="B76" s="73" t="str">
        <f t="shared" si="317"/>
        <v/>
      </c>
      <c r="C76" s="27"/>
      <c r="D76" s="28"/>
      <c r="E76" s="28"/>
      <c r="F76" s="61"/>
      <c r="G76" s="77"/>
    </row>
    <row r="77" spans="2:64" x14ac:dyDescent="0.3">
      <c r="B77" s="73" t="str">
        <f t="shared" si="317"/>
        <v/>
      </c>
      <c r="C77" s="27"/>
      <c r="D77" s="28"/>
      <c r="E77" s="28"/>
      <c r="F77" s="61"/>
      <c r="G77" s="77"/>
    </row>
    <row r="78" spans="2:64" x14ac:dyDescent="0.3">
      <c r="B78" s="73" t="str">
        <f t="shared" si="317"/>
        <v/>
      </c>
      <c r="C78" s="27"/>
      <c r="D78" s="28"/>
      <c r="E78" s="28"/>
      <c r="F78" s="61"/>
      <c r="G78" s="77"/>
    </row>
    <row r="79" spans="2:64" x14ac:dyDescent="0.3">
      <c r="B79" s="73" t="str">
        <f t="shared" si="317"/>
        <v/>
      </c>
      <c r="C79" s="27"/>
      <c r="D79" s="28"/>
      <c r="E79" s="28"/>
      <c r="F79" s="61"/>
      <c r="G79" s="77"/>
    </row>
    <row r="80" spans="2:64" x14ac:dyDescent="0.3">
      <c r="B80" s="73" t="str">
        <f t="shared" si="317"/>
        <v/>
      </c>
      <c r="C80" s="27"/>
      <c r="D80" s="28"/>
      <c r="E80" s="28"/>
      <c r="F80" s="61"/>
      <c r="G80" s="77"/>
    </row>
    <row r="81" spans="2:7" x14ac:dyDescent="0.3">
      <c r="B81" s="73" t="str">
        <f t="shared" si="317"/>
        <v/>
      </c>
      <c r="C81" s="27"/>
      <c r="D81" s="28"/>
      <c r="E81" s="28"/>
      <c r="F81" s="61"/>
      <c r="G81" s="77"/>
    </row>
    <row r="82" spans="2:7" x14ac:dyDescent="0.3">
      <c r="B82" s="73" t="str">
        <f t="shared" si="317"/>
        <v/>
      </c>
      <c r="C82" s="27"/>
      <c r="D82" s="28"/>
      <c r="E82" s="28"/>
      <c r="F82" s="61"/>
      <c r="G82" s="77"/>
    </row>
    <row r="83" spans="2:7" x14ac:dyDescent="0.3">
      <c r="B83" s="73" t="str">
        <f t="shared" si="317"/>
        <v/>
      </c>
      <c r="C83" s="27"/>
      <c r="D83" s="28"/>
      <c r="E83" s="28"/>
      <c r="F83" s="61"/>
      <c r="G83" s="77"/>
    </row>
    <row r="84" spans="2:7" x14ac:dyDescent="0.3">
      <c r="B84" s="73" t="str">
        <f t="shared" si="317"/>
        <v/>
      </c>
      <c r="C84" s="27"/>
      <c r="D84" s="28"/>
      <c r="E84" s="28"/>
      <c r="F84" s="61"/>
      <c r="G84" s="77"/>
    </row>
    <row r="85" spans="2:7" x14ac:dyDescent="0.3">
      <c r="B85" s="73" t="str">
        <f t="shared" si="317"/>
        <v/>
      </c>
      <c r="C85" s="27"/>
      <c r="D85" s="28"/>
      <c r="E85" s="28"/>
      <c r="F85" s="61"/>
      <c r="G85" s="77"/>
    </row>
    <row r="86" spans="2:7" x14ac:dyDescent="0.3">
      <c r="B86" s="73" t="str">
        <f t="shared" si="317"/>
        <v/>
      </c>
      <c r="C86" s="27"/>
      <c r="D86" s="28"/>
      <c r="E86" s="28"/>
      <c r="F86" s="61"/>
      <c r="G86" s="77"/>
    </row>
    <row r="87" spans="2:7" x14ac:dyDescent="0.3">
      <c r="B87" s="73" t="str">
        <f t="shared" si="317"/>
        <v/>
      </c>
      <c r="C87" s="27"/>
      <c r="D87" s="28"/>
      <c r="E87" s="28"/>
      <c r="F87" s="61"/>
      <c r="G87" s="77"/>
    </row>
    <row r="88" spans="2:7" x14ac:dyDescent="0.3">
      <c r="B88" s="73" t="str">
        <f t="shared" si="317"/>
        <v/>
      </c>
      <c r="C88" s="27"/>
      <c r="D88" s="28"/>
      <c r="E88" s="28"/>
      <c r="F88" s="61"/>
      <c r="G88" s="77"/>
    </row>
    <row r="89" spans="2:7" x14ac:dyDescent="0.3">
      <c r="B89" s="73" t="str">
        <f t="shared" si="317"/>
        <v/>
      </c>
      <c r="C89" s="27"/>
      <c r="D89" s="28"/>
      <c r="E89" s="28"/>
      <c r="F89" s="61"/>
      <c r="G89" s="77"/>
    </row>
    <row r="90" spans="2:7" x14ac:dyDescent="0.3">
      <c r="B90" s="73" t="str">
        <f t="shared" ref="B90:B153" si="644">IF(C90&lt;&gt;"",YEAR(C90),"")</f>
        <v/>
      </c>
      <c r="C90" s="27"/>
      <c r="D90" s="28"/>
      <c r="E90" s="28"/>
      <c r="F90" s="61"/>
      <c r="G90" s="77"/>
    </row>
    <row r="91" spans="2:7" x14ac:dyDescent="0.3">
      <c r="B91" s="73" t="str">
        <f t="shared" si="644"/>
        <v/>
      </c>
      <c r="C91" s="27"/>
      <c r="D91" s="28"/>
      <c r="E91" s="28"/>
      <c r="F91" s="61"/>
      <c r="G91" s="77"/>
    </row>
    <row r="92" spans="2:7" x14ac:dyDescent="0.3">
      <c r="B92" s="73" t="str">
        <f t="shared" si="644"/>
        <v/>
      </c>
      <c r="C92" s="27"/>
      <c r="D92" s="28"/>
      <c r="E92" s="28"/>
      <c r="F92" s="61"/>
      <c r="G92" s="77"/>
    </row>
    <row r="93" spans="2:7" x14ac:dyDescent="0.3">
      <c r="B93" s="73" t="str">
        <f t="shared" si="644"/>
        <v/>
      </c>
      <c r="C93" s="27"/>
      <c r="D93" s="28"/>
      <c r="E93" s="28"/>
      <c r="F93" s="61"/>
      <c r="G93" s="77"/>
    </row>
    <row r="94" spans="2:7" x14ac:dyDescent="0.3">
      <c r="B94" s="73" t="str">
        <f t="shared" si="644"/>
        <v/>
      </c>
      <c r="C94" s="27"/>
      <c r="D94" s="28"/>
      <c r="E94" s="28"/>
      <c r="F94" s="61"/>
      <c r="G94" s="77"/>
    </row>
    <row r="95" spans="2:7" x14ac:dyDescent="0.3">
      <c r="B95" s="73" t="str">
        <f t="shared" si="644"/>
        <v/>
      </c>
      <c r="C95" s="27"/>
      <c r="D95" s="28"/>
      <c r="E95" s="28"/>
      <c r="F95" s="61"/>
      <c r="G95" s="77"/>
    </row>
    <row r="96" spans="2:7" x14ac:dyDescent="0.3">
      <c r="B96" s="73" t="str">
        <f t="shared" si="644"/>
        <v/>
      </c>
      <c r="C96" s="27"/>
      <c r="D96" s="28"/>
      <c r="E96" s="28"/>
      <c r="F96" s="61"/>
      <c r="G96" s="77"/>
    </row>
    <row r="97" spans="2:7" x14ac:dyDescent="0.3">
      <c r="B97" s="73" t="str">
        <f t="shared" si="644"/>
        <v/>
      </c>
      <c r="C97" s="27"/>
      <c r="D97" s="28"/>
      <c r="E97" s="28"/>
      <c r="F97" s="61"/>
      <c r="G97" s="77"/>
    </row>
    <row r="98" spans="2:7" x14ac:dyDescent="0.3">
      <c r="B98" s="73" t="str">
        <f t="shared" si="644"/>
        <v/>
      </c>
      <c r="C98" s="27"/>
      <c r="D98" s="28"/>
      <c r="E98" s="28"/>
      <c r="F98" s="61"/>
      <c r="G98" s="77"/>
    </row>
    <row r="99" spans="2:7" x14ac:dyDescent="0.3">
      <c r="B99" s="73" t="str">
        <f t="shared" si="644"/>
        <v/>
      </c>
      <c r="C99" s="27"/>
      <c r="D99" s="28"/>
      <c r="E99" s="28"/>
      <c r="F99" s="61"/>
      <c r="G99" s="77"/>
    </row>
    <row r="100" spans="2:7" x14ac:dyDescent="0.3">
      <c r="B100" s="73" t="str">
        <f t="shared" si="644"/>
        <v/>
      </c>
      <c r="C100" s="27"/>
      <c r="D100" s="28"/>
      <c r="E100" s="28"/>
      <c r="F100" s="61"/>
      <c r="G100" s="77"/>
    </row>
    <row r="101" spans="2:7" x14ac:dyDescent="0.3">
      <c r="B101" s="73" t="str">
        <f t="shared" si="644"/>
        <v/>
      </c>
      <c r="C101" s="27"/>
      <c r="D101" s="28"/>
      <c r="E101" s="28"/>
      <c r="F101" s="61"/>
      <c r="G101" s="77"/>
    </row>
    <row r="102" spans="2:7" x14ac:dyDescent="0.3">
      <c r="B102" s="73" t="str">
        <f t="shared" si="644"/>
        <v/>
      </c>
      <c r="C102" s="27"/>
      <c r="D102" s="28"/>
      <c r="E102" s="28"/>
      <c r="F102" s="61"/>
      <c r="G102" s="77"/>
    </row>
    <row r="103" spans="2:7" x14ac:dyDescent="0.3">
      <c r="B103" s="73" t="str">
        <f t="shared" si="644"/>
        <v/>
      </c>
      <c r="C103" s="27"/>
      <c r="D103" s="28"/>
      <c r="E103" s="28"/>
      <c r="F103" s="61"/>
      <c r="G103" s="77"/>
    </row>
    <row r="104" spans="2:7" x14ac:dyDescent="0.3">
      <c r="B104" s="73" t="str">
        <f t="shared" si="644"/>
        <v/>
      </c>
      <c r="C104" s="27"/>
      <c r="D104" s="28"/>
      <c r="E104" s="28"/>
      <c r="F104" s="61"/>
      <c r="G104" s="77"/>
    </row>
    <row r="105" spans="2:7" x14ac:dyDescent="0.3">
      <c r="B105" s="73" t="str">
        <f t="shared" si="644"/>
        <v/>
      </c>
      <c r="C105" s="27"/>
      <c r="D105" s="28"/>
      <c r="E105" s="28"/>
      <c r="F105" s="61"/>
      <c r="G105" s="77"/>
    </row>
    <row r="106" spans="2:7" x14ac:dyDescent="0.3">
      <c r="B106" s="73" t="str">
        <f t="shared" si="644"/>
        <v/>
      </c>
      <c r="C106" s="27"/>
      <c r="D106" s="28"/>
      <c r="E106" s="28"/>
      <c r="F106" s="61"/>
      <c r="G106" s="77"/>
    </row>
    <row r="107" spans="2:7" x14ac:dyDescent="0.3">
      <c r="B107" s="73" t="str">
        <f t="shared" si="644"/>
        <v/>
      </c>
      <c r="C107" s="27"/>
      <c r="D107" s="28"/>
      <c r="E107" s="28"/>
      <c r="F107" s="61"/>
      <c r="G107" s="77"/>
    </row>
    <row r="108" spans="2:7" x14ac:dyDescent="0.3">
      <c r="B108" s="73" t="str">
        <f t="shared" si="644"/>
        <v/>
      </c>
      <c r="C108" s="27"/>
      <c r="D108" s="28"/>
      <c r="E108" s="28"/>
      <c r="F108" s="61"/>
      <c r="G108" s="77"/>
    </row>
    <row r="109" spans="2:7" x14ac:dyDescent="0.3">
      <c r="B109" s="73" t="str">
        <f t="shared" si="644"/>
        <v/>
      </c>
      <c r="C109" s="27"/>
      <c r="D109" s="28"/>
      <c r="E109" s="28"/>
      <c r="F109" s="61"/>
      <c r="G109" s="77"/>
    </row>
    <row r="110" spans="2:7" x14ac:dyDescent="0.3">
      <c r="B110" s="73" t="str">
        <f t="shared" si="644"/>
        <v/>
      </c>
      <c r="C110" s="27"/>
      <c r="D110" s="28"/>
      <c r="E110" s="28"/>
      <c r="F110" s="61"/>
      <c r="G110" s="77"/>
    </row>
    <row r="111" spans="2:7" x14ac:dyDescent="0.3">
      <c r="B111" s="73" t="str">
        <f t="shared" si="644"/>
        <v/>
      </c>
      <c r="C111" s="27"/>
      <c r="D111" s="28"/>
      <c r="E111" s="28"/>
      <c r="F111" s="61"/>
      <c r="G111" s="77"/>
    </row>
    <row r="112" spans="2:7" x14ac:dyDescent="0.3">
      <c r="B112" s="73" t="str">
        <f t="shared" si="644"/>
        <v/>
      </c>
      <c r="C112" s="27"/>
      <c r="D112" s="28"/>
      <c r="E112" s="28"/>
      <c r="F112" s="61"/>
      <c r="G112" s="77"/>
    </row>
    <row r="113" spans="2:7" x14ac:dyDescent="0.3">
      <c r="B113" s="73" t="str">
        <f t="shared" si="644"/>
        <v/>
      </c>
      <c r="C113" s="27"/>
      <c r="D113" s="28"/>
      <c r="E113" s="28"/>
      <c r="F113" s="61"/>
      <c r="G113" s="77"/>
    </row>
    <row r="114" spans="2:7" x14ac:dyDescent="0.3">
      <c r="B114" s="73" t="str">
        <f t="shared" si="644"/>
        <v/>
      </c>
      <c r="C114" s="27"/>
      <c r="D114" s="28"/>
      <c r="E114" s="28"/>
      <c r="F114" s="61"/>
      <c r="G114" s="77"/>
    </row>
    <row r="115" spans="2:7" x14ac:dyDescent="0.3">
      <c r="B115" s="73" t="str">
        <f t="shared" si="644"/>
        <v/>
      </c>
      <c r="C115" s="27"/>
      <c r="D115" s="28"/>
      <c r="E115" s="28"/>
      <c r="F115" s="61"/>
      <c r="G115" s="77"/>
    </row>
    <row r="116" spans="2:7" x14ac:dyDescent="0.3">
      <c r="B116" s="73" t="str">
        <f t="shared" si="644"/>
        <v/>
      </c>
      <c r="C116" s="27"/>
      <c r="D116" s="28"/>
      <c r="E116" s="28"/>
      <c r="F116" s="61"/>
      <c r="G116" s="77"/>
    </row>
    <row r="117" spans="2:7" x14ac:dyDescent="0.3">
      <c r="B117" s="73" t="str">
        <f t="shared" si="644"/>
        <v/>
      </c>
      <c r="C117" s="27"/>
      <c r="D117" s="28"/>
      <c r="E117" s="28"/>
      <c r="F117" s="61"/>
      <c r="G117" s="77"/>
    </row>
    <row r="118" spans="2:7" x14ac:dyDescent="0.3">
      <c r="B118" s="73" t="str">
        <f t="shared" si="644"/>
        <v/>
      </c>
      <c r="C118" s="27"/>
      <c r="D118" s="28"/>
      <c r="E118" s="28"/>
      <c r="F118" s="61"/>
      <c r="G118" s="77"/>
    </row>
    <row r="119" spans="2:7" x14ac:dyDescent="0.3">
      <c r="B119" s="73" t="str">
        <f t="shared" si="644"/>
        <v/>
      </c>
      <c r="C119" s="27"/>
      <c r="D119" s="28"/>
      <c r="E119" s="28"/>
      <c r="F119" s="61"/>
      <c r="G119" s="77"/>
    </row>
    <row r="120" spans="2:7" x14ac:dyDescent="0.3">
      <c r="B120" s="73" t="str">
        <f t="shared" si="644"/>
        <v/>
      </c>
      <c r="C120" s="27"/>
      <c r="D120" s="28"/>
      <c r="E120" s="28"/>
      <c r="F120" s="61"/>
      <c r="G120" s="77"/>
    </row>
    <row r="121" spans="2:7" x14ac:dyDescent="0.3">
      <c r="B121" s="73" t="str">
        <f t="shared" si="644"/>
        <v/>
      </c>
      <c r="C121" s="27"/>
      <c r="D121" s="28"/>
      <c r="E121" s="28"/>
      <c r="F121" s="61"/>
      <c r="G121" s="77"/>
    </row>
    <row r="122" spans="2:7" x14ac:dyDescent="0.3">
      <c r="B122" s="73" t="str">
        <f t="shared" si="644"/>
        <v/>
      </c>
      <c r="C122" s="27"/>
      <c r="D122" s="28"/>
      <c r="E122" s="28"/>
      <c r="F122" s="61"/>
      <c r="G122" s="77"/>
    </row>
    <row r="123" spans="2:7" x14ac:dyDescent="0.3">
      <c r="B123" s="73" t="str">
        <f t="shared" si="644"/>
        <v/>
      </c>
      <c r="C123" s="27"/>
      <c r="D123" s="28"/>
      <c r="E123" s="28"/>
      <c r="F123" s="61"/>
      <c r="G123" s="77"/>
    </row>
    <row r="124" spans="2:7" x14ac:dyDescent="0.3">
      <c r="B124" s="73" t="str">
        <f t="shared" si="644"/>
        <v/>
      </c>
      <c r="C124" s="27"/>
      <c r="D124" s="28"/>
      <c r="E124" s="28"/>
      <c r="F124" s="61"/>
      <c r="G124" s="77"/>
    </row>
    <row r="125" spans="2:7" x14ac:dyDescent="0.3">
      <c r="B125" s="73" t="str">
        <f t="shared" si="644"/>
        <v/>
      </c>
      <c r="C125" s="27"/>
      <c r="D125" s="28"/>
      <c r="E125" s="28"/>
      <c r="F125" s="61"/>
      <c r="G125" s="77"/>
    </row>
    <row r="126" spans="2:7" x14ac:dyDescent="0.3">
      <c r="B126" s="73" t="str">
        <f t="shared" si="644"/>
        <v/>
      </c>
      <c r="C126" s="27"/>
      <c r="D126" s="28"/>
      <c r="E126" s="28"/>
      <c r="F126" s="61"/>
      <c r="G126" s="77"/>
    </row>
    <row r="127" spans="2:7" x14ac:dyDescent="0.3">
      <c r="B127" s="73" t="str">
        <f t="shared" si="644"/>
        <v/>
      </c>
      <c r="C127" s="27"/>
      <c r="D127" s="28"/>
      <c r="E127" s="28"/>
      <c r="F127" s="61"/>
      <c r="G127" s="77"/>
    </row>
    <row r="128" spans="2:7" x14ac:dyDescent="0.3">
      <c r="B128" s="73" t="str">
        <f t="shared" si="644"/>
        <v/>
      </c>
      <c r="C128" s="27"/>
      <c r="D128" s="28"/>
      <c r="E128" s="28"/>
      <c r="F128" s="61"/>
      <c r="G128" s="77"/>
    </row>
    <row r="129" spans="2:7" x14ac:dyDescent="0.3">
      <c r="B129" s="73" t="str">
        <f t="shared" si="644"/>
        <v/>
      </c>
      <c r="C129" s="27"/>
      <c r="D129" s="28"/>
      <c r="E129" s="28"/>
      <c r="F129" s="61"/>
      <c r="G129" s="77"/>
    </row>
    <row r="130" spans="2:7" x14ac:dyDescent="0.3">
      <c r="B130" s="73" t="str">
        <f t="shared" si="644"/>
        <v/>
      </c>
      <c r="C130" s="27"/>
      <c r="D130" s="28"/>
      <c r="E130" s="28"/>
      <c r="F130" s="61"/>
      <c r="G130" s="77"/>
    </row>
    <row r="131" spans="2:7" x14ac:dyDescent="0.3">
      <c r="B131" s="73" t="str">
        <f t="shared" si="644"/>
        <v/>
      </c>
      <c r="C131" s="27"/>
      <c r="D131" s="28"/>
      <c r="E131" s="28"/>
      <c r="F131" s="61"/>
      <c r="G131" s="77"/>
    </row>
    <row r="132" spans="2:7" x14ac:dyDescent="0.3">
      <c r="B132" s="73" t="str">
        <f t="shared" si="644"/>
        <v/>
      </c>
      <c r="C132" s="27"/>
      <c r="D132" s="28"/>
      <c r="E132" s="28"/>
      <c r="F132" s="61"/>
      <c r="G132" s="77"/>
    </row>
    <row r="133" spans="2:7" x14ac:dyDescent="0.3">
      <c r="B133" s="73" t="str">
        <f t="shared" si="644"/>
        <v/>
      </c>
      <c r="C133" s="27"/>
      <c r="D133" s="28"/>
      <c r="E133" s="28"/>
      <c r="F133" s="61"/>
      <c r="G133" s="77"/>
    </row>
    <row r="134" spans="2:7" x14ac:dyDescent="0.3">
      <c r="B134" s="73" t="str">
        <f t="shared" si="644"/>
        <v/>
      </c>
      <c r="C134" s="27"/>
      <c r="D134" s="28"/>
      <c r="E134" s="28"/>
      <c r="F134" s="61"/>
      <c r="G134" s="77"/>
    </row>
    <row r="135" spans="2:7" x14ac:dyDescent="0.3">
      <c r="B135" s="73" t="str">
        <f t="shared" si="644"/>
        <v/>
      </c>
      <c r="C135" s="27"/>
      <c r="D135" s="28"/>
      <c r="E135" s="28"/>
      <c r="F135" s="61"/>
      <c r="G135" s="77"/>
    </row>
    <row r="136" spans="2:7" x14ac:dyDescent="0.3">
      <c r="B136" s="73" t="str">
        <f t="shared" si="644"/>
        <v/>
      </c>
      <c r="C136" s="27"/>
      <c r="D136" s="28"/>
      <c r="E136" s="28"/>
      <c r="F136" s="61"/>
      <c r="G136" s="77"/>
    </row>
    <row r="137" spans="2:7" x14ac:dyDescent="0.3">
      <c r="B137" s="73" t="str">
        <f t="shared" si="644"/>
        <v/>
      </c>
      <c r="C137" s="27"/>
      <c r="D137" s="28"/>
      <c r="E137" s="28"/>
      <c r="F137" s="61"/>
      <c r="G137" s="77"/>
    </row>
    <row r="138" spans="2:7" x14ac:dyDescent="0.3">
      <c r="B138" s="73" t="str">
        <f t="shared" si="644"/>
        <v/>
      </c>
      <c r="C138" s="27"/>
      <c r="D138" s="28"/>
      <c r="E138" s="28"/>
      <c r="F138" s="61"/>
      <c r="G138" s="77"/>
    </row>
    <row r="139" spans="2:7" x14ac:dyDescent="0.3">
      <c r="B139" s="73" t="str">
        <f t="shared" si="644"/>
        <v/>
      </c>
      <c r="C139" s="27"/>
      <c r="D139" s="28"/>
      <c r="E139" s="28"/>
      <c r="F139" s="61"/>
      <c r="G139" s="77"/>
    </row>
    <row r="140" spans="2:7" x14ac:dyDescent="0.3">
      <c r="B140" s="73" t="str">
        <f t="shared" si="644"/>
        <v/>
      </c>
      <c r="C140" s="27"/>
      <c r="D140" s="28"/>
      <c r="E140" s="28"/>
      <c r="F140" s="61"/>
      <c r="G140" s="77"/>
    </row>
    <row r="141" spans="2:7" x14ac:dyDescent="0.3">
      <c r="B141" s="73" t="str">
        <f t="shared" si="644"/>
        <v/>
      </c>
      <c r="C141" s="27"/>
      <c r="D141" s="28"/>
      <c r="E141" s="28"/>
      <c r="F141" s="61"/>
      <c r="G141" s="77"/>
    </row>
    <row r="142" spans="2:7" x14ac:dyDescent="0.3">
      <c r="B142" s="73" t="str">
        <f t="shared" si="644"/>
        <v/>
      </c>
      <c r="C142" s="29"/>
      <c r="D142" s="30"/>
      <c r="E142" s="30"/>
      <c r="F142" s="61"/>
      <c r="G142" s="77"/>
    </row>
    <row r="143" spans="2:7" x14ac:dyDescent="0.3">
      <c r="B143" s="73" t="str">
        <f t="shared" si="644"/>
        <v/>
      </c>
      <c r="C143" s="27"/>
      <c r="D143" s="28"/>
      <c r="E143" s="28"/>
      <c r="F143" s="61"/>
      <c r="G143" s="77"/>
    </row>
    <row r="144" spans="2:7" x14ac:dyDescent="0.3">
      <c r="B144" s="73" t="str">
        <f t="shared" si="644"/>
        <v/>
      </c>
      <c r="C144" s="27"/>
      <c r="D144" s="28"/>
      <c r="E144" s="28"/>
      <c r="F144" s="61"/>
      <c r="G144" s="77"/>
    </row>
    <row r="145" spans="2:7" x14ac:dyDescent="0.3">
      <c r="B145" s="73" t="str">
        <f t="shared" si="644"/>
        <v/>
      </c>
      <c r="C145" s="27"/>
      <c r="D145" s="28"/>
      <c r="E145" s="28"/>
      <c r="F145" s="61"/>
      <c r="G145" s="77"/>
    </row>
    <row r="146" spans="2:7" x14ac:dyDescent="0.3">
      <c r="B146" s="73" t="str">
        <f t="shared" si="644"/>
        <v/>
      </c>
      <c r="C146" s="27"/>
      <c r="D146" s="28"/>
      <c r="E146" s="28"/>
      <c r="F146" s="61"/>
      <c r="G146" s="77"/>
    </row>
    <row r="147" spans="2:7" x14ac:dyDescent="0.3">
      <c r="B147" s="73" t="str">
        <f t="shared" si="644"/>
        <v/>
      </c>
      <c r="C147" s="27"/>
      <c r="D147" s="28"/>
      <c r="E147" s="28"/>
      <c r="F147" s="61"/>
      <c r="G147" s="77"/>
    </row>
    <row r="148" spans="2:7" x14ac:dyDescent="0.3">
      <c r="B148" s="73" t="str">
        <f t="shared" si="644"/>
        <v/>
      </c>
      <c r="C148" s="27"/>
      <c r="D148" s="28"/>
      <c r="E148" s="28"/>
      <c r="F148" s="61"/>
      <c r="G148" s="77"/>
    </row>
    <row r="149" spans="2:7" x14ac:dyDescent="0.3">
      <c r="B149" s="73" t="str">
        <f t="shared" si="644"/>
        <v/>
      </c>
      <c r="C149" s="27"/>
      <c r="D149" s="28"/>
      <c r="E149" s="28"/>
      <c r="F149" s="61"/>
      <c r="G149" s="77"/>
    </row>
    <row r="150" spans="2:7" x14ac:dyDescent="0.3">
      <c r="B150" s="73" t="str">
        <f t="shared" si="644"/>
        <v/>
      </c>
      <c r="C150" s="27"/>
      <c r="D150" s="28"/>
      <c r="E150" s="28"/>
      <c r="F150" s="61"/>
      <c r="G150" s="77"/>
    </row>
    <row r="151" spans="2:7" x14ac:dyDescent="0.3">
      <c r="B151" s="73" t="str">
        <f t="shared" si="644"/>
        <v/>
      </c>
      <c r="C151" s="27"/>
      <c r="D151" s="28"/>
      <c r="E151" s="28"/>
      <c r="F151" s="61"/>
      <c r="G151" s="77"/>
    </row>
    <row r="152" spans="2:7" x14ac:dyDescent="0.3">
      <c r="B152" s="73" t="str">
        <f t="shared" si="644"/>
        <v/>
      </c>
      <c r="C152" s="27"/>
      <c r="D152" s="28"/>
      <c r="E152" s="28"/>
      <c r="F152" s="61"/>
      <c r="G152" s="77"/>
    </row>
    <row r="153" spans="2:7" x14ac:dyDescent="0.3">
      <c r="B153" s="73" t="str">
        <f t="shared" si="644"/>
        <v/>
      </c>
      <c r="C153" s="27"/>
      <c r="D153" s="28"/>
      <c r="E153" s="28"/>
      <c r="F153" s="61"/>
      <c r="G153" s="77"/>
    </row>
    <row r="154" spans="2:7" x14ac:dyDescent="0.3">
      <c r="B154" s="73" t="str">
        <f t="shared" ref="B154:B217" si="645">IF(C154&lt;&gt;"",YEAR(C154),"")</f>
        <v/>
      </c>
      <c r="C154" s="27"/>
      <c r="D154" s="28"/>
      <c r="E154" s="28"/>
      <c r="F154" s="61"/>
      <c r="G154" s="77"/>
    </row>
    <row r="155" spans="2:7" x14ac:dyDescent="0.3">
      <c r="B155" s="73" t="str">
        <f t="shared" si="645"/>
        <v/>
      </c>
      <c r="C155" s="27"/>
      <c r="D155" s="28"/>
      <c r="E155" s="28"/>
      <c r="F155" s="61"/>
      <c r="G155" s="77"/>
    </row>
    <row r="156" spans="2:7" x14ac:dyDescent="0.3">
      <c r="B156" s="73" t="str">
        <f t="shared" si="645"/>
        <v/>
      </c>
      <c r="C156" s="27"/>
      <c r="D156" s="28"/>
      <c r="E156" s="28"/>
      <c r="F156" s="61"/>
      <c r="G156" s="77"/>
    </row>
    <row r="157" spans="2:7" x14ac:dyDescent="0.3">
      <c r="B157" s="73" t="str">
        <f t="shared" si="645"/>
        <v/>
      </c>
      <c r="C157" s="27"/>
      <c r="D157" s="28"/>
      <c r="E157" s="28"/>
      <c r="F157" s="61"/>
      <c r="G157" s="77"/>
    </row>
    <row r="158" spans="2:7" x14ac:dyDescent="0.3">
      <c r="B158" s="73" t="str">
        <f t="shared" si="645"/>
        <v/>
      </c>
      <c r="C158" s="27"/>
      <c r="D158" s="28"/>
      <c r="E158" s="28"/>
      <c r="F158" s="61"/>
      <c r="G158" s="77"/>
    </row>
    <row r="159" spans="2:7" x14ac:dyDescent="0.3">
      <c r="B159" s="73" t="str">
        <f t="shared" si="645"/>
        <v/>
      </c>
      <c r="C159" s="27"/>
      <c r="D159" s="28"/>
      <c r="E159" s="28"/>
      <c r="F159" s="61"/>
      <c r="G159" s="77"/>
    </row>
    <row r="160" spans="2:7" x14ac:dyDescent="0.3">
      <c r="B160" s="73" t="str">
        <f t="shared" si="645"/>
        <v/>
      </c>
      <c r="C160" s="27"/>
      <c r="D160" s="28"/>
      <c r="E160" s="28"/>
      <c r="F160" s="61"/>
      <c r="G160" s="77"/>
    </row>
    <row r="161" spans="2:7" x14ac:dyDescent="0.3">
      <c r="B161" s="73" t="str">
        <f t="shared" si="645"/>
        <v/>
      </c>
      <c r="C161" s="27"/>
      <c r="D161" s="28"/>
      <c r="E161" s="28"/>
      <c r="F161" s="61"/>
      <c r="G161" s="77"/>
    </row>
    <row r="162" spans="2:7" x14ac:dyDescent="0.3">
      <c r="B162" s="73" t="str">
        <f t="shared" si="645"/>
        <v/>
      </c>
      <c r="C162" s="27"/>
      <c r="D162" s="28"/>
      <c r="E162" s="28"/>
      <c r="F162" s="61"/>
      <c r="G162" s="77"/>
    </row>
    <row r="163" spans="2:7" x14ac:dyDescent="0.3">
      <c r="B163" s="73" t="str">
        <f t="shared" si="645"/>
        <v/>
      </c>
      <c r="C163" s="27"/>
      <c r="D163" s="28"/>
      <c r="E163" s="28"/>
      <c r="F163" s="61"/>
      <c r="G163" s="77"/>
    </row>
    <row r="164" spans="2:7" x14ac:dyDescent="0.3">
      <c r="B164" s="73" t="str">
        <f t="shared" si="645"/>
        <v/>
      </c>
      <c r="C164" s="27"/>
      <c r="D164" s="28"/>
      <c r="E164" s="28"/>
      <c r="F164" s="61"/>
      <c r="G164" s="77"/>
    </row>
    <row r="165" spans="2:7" x14ac:dyDescent="0.3">
      <c r="B165" s="73" t="str">
        <f t="shared" si="645"/>
        <v/>
      </c>
      <c r="C165" s="27"/>
      <c r="D165" s="28"/>
      <c r="E165" s="28"/>
      <c r="F165" s="61"/>
      <c r="G165" s="77"/>
    </row>
    <row r="166" spans="2:7" x14ac:dyDescent="0.3">
      <c r="B166" s="73" t="str">
        <f t="shared" si="645"/>
        <v/>
      </c>
      <c r="C166" s="27"/>
      <c r="D166" s="28"/>
      <c r="E166" s="28"/>
      <c r="F166" s="61"/>
      <c r="G166" s="77"/>
    </row>
    <row r="167" spans="2:7" x14ac:dyDescent="0.3">
      <c r="B167" s="73" t="str">
        <f t="shared" si="645"/>
        <v/>
      </c>
      <c r="C167" s="27"/>
      <c r="D167" s="28"/>
      <c r="E167" s="28"/>
      <c r="F167" s="61"/>
      <c r="G167" s="77"/>
    </row>
    <row r="168" spans="2:7" x14ac:dyDescent="0.3">
      <c r="B168" s="73" t="str">
        <f t="shared" si="645"/>
        <v/>
      </c>
      <c r="C168" s="27"/>
      <c r="D168" s="28"/>
      <c r="E168" s="28"/>
      <c r="F168" s="61"/>
      <c r="G168" s="77"/>
    </row>
    <row r="169" spans="2:7" x14ac:dyDescent="0.3">
      <c r="B169" s="73" t="str">
        <f t="shared" si="645"/>
        <v/>
      </c>
      <c r="C169" s="27"/>
      <c r="D169" s="28"/>
      <c r="E169" s="28"/>
      <c r="F169" s="61"/>
      <c r="G169" s="77"/>
    </row>
    <row r="170" spans="2:7" x14ac:dyDescent="0.3">
      <c r="B170" s="73" t="str">
        <f t="shared" si="645"/>
        <v/>
      </c>
      <c r="C170" s="27"/>
      <c r="D170" s="28"/>
      <c r="E170" s="28"/>
      <c r="F170" s="61"/>
      <c r="G170" s="77"/>
    </row>
    <row r="171" spans="2:7" x14ac:dyDescent="0.3">
      <c r="B171" s="73" t="str">
        <f t="shared" si="645"/>
        <v/>
      </c>
      <c r="C171" s="27"/>
      <c r="D171" s="28"/>
      <c r="E171" s="28"/>
      <c r="F171" s="61"/>
      <c r="G171" s="77"/>
    </row>
    <row r="172" spans="2:7" x14ac:dyDescent="0.3">
      <c r="B172" s="73" t="str">
        <f t="shared" si="645"/>
        <v/>
      </c>
      <c r="C172" s="27"/>
      <c r="D172" s="28"/>
      <c r="E172" s="28"/>
      <c r="F172" s="61"/>
      <c r="G172" s="77"/>
    </row>
    <row r="173" spans="2:7" x14ac:dyDescent="0.3">
      <c r="B173" s="73" t="str">
        <f t="shared" si="645"/>
        <v/>
      </c>
      <c r="C173" s="27"/>
      <c r="D173" s="28"/>
      <c r="E173" s="28"/>
      <c r="F173" s="61"/>
      <c r="G173" s="77"/>
    </row>
    <row r="174" spans="2:7" x14ac:dyDescent="0.3">
      <c r="B174" s="73" t="str">
        <f t="shared" si="645"/>
        <v/>
      </c>
      <c r="C174" s="27"/>
      <c r="D174" s="28"/>
      <c r="E174" s="28"/>
      <c r="F174" s="61"/>
      <c r="G174" s="77"/>
    </row>
    <row r="175" spans="2:7" x14ac:dyDescent="0.3">
      <c r="B175" s="73" t="str">
        <f t="shared" si="645"/>
        <v/>
      </c>
      <c r="C175" s="27"/>
      <c r="D175" s="28"/>
      <c r="E175" s="28"/>
      <c r="F175" s="61"/>
      <c r="G175" s="77"/>
    </row>
    <row r="176" spans="2:7" x14ac:dyDescent="0.3">
      <c r="B176" s="73" t="str">
        <f t="shared" si="645"/>
        <v/>
      </c>
      <c r="C176" s="27"/>
      <c r="D176" s="28"/>
      <c r="E176" s="28"/>
      <c r="F176" s="61"/>
      <c r="G176" s="77"/>
    </row>
    <row r="177" spans="2:7" x14ac:dyDescent="0.3">
      <c r="B177" s="73" t="str">
        <f t="shared" si="645"/>
        <v/>
      </c>
      <c r="C177" s="27"/>
      <c r="D177" s="28"/>
      <c r="E177" s="28"/>
      <c r="F177" s="61"/>
      <c r="G177" s="77"/>
    </row>
    <row r="178" spans="2:7" x14ac:dyDescent="0.3">
      <c r="B178" s="73" t="str">
        <f t="shared" si="645"/>
        <v/>
      </c>
      <c r="C178" s="27"/>
      <c r="D178" s="28"/>
      <c r="E178" s="28"/>
      <c r="F178" s="61"/>
      <c r="G178" s="77"/>
    </row>
    <row r="179" spans="2:7" x14ac:dyDescent="0.3">
      <c r="B179" s="73" t="str">
        <f t="shared" si="645"/>
        <v/>
      </c>
      <c r="C179" s="27"/>
      <c r="D179" s="28"/>
      <c r="E179" s="28"/>
      <c r="F179" s="61"/>
      <c r="G179" s="77"/>
    </row>
    <row r="180" spans="2:7" x14ac:dyDescent="0.3">
      <c r="B180" s="73" t="str">
        <f t="shared" si="645"/>
        <v/>
      </c>
      <c r="C180" s="27"/>
      <c r="D180" s="28"/>
      <c r="E180" s="28"/>
      <c r="F180" s="61"/>
      <c r="G180" s="77"/>
    </row>
    <row r="181" spans="2:7" x14ac:dyDescent="0.3">
      <c r="B181" s="73" t="str">
        <f t="shared" si="645"/>
        <v/>
      </c>
      <c r="C181" s="27"/>
      <c r="D181" s="28"/>
      <c r="E181" s="28"/>
      <c r="F181" s="61"/>
      <c r="G181" s="77"/>
    </row>
    <row r="182" spans="2:7" x14ac:dyDescent="0.3">
      <c r="B182" s="73" t="str">
        <f t="shared" si="645"/>
        <v/>
      </c>
      <c r="C182" s="27"/>
      <c r="D182" s="28"/>
      <c r="E182" s="28"/>
      <c r="F182" s="61"/>
      <c r="G182" s="77"/>
    </row>
    <row r="183" spans="2:7" x14ac:dyDescent="0.3">
      <c r="B183" s="73" t="str">
        <f t="shared" si="645"/>
        <v/>
      </c>
      <c r="C183" s="27"/>
      <c r="D183" s="28"/>
      <c r="E183" s="28"/>
      <c r="F183" s="61"/>
      <c r="G183" s="77"/>
    </row>
    <row r="184" spans="2:7" x14ac:dyDescent="0.3">
      <c r="B184" s="73" t="str">
        <f t="shared" si="645"/>
        <v/>
      </c>
      <c r="C184" s="27"/>
      <c r="D184" s="28"/>
      <c r="E184" s="28"/>
      <c r="F184" s="61"/>
      <c r="G184" s="77"/>
    </row>
    <row r="185" spans="2:7" x14ac:dyDescent="0.3">
      <c r="B185" s="73" t="str">
        <f t="shared" si="645"/>
        <v/>
      </c>
      <c r="C185" s="27"/>
      <c r="D185" s="28"/>
      <c r="E185" s="28"/>
      <c r="F185" s="61"/>
      <c r="G185" s="77"/>
    </row>
    <row r="186" spans="2:7" x14ac:dyDescent="0.3">
      <c r="B186" s="73" t="str">
        <f t="shared" si="645"/>
        <v/>
      </c>
      <c r="C186" s="27"/>
      <c r="D186" s="28"/>
      <c r="E186" s="28"/>
      <c r="F186" s="61"/>
      <c r="G186" s="77"/>
    </row>
    <row r="187" spans="2:7" x14ac:dyDescent="0.3">
      <c r="B187" s="73" t="str">
        <f t="shared" si="645"/>
        <v/>
      </c>
      <c r="C187" s="27"/>
      <c r="D187" s="28"/>
      <c r="E187" s="28"/>
      <c r="F187" s="61"/>
      <c r="G187" s="77"/>
    </row>
    <row r="188" spans="2:7" x14ac:dyDescent="0.3">
      <c r="B188" s="73" t="str">
        <f t="shared" si="645"/>
        <v/>
      </c>
      <c r="C188" s="27"/>
      <c r="D188" s="28"/>
      <c r="E188" s="28"/>
      <c r="F188" s="61"/>
      <c r="G188" s="77"/>
    </row>
    <row r="189" spans="2:7" x14ac:dyDescent="0.3">
      <c r="B189" s="73" t="str">
        <f t="shared" si="645"/>
        <v/>
      </c>
      <c r="C189" s="27"/>
      <c r="D189" s="28"/>
      <c r="E189" s="28"/>
      <c r="F189" s="61"/>
      <c r="G189" s="77"/>
    </row>
    <row r="190" spans="2:7" x14ac:dyDescent="0.3">
      <c r="B190" s="73" t="str">
        <f t="shared" si="645"/>
        <v/>
      </c>
      <c r="C190" s="27"/>
      <c r="D190" s="28"/>
      <c r="E190" s="28"/>
      <c r="F190" s="61"/>
      <c r="G190" s="77"/>
    </row>
    <row r="191" spans="2:7" x14ac:dyDescent="0.3">
      <c r="B191" s="73" t="str">
        <f t="shared" si="645"/>
        <v/>
      </c>
      <c r="C191" s="27"/>
      <c r="D191" s="28"/>
      <c r="E191" s="28"/>
      <c r="F191" s="61"/>
      <c r="G191" s="77"/>
    </row>
    <row r="192" spans="2:7" x14ac:dyDescent="0.3">
      <c r="B192" s="73" t="str">
        <f t="shared" si="645"/>
        <v/>
      </c>
      <c r="C192" s="27"/>
      <c r="D192" s="28"/>
      <c r="E192" s="28"/>
      <c r="F192" s="61"/>
      <c r="G192" s="77"/>
    </row>
    <row r="193" spans="2:7" x14ac:dyDescent="0.3">
      <c r="B193" s="73" t="str">
        <f t="shared" si="645"/>
        <v/>
      </c>
      <c r="C193" s="27"/>
      <c r="D193" s="28"/>
      <c r="E193" s="28"/>
      <c r="F193" s="61"/>
      <c r="G193" s="77"/>
    </row>
    <row r="194" spans="2:7" x14ac:dyDescent="0.3">
      <c r="B194" s="73" t="str">
        <f t="shared" si="645"/>
        <v/>
      </c>
      <c r="C194" s="27"/>
      <c r="D194" s="28"/>
      <c r="E194" s="28"/>
      <c r="F194" s="61"/>
      <c r="G194" s="77"/>
    </row>
    <row r="195" spans="2:7" x14ac:dyDescent="0.3">
      <c r="B195" s="73" t="str">
        <f t="shared" si="645"/>
        <v/>
      </c>
      <c r="C195" s="27"/>
      <c r="D195" s="28"/>
      <c r="E195" s="28"/>
      <c r="F195" s="61"/>
      <c r="G195" s="77"/>
    </row>
    <row r="196" spans="2:7" x14ac:dyDescent="0.3">
      <c r="B196" s="73" t="str">
        <f t="shared" si="645"/>
        <v/>
      </c>
      <c r="C196" s="27"/>
      <c r="D196" s="28"/>
      <c r="E196" s="28"/>
      <c r="F196" s="61"/>
      <c r="G196" s="77"/>
    </row>
    <row r="197" spans="2:7" x14ac:dyDescent="0.3">
      <c r="B197" s="73" t="str">
        <f t="shared" si="645"/>
        <v/>
      </c>
      <c r="C197" s="27"/>
      <c r="D197" s="28"/>
      <c r="E197" s="28"/>
      <c r="F197" s="61"/>
      <c r="G197" s="77"/>
    </row>
    <row r="198" spans="2:7" x14ac:dyDescent="0.3">
      <c r="B198" s="73" t="str">
        <f t="shared" si="645"/>
        <v/>
      </c>
      <c r="C198" s="27"/>
      <c r="D198" s="28"/>
      <c r="E198" s="28"/>
      <c r="F198" s="61"/>
      <c r="G198" s="77"/>
    </row>
    <row r="199" spans="2:7" x14ac:dyDescent="0.3">
      <c r="B199" s="73" t="str">
        <f t="shared" si="645"/>
        <v/>
      </c>
      <c r="C199" s="27"/>
      <c r="D199" s="28"/>
      <c r="E199" s="28"/>
      <c r="F199" s="61"/>
      <c r="G199" s="77"/>
    </row>
    <row r="200" spans="2:7" x14ac:dyDescent="0.3">
      <c r="B200" s="73" t="str">
        <f t="shared" si="645"/>
        <v/>
      </c>
      <c r="C200" s="27"/>
      <c r="D200" s="28"/>
      <c r="E200" s="28"/>
      <c r="F200" s="61"/>
      <c r="G200" s="77"/>
    </row>
    <row r="201" spans="2:7" x14ac:dyDescent="0.3">
      <c r="B201" s="73" t="str">
        <f t="shared" si="645"/>
        <v/>
      </c>
      <c r="C201" s="27"/>
      <c r="D201" s="28"/>
      <c r="E201" s="28"/>
      <c r="F201" s="61"/>
      <c r="G201" s="77"/>
    </row>
    <row r="202" spans="2:7" x14ac:dyDescent="0.3">
      <c r="B202" s="73" t="str">
        <f t="shared" si="645"/>
        <v/>
      </c>
      <c r="C202" s="27"/>
      <c r="D202" s="28"/>
      <c r="E202" s="28"/>
      <c r="F202" s="61"/>
      <c r="G202" s="77"/>
    </row>
    <row r="203" spans="2:7" x14ac:dyDescent="0.3">
      <c r="B203" s="73" t="str">
        <f t="shared" si="645"/>
        <v/>
      </c>
      <c r="C203" s="27"/>
      <c r="D203" s="28"/>
      <c r="E203" s="28"/>
      <c r="F203" s="61"/>
      <c r="G203" s="77"/>
    </row>
    <row r="204" spans="2:7" x14ac:dyDescent="0.3">
      <c r="B204" s="73" t="str">
        <f t="shared" si="645"/>
        <v/>
      </c>
      <c r="C204" s="27"/>
      <c r="D204" s="28"/>
      <c r="E204" s="28"/>
      <c r="F204" s="61"/>
      <c r="G204" s="77"/>
    </row>
    <row r="205" spans="2:7" x14ac:dyDescent="0.3">
      <c r="B205" s="73" t="str">
        <f t="shared" si="645"/>
        <v/>
      </c>
      <c r="C205" s="27"/>
      <c r="D205" s="28"/>
      <c r="E205" s="28"/>
      <c r="F205" s="61"/>
      <c r="G205" s="77"/>
    </row>
    <row r="206" spans="2:7" x14ac:dyDescent="0.3">
      <c r="B206" s="73" t="str">
        <f t="shared" si="645"/>
        <v/>
      </c>
      <c r="C206" s="27"/>
      <c r="D206" s="28"/>
      <c r="E206" s="28"/>
      <c r="F206" s="61"/>
      <c r="G206" s="77"/>
    </row>
    <row r="207" spans="2:7" x14ac:dyDescent="0.3">
      <c r="B207" s="73" t="str">
        <f t="shared" si="645"/>
        <v/>
      </c>
      <c r="C207" s="27"/>
      <c r="D207" s="28"/>
      <c r="E207" s="28"/>
      <c r="F207" s="61"/>
      <c r="G207" s="77"/>
    </row>
    <row r="208" spans="2:7" x14ac:dyDescent="0.3">
      <c r="B208" s="73" t="str">
        <f t="shared" si="645"/>
        <v/>
      </c>
      <c r="C208" s="27"/>
      <c r="D208" s="28"/>
      <c r="E208" s="28"/>
      <c r="F208" s="61"/>
      <c r="G208" s="77"/>
    </row>
    <row r="209" spans="2:7" x14ac:dyDescent="0.3">
      <c r="B209" s="73" t="str">
        <f t="shared" si="645"/>
        <v/>
      </c>
      <c r="C209" s="27"/>
      <c r="D209" s="28"/>
      <c r="E209" s="28"/>
      <c r="F209" s="61"/>
      <c r="G209" s="77"/>
    </row>
    <row r="210" spans="2:7" x14ac:dyDescent="0.3">
      <c r="B210" s="73" t="str">
        <f t="shared" si="645"/>
        <v/>
      </c>
      <c r="C210" s="27"/>
      <c r="D210" s="28"/>
      <c r="E210" s="28"/>
      <c r="F210" s="61"/>
      <c r="G210" s="77"/>
    </row>
    <row r="211" spans="2:7" x14ac:dyDescent="0.3">
      <c r="B211" s="73" t="str">
        <f t="shared" si="645"/>
        <v/>
      </c>
      <c r="C211" s="27"/>
      <c r="D211" s="28"/>
      <c r="E211" s="28"/>
      <c r="F211" s="61"/>
      <c r="G211" s="77"/>
    </row>
    <row r="212" spans="2:7" x14ac:dyDescent="0.3">
      <c r="B212" s="73" t="str">
        <f t="shared" si="645"/>
        <v/>
      </c>
      <c r="C212" s="27"/>
      <c r="D212" s="28"/>
      <c r="E212" s="28"/>
      <c r="F212" s="61"/>
      <c r="G212" s="77"/>
    </row>
    <row r="213" spans="2:7" x14ac:dyDescent="0.3">
      <c r="B213" s="73" t="str">
        <f t="shared" si="645"/>
        <v/>
      </c>
      <c r="C213" s="27"/>
      <c r="D213" s="28"/>
      <c r="E213" s="28"/>
      <c r="F213" s="61"/>
      <c r="G213" s="77"/>
    </row>
    <row r="214" spans="2:7" x14ac:dyDescent="0.3">
      <c r="B214" s="73" t="str">
        <f t="shared" si="645"/>
        <v/>
      </c>
      <c r="C214" s="27"/>
      <c r="D214" s="28"/>
      <c r="E214" s="28"/>
      <c r="F214" s="61"/>
      <c r="G214" s="77"/>
    </row>
    <row r="215" spans="2:7" x14ac:dyDescent="0.3">
      <c r="B215" s="73" t="str">
        <f t="shared" si="645"/>
        <v/>
      </c>
      <c r="C215" s="27"/>
      <c r="D215" s="28"/>
      <c r="E215" s="28"/>
      <c r="F215" s="61"/>
      <c r="G215" s="77"/>
    </row>
    <row r="216" spans="2:7" x14ac:dyDescent="0.3">
      <c r="B216" s="73" t="str">
        <f t="shared" si="645"/>
        <v/>
      </c>
      <c r="C216" s="27"/>
      <c r="D216" s="28"/>
      <c r="E216" s="28"/>
      <c r="F216" s="61"/>
      <c r="G216" s="77"/>
    </row>
    <row r="217" spans="2:7" x14ac:dyDescent="0.3">
      <c r="B217" s="73" t="str">
        <f t="shared" si="645"/>
        <v/>
      </c>
      <c r="C217" s="27"/>
      <c r="D217" s="28"/>
      <c r="E217" s="28"/>
      <c r="F217" s="61"/>
      <c r="G217" s="77"/>
    </row>
    <row r="218" spans="2:7" x14ac:dyDescent="0.3">
      <c r="B218" s="73" t="str">
        <f t="shared" ref="B218:B281" si="646">IF(C218&lt;&gt;"",YEAR(C218),"")</f>
        <v/>
      </c>
      <c r="C218" s="29"/>
      <c r="D218" s="30"/>
      <c r="E218" s="30"/>
      <c r="F218" s="61"/>
      <c r="G218" s="77"/>
    </row>
    <row r="219" spans="2:7" x14ac:dyDescent="0.3">
      <c r="B219" s="73" t="str">
        <f t="shared" si="646"/>
        <v/>
      </c>
      <c r="C219" s="27"/>
      <c r="D219" s="28"/>
      <c r="E219" s="28"/>
      <c r="F219" s="61"/>
      <c r="G219" s="77"/>
    </row>
    <row r="220" spans="2:7" x14ac:dyDescent="0.3">
      <c r="B220" s="73" t="str">
        <f t="shared" si="646"/>
        <v/>
      </c>
      <c r="C220" s="27"/>
      <c r="D220" s="28"/>
      <c r="E220" s="28"/>
      <c r="F220" s="61"/>
      <c r="G220" s="77"/>
    </row>
    <row r="221" spans="2:7" x14ac:dyDescent="0.3">
      <c r="B221" s="73" t="str">
        <f t="shared" si="646"/>
        <v/>
      </c>
      <c r="C221" s="27"/>
      <c r="D221" s="28"/>
      <c r="E221" s="28"/>
      <c r="F221" s="61"/>
      <c r="G221" s="77"/>
    </row>
    <row r="222" spans="2:7" x14ac:dyDescent="0.3">
      <c r="B222" s="73" t="str">
        <f t="shared" si="646"/>
        <v/>
      </c>
      <c r="C222" s="27"/>
      <c r="D222" s="28"/>
      <c r="E222" s="28"/>
      <c r="F222" s="61"/>
      <c r="G222" s="77"/>
    </row>
    <row r="223" spans="2:7" x14ac:dyDescent="0.3">
      <c r="B223" s="73" t="str">
        <f t="shared" si="646"/>
        <v/>
      </c>
      <c r="C223" s="27"/>
      <c r="D223" s="28"/>
      <c r="E223" s="28"/>
      <c r="F223" s="61"/>
      <c r="G223" s="77"/>
    </row>
    <row r="224" spans="2:7" x14ac:dyDescent="0.3">
      <c r="B224" s="73" t="str">
        <f t="shared" si="646"/>
        <v/>
      </c>
      <c r="C224" s="27"/>
      <c r="D224" s="28"/>
      <c r="E224" s="28"/>
      <c r="F224" s="61"/>
      <c r="G224" s="77"/>
    </row>
    <row r="225" spans="2:7" x14ac:dyDescent="0.3">
      <c r="B225" s="73" t="str">
        <f t="shared" si="646"/>
        <v/>
      </c>
      <c r="C225" s="27"/>
      <c r="D225" s="28"/>
      <c r="E225" s="28"/>
      <c r="F225" s="61"/>
      <c r="G225" s="77"/>
    </row>
    <row r="226" spans="2:7" x14ac:dyDescent="0.3">
      <c r="B226" s="73" t="str">
        <f t="shared" si="646"/>
        <v/>
      </c>
      <c r="C226" s="27"/>
      <c r="D226" s="28"/>
      <c r="E226" s="28"/>
      <c r="F226" s="61"/>
      <c r="G226" s="77"/>
    </row>
    <row r="227" spans="2:7" x14ac:dyDescent="0.3">
      <c r="B227" s="73" t="str">
        <f t="shared" si="646"/>
        <v/>
      </c>
      <c r="C227" s="27"/>
      <c r="D227" s="28"/>
      <c r="E227" s="28"/>
      <c r="F227" s="61"/>
      <c r="G227" s="77"/>
    </row>
    <row r="228" spans="2:7" x14ac:dyDescent="0.3">
      <c r="B228" s="73" t="str">
        <f t="shared" si="646"/>
        <v/>
      </c>
      <c r="C228" s="27"/>
      <c r="D228" s="28"/>
      <c r="E228" s="28"/>
      <c r="F228" s="61"/>
      <c r="G228" s="77"/>
    </row>
    <row r="229" spans="2:7" x14ac:dyDescent="0.3">
      <c r="B229" s="73" t="str">
        <f t="shared" si="646"/>
        <v/>
      </c>
      <c r="C229" s="27"/>
      <c r="D229" s="28"/>
      <c r="E229" s="28"/>
      <c r="F229" s="61"/>
      <c r="G229" s="77"/>
    </row>
    <row r="230" spans="2:7" x14ac:dyDescent="0.3">
      <c r="B230" s="73" t="str">
        <f t="shared" si="646"/>
        <v/>
      </c>
      <c r="C230" s="27"/>
      <c r="D230" s="28"/>
      <c r="E230" s="28"/>
      <c r="F230" s="61"/>
      <c r="G230" s="77"/>
    </row>
    <row r="231" spans="2:7" x14ac:dyDescent="0.3">
      <c r="B231" s="73" t="str">
        <f t="shared" si="646"/>
        <v/>
      </c>
      <c r="C231" s="27"/>
      <c r="D231" s="28"/>
      <c r="E231" s="28"/>
      <c r="F231" s="61"/>
      <c r="G231" s="77"/>
    </row>
    <row r="232" spans="2:7" x14ac:dyDescent="0.3">
      <c r="B232" s="73" t="str">
        <f t="shared" si="646"/>
        <v/>
      </c>
      <c r="C232" s="27"/>
      <c r="D232" s="28"/>
      <c r="E232" s="28"/>
      <c r="F232" s="61"/>
      <c r="G232" s="77"/>
    </row>
    <row r="233" spans="2:7" x14ac:dyDescent="0.3">
      <c r="B233" s="73" t="str">
        <f t="shared" si="646"/>
        <v/>
      </c>
      <c r="C233" s="27"/>
      <c r="D233" s="28"/>
      <c r="E233" s="28"/>
      <c r="F233" s="61"/>
      <c r="G233" s="77"/>
    </row>
    <row r="234" spans="2:7" x14ac:dyDescent="0.3">
      <c r="B234" s="73" t="str">
        <f t="shared" si="646"/>
        <v/>
      </c>
      <c r="C234" s="27"/>
      <c r="D234" s="28"/>
      <c r="E234" s="28"/>
      <c r="F234" s="61"/>
      <c r="G234" s="77"/>
    </row>
    <row r="235" spans="2:7" x14ac:dyDescent="0.3">
      <c r="B235" s="73" t="str">
        <f t="shared" si="646"/>
        <v/>
      </c>
      <c r="C235" s="27"/>
      <c r="D235" s="28"/>
      <c r="E235" s="28"/>
      <c r="F235" s="61"/>
      <c r="G235" s="77"/>
    </row>
    <row r="236" spans="2:7" x14ac:dyDescent="0.3">
      <c r="B236" s="73" t="str">
        <f t="shared" si="646"/>
        <v/>
      </c>
      <c r="C236" s="27"/>
      <c r="D236" s="28"/>
      <c r="E236" s="28"/>
      <c r="F236" s="61"/>
      <c r="G236" s="77"/>
    </row>
    <row r="237" spans="2:7" x14ac:dyDescent="0.3">
      <c r="B237" s="73" t="str">
        <f t="shared" si="646"/>
        <v/>
      </c>
      <c r="C237" s="27"/>
      <c r="D237" s="28"/>
      <c r="E237" s="28"/>
      <c r="F237" s="61"/>
      <c r="G237" s="77"/>
    </row>
    <row r="238" spans="2:7" x14ac:dyDescent="0.3">
      <c r="B238" s="73" t="str">
        <f t="shared" si="646"/>
        <v/>
      </c>
      <c r="C238" s="27"/>
      <c r="D238" s="28"/>
      <c r="E238" s="28"/>
      <c r="F238" s="61"/>
      <c r="G238" s="77"/>
    </row>
    <row r="239" spans="2:7" x14ac:dyDescent="0.3">
      <c r="B239" s="73" t="str">
        <f t="shared" si="646"/>
        <v/>
      </c>
      <c r="C239" s="27"/>
      <c r="D239" s="28"/>
      <c r="E239" s="28"/>
      <c r="F239" s="61"/>
      <c r="G239" s="77"/>
    </row>
    <row r="240" spans="2:7" x14ac:dyDescent="0.3">
      <c r="B240" s="73" t="str">
        <f t="shared" si="646"/>
        <v/>
      </c>
      <c r="C240" s="27"/>
      <c r="D240" s="28"/>
      <c r="E240" s="28"/>
      <c r="F240" s="61"/>
      <c r="G240" s="77"/>
    </row>
    <row r="241" spans="2:7" x14ac:dyDescent="0.3">
      <c r="B241" s="73" t="str">
        <f t="shared" si="646"/>
        <v/>
      </c>
      <c r="C241" s="27"/>
      <c r="D241" s="28"/>
      <c r="E241" s="28"/>
      <c r="F241" s="61"/>
      <c r="G241" s="77"/>
    </row>
    <row r="242" spans="2:7" x14ac:dyDescent="0.3">
      <c r="B242" s="73" t="str">
        <f t="shared" si="646"/>
        <v/>
      </c>
      <c r="C242" s="27"/>
      <c r="D242" s="28"/>
      <c r="E242" s="28"/>
      <c r="F242" s="61"/>
      <c r="G242" s="77"/>
    </row>
    <row r="243" spans="2:7" x14ac:dyDescent="0.3">
      <c r="B243" s="73" t="str">
        <f t="shared" si="646"/>
        <v/>
      </c>
      <c r="C243" s="27"/>
      <c r="D243" s="28"/>
      <c r="E243" s="28"/>
      <c r="F243" s="61"/>
      <c r="G243" s="77"/>
    </row>
    <row r="244" spans="2:7" x14ac:dyDescent="0.3">
      <c r="B244" s="73" t="str">
        <f t="shared" si="646"/>
        <v/>
      </c>
      <c r="C244" s="27"/>
      <c r="D244" s="28"/>
      <c r="E244" s="28"/>
      <c r="F244" s="61"/>
      <c r="G244" s="77"/>
    </row>
    <row r="245" spans="2:7" x14ac:dyDescent="0.3">
      <c r="B245" s="73" t="str">
        <f t="shared" si="646"/>
        <v/>
      </c>
      <c r="C245" s="27"/>
      <c r="D245" s="28"/>
      <c r="E245" s="28"/>
      <c r="F245" s="61"/>
      <c r="G245" s="77"/>
    </row>
    <row r="246" spans="2:7" x14ac:dyDescent="0.3">
      <c r="B246" s="73" t="str">
        <f t="shared" si="646"/>
        <v/>
      </c>
      <c r="C246" s="27"/>
      <c r="D246" s="28"/>
      <c r="E246" s="28"/>
      <c r="F246" s="61"/>
      <c r="G246" s="77"/>
    </row>
    <row r="247" spans="2:7" x14ac:dyDescent="0.3">
      <c r="B247" s="73" t="str">
        <f t="shared" si="646"/>
        <v/>
      </c>
      <c r="C247" s="27"/>
      <c r="D247" s="28"/>
      <c r="E247" s="28"/>
      <c r="F247" s="61"/>
      <c r="G247" s="77"/>
    </row>
    <row r="248" spans="2:7" x14ac:dyDescent="0.3">
      <c r="B248" s="73" t="str">
        <f t="shared" si="646"/>
        <v/>
      </c>
      <c r="C248" s="27"/>
      <c r="D248" s="28"/>
      <c r="E248" s="28"/>
      <c r="F248" s="61"/>
      <c r="G248" s="77"/>
    </row>
    <row r="249" spans="2:7" x14ac:dyDescent="0.3">
      <c r="B249" s="73" t="str">
        <f t="shared" si="646"/>
        <v/>
      </c>
      <c r="C249" s="27"/>
      <c r="D249" s="28"/>
      <c r="E249" s="28"/>
      <c r="F249" s="61"/>
      <c r="G249" s="77"/>
    </row>
    <row r="250" spans="2:7" x14ac:dyDescent="0.3">
      <c r="B250" s="73" t="str">
        <f t="shared" si="646"/>
        <v/>
      </c>
      <c r="C250" s="27"/>
      <c r="D250" s="28"/>
      <c r="E250" s="28"/>
      <c r="F250" s="61"/>
      <c r="G250" s="77"/>
    </row>
    <row r="251" spans="2:7" x14ac:dyDescent="0.3">
      <c r="B251" s="73" t="str">
        <f t="shared" si="646"/>
        <v/>
      </c>
      <c r="C251" s="27"/>
      <c r="D251" s="28"/>
      <c r="E251" s="28"/>
      <c r="F251" s="61"/>
      <c r="G251" s="77"/>
    </row>
    <row r="252" spans="2:7" x14ac:dyDescent="0.3">
      <c r="B252" s="73" t="str">
        <f t="shared" si="646"/>
        <v/>
      </c>
      <c r="C252" s="27"/>
      <c r="D252" s="28"/>
      <c r="E252" s="28"/>
      <c r="F252" s="61"/>
      <c r="G252" s="77"/>
    </row>
    <row r="253" spans="2:7" x14ac:dyDescent="0.3">
      <c r="B253" s="73" t="str">
        <f t="shared" si="646"/>
        <v/>
      </c>
      <c r="C253" s="27"/>
      <c r="D253" s="28"/>
      <c r="E253" s="28"/>
      <c r="F253" s="61"/>
      <c r="G253" s="77"/>
    </row>
    <row r="254" spans="2:7" x14ac:dyDescent="0.3">
      <c r="B254" s="73" t="str">
        <f t="shared" si="646"/>
        <v/>
      </c>
      <c r="C254" s="27"/>
      <c r="D254" s="28"/>
      <c r="E254" s="28"/>
      <c r="F254" s="61"/>
      <c r="G254" s="77"/>
    </row>
    <row r="255" spans="2:7" x14ac:dyDescent="0.3">
      <c r="B255" s="73" t="str">
        <f t="shared" si="646"/>
        <v/>
      </c>
      <c r="C255" s="27"/>
      <c r="D255" s="28"/>
      <c r="E255" s="28"/>
      <c r="F255" s="61"/>
      <c r="G255" s="77"/>
    </row>
    <row r="256" spans="2:7" x14ac:dyDescent="0.3">
      <c r="B256" s="73" t="str">
        <f t="shared" si="646"/>
        <v/>
      </c>
      <c r="C256" s="27"/>
      <c r="D256" s="28"/>
      <c r="E256" s="28"/>
      <c r="F256" s="61"/>
      <c r="G256" s="77"/>
    </row>
    <row r="257" spans="2:7" x14ac:dyDescent="0.3">
      <c r="B257" s="73" t="str">
        <f t="shared" si="646"/>
        <v/>
      </c>
      <c r="C257" s="27"/>
      <c r="D257" s="28"/>
      <c r="E257" s="28"/>
      <c r="F257" s="61"/>
      <c r="G257" s="77"/>
    </row>
    <row r="258" spans="2:7" x14ac:dyDescent="0.3">
      <c r="B258" s="73" t="str">
        <f t="shared" si="646"/>
        <v/>
      </c>
      <c r="C258" s="27"/>
      <c r="D258" s="28"/>
      <c r="E258" s="28"/>
      <c r="F258" s="61"/>
      <c r="G258" s="77"/>
    </row>
    <row r="259" spans="2:7" x14ac:dyDescent="0.3">
      <c r="B259" s="73" t="str">
        <f t="shared" si="646"/>
        <v/>
      </c>
      <c r="C259" s="27"/>
      <c r="D259" s="28"/>
      <c r="E259" s="28"/>
      <c r="F259" s="61"/>
      <c r="G259" s="77"/>
    </row>
    <row r="260" spans="2:7" x14ac:dyDescent="0.3">
      <c r="B260" s="73" t="str">
        <f t="shared" si="646"/>
        <v/>
      </c>
      <c r="C260" s="27"/>
      <c r="D260" s="28"/>
      <c r="E260" s="28"/>
      <c r="F260" s="61"/>
      <c r="G260" s="77"/>
    </row>
    <row r="261" spans="2:7" x14ac:dyDescent="0.3">
      <c r="B261" s="73" t="str">
        <f t="shared" si="646"/>
        <v/>
      </c>
      <c r="C261" s="27"/>
      <c r="D261" s="28"/>
      <c r="E261" s="28"/>
      <c r="F261" s="61"/>
      <c r="G261" s="77"/>
    </row>
    <row r="262" spans="2:7" x14ac:dyDescent="0.3">
      <c r="B262" s="73" t="str">
        <f t="shared" si="646"/>
        <v/>
      </c>
      <c r="C262" s="27"/>
      <c r="D262" s="28"/>
      <c r="E262" s="28"/>
      <c r="F262" s="61"/>
      <c r="G262" s="77"/>
    </row>
    <row r="263" spans="2:7" x14ac:dyDescent="0.3">
      <c r="B263" s="73" t="str">
        <f t="shared" si="646"/>
        <v/>
      </c>
      <c r="C263" s="29"/>
      <c r="D263" s="30"/>
      <c r="E263" s="30"/>
      <c r="F263" s="61"/>
      <c r="G263" s="77"/>
    </row>
    <row r="264" spans="2:7" x14ac:dyDescent="0.3">
      <c r="B264" s="73" t="str">
        <f t="shared" si="646"/>
        <v/>
      </c>
      <c r="C264" s="29"/>
      <c r="D264" s="30"/>
      <c r="E264" s="30"/>
      <c r="F264" s="61"/>
      <c r="G264" s="77"/>
    </row>
    <row r="265" spans="2:7" x14ac:dyDescent="0.3">
      <c r="B265" s="73" t="str">
        <f t="shared" si="646"/>
        <v/>
      </c>
      <c r="C265" s="29"/>
      <c r="D265" s="30"/>
      <c r="E265" s="30"/>
      <c r="F265" s="61"/>
      <c r="G265" s="77"/>
    </row>
    <row r="266" spans="2:7" x14ac:dyDescent="0.3">
      <c r="B266" s="73" t="str">
        <f t="shared" si="646"/>
        <v/>
      </c>
      <c r="C266" s="29"/>
      <c r="D266" s="30"/>
      <c r="E266" s="30"/>
      <c r="F266" s="61"/>
      <c r="G266" s="77"/>
    </row>
    <row r="267" spans="2:7" ht="15" thickBot="1" x14ac:dyDescent="0.35">
      <c r="B267" s="73" t="str">
        <f t="shared" si="646"/>
        <v/>
      </c>
      <c r="C267" s="71"/>
      <c r="D267" s="72"/>
      <c r="E267" s="72"/>
      <c r="F267" s="61"/>
      <c r="G267" s="77"/>
    </row>
    <row r="268" spans="2:7" x14ac:dyDescent="0.3">
      <c r="B268" s="73" t="str">
        <f t="shared" si="646"/>
        <v/>
      </c>
      <c r="C268" s="38"/>
      <c r="D268" s="21"/>
      <c r="E268" s="21"/>
      <c r="F268" s="61"/>
      <c r="G268" s="77"/>
    </row>
    <row r="269" spans="2:7" x14ac:dyDescent="0.3">
      <c r="B269" s="73" t="str">
        <f t="shared" si="646"/>
        <v/>
      </c>
      <c r="F269" s="61"/>
      <c r="G269" s="77"/>
    </row>
    <row r="270" spans="2:7" x14ac:dyDescent="0.3">
      <c r="B270" s="73" t="str">
        <f t="shared" si="646"/>
        <v/>
      </c>
      <c r="F270" s="61"/>
      <c r="G270" s="77"/>
    </row>
    <row r="271" spans="2:7" x14ac:dyDescent="0.3">
      <c r="B271" s="73" t="str">
        <f t="shared" si="646"/>
        <v/>
      </c>
      <c r="F271" s="61"/>
      <c r="G271" s="77"/>
    </row>
    <row r="272" spans="2:7" x14ac:dyDescent="0.3">
      <c r="B272" s="73" t="str">
        <f t="shared" si="646"/>
        <v/>
      </c>
      <c r="F272" s="61"/>
      <c r="G272" s="77"/>
    </row>
    <row r="273" spans="2:7" x14ac:dyDescent="0.3">
      <c r="B273" s="73" t="str">
        <f t="shared" si="646"/>
        <v/>
      </c>
      <c r="F273" s="61"/>
      <c r="G273" s="77"/>
    </row>
    <row r="274" spans="2:7" x14ac:dyDescent="0.3">
      <c r="B274" s="73" t="str">
        <f t="shared" si="646"/>
        <v/>
      </c>
      <c r="F274" s="61"/>
      <c r="G274" s="77"/>
    </row>
    <row r="275" spans="2:7" x14ac:dyDescent="0.3">
      <c r="B275" s="73" t="str">
        <f t="shared" si="646"/>
        <v/>
      </c>
      <c r="F275" s="61"/>
      <c r="G275" s="77"/>
    </row>
    <row r="276" spans="2:7" x14ac:dyDescent="0.3">
      <c r="B276" s="73" t="str">
        <f t="shared" si="646"/>
        <v/>
      </c>
      <c r="F276" s="61"/>
      <c r="G276" s="77"/>
    </row>
    <row r="277" spans="2:7" x14ac:dyDescent="0.3">
      <c r="B277" s="73" t="str">
        <f t="shared" si="646"/>
        <v/>
      </c>
      <c r="F277" s="61"/>
      <c r="G277" s="77"/>
    </row>
    <row r="278" spans="2:7" x14ac:dyDescent="0.3">
      <c r="B278" s="73" t="str">
        <f t="shared" si="646"/>
        <v/>
      </c>
      <c r="F278" s="61"/>
      <c r="G278" s="77"/>
    </row>
    <row r="279" spans="2:7" x14ac:dyDescent="0.3">
      <c r="B279" s="73" t="str">
        <f t="shared" si="646"/>
        <v/>
      </c>
      <c r="F279" s="61"/>
      <c r="G279" s="77"/>
    </row>
    <row r="280" spans="2:7" x14ac:dyDescent="0.3">
      <c r="B280" s="73" t="str">
        <f t="shared" si="646"/>
        <v/>
      </c>
      <c r="F280" s="61"/>
      <c r="G280" s="77"/>
    </row>
    <row r="281" spans="2:7" x14ac:dyDescent="0.3">
      <c r="B281" s="73" t="str">
        <f t="shared" si="646"/>
        <v/>
      </c>
      <c r="F281" s="61"/>
      <c r="G281" s="77"/>
    </row>
    <row r="282" spans="2:7" x14ac:dyDescent="0.3">
      <c r="B282" s="73" t="str">
        <f t="shared" ref="B282:B301" si="647">IF(C282&lt;&gt;"",YEAR(C282),"")</f>
        <v/>
      </c>
      <c r="F282" s="61"/>
      <c r="G282" s="77"/>
    </row>
    <row r="283" spans="2:7" x14ac:dyDescent="0.3">
      <c r="B283" s="73" t="str">
        <f t="shared" si="647"/>
        <v/>
      </c>
      <c r="F283" s="61"/>
      <c r="G283" s="77"/>
    </row>
    <row r="284" spans="2:7" x14ac:dyDescent="0.3">
      <c r="B284" s="73" t="str">
        <f t="shared" si="647"/>
        <v/>
      </c>
      <c r="F284" s="61"/>
      <c r="G284" s="77"/>
    </row>
    <row r="285" spans="2:7" x14ac:dyDescent="0.3">
      <c r="B285" s="73" t="str">
        <f t="shared" si="647"/>
        <v/>
      </c>
      <c r="F285" s="61"/>
      <c r="G285" s="77"/>
    </row>
    <row r="286" spans="2:7" x14ac:dyDescent="0.3">
      <c r="B286" s="73" t="str">
        <f t="shared" si="647"/>
        <v/>
      </c>
      <c r="F286" s="61"/>
      <c r="G286" s="77"/>
    </row>
    <row r="287" spans="2:7" x14ac:dyDescent="0.3">
      <c r="B287" s="73" t="str">
        <f t="shared" si="647"/>
        <v/>
      </c>
      <c r="F287" s="61"/>
      <c r="G287" s="77"/>
    </row>
    <row r="288" spans="2:7" x14ac:dyDescent="0.3">
      <c r="B288" s="73" t="str">
        <f t="shared" si="647"/>
        <v/>
      </c>
      <c r="F288" s="61"/>
      <c r="G288" s="77"/>
    </row>
    <row r="289" spans="2:61" x14ac:dyDescent="0.3">
      <c r="B289" s="73" t="str">
        <f t="shared" si="647"/>
        <v/>
      </c>
      <c r="F289" s="61"/>
      <c r="G289" s="77"/>
    </row>
    <row r="290" spans="2:61" x14ac:dyDescent="0.3">
      <c r="B290" s="73" t="str">
        <f t="shared" si="647"/>
        <v/>
      </c>
      <c r="F290" s="61"/>
      <c r="G290" s="77"/>
    </row>
    <row r="291" spans="2:61" x14ac:dyDescent="0.3">
      <c r="B291" s="73" t="str">
        <f t="shared" si="647"/>
        <v/>
      </c>
      <c r="F291" s="61"/>
      <c r="G291" s="77"/>
    </row>
    <row r="292" spans="2:61" x14ac:dyDescent="0.3">
      <c r="B292" s="73" t="str">
        <f t="shared" si="647"/>
        <v/>
      </c>
      <c r="F292" s="61"/>
      <c r="G292" s="77"/>
    </row>
    <row r="293" spans="2:61" x14ac:dyDescent="0.3">
      <c r="B293" s="73" t="str">
        <f t="shared" si="647"/>
        <v/>
      </c>
      <c r="F293" s="61"/>
      <c r="G293" s="77"/>
    </row>
    <row r="294" spans="2:61" x14ac:dyDescent="0.3">
      <c r="B294" s="73" t="str">
        <f t="shared" si="647"/>
        <v/>
      </c>
      <c r="F294" s="61"/>
      <c r="G294" s="77"/>
    </row>
    <row r="295" spans="2:61" x14ac:dyDescent="0.3">
      <c r="B295" s="73" t="str">
        <f t="shared" si="647"/>
        <v/>
      </c>
      <c r="F295" s="61"/>
      <c r="G295" s="77"/>
    </row>
    <row r="296" spans="2:61" x14ac:dyDescent="0.3">
      <c r="B296" s="73" t="str">
        <f t="shared" si="647"/>
        <v/>
      </c>
      <c r="F296" s="61"/>
      <c r="G296" s="77"/>
    </row>
    <row r="297" spans="2:61" x14ac:dyDescent="0.3">
      <c r="B297" s="73" t="str">
        <f t="shared" si="647"/>
        <v/>
      </c>
      <c r="F297" s="61"/>
      <c r="G297" s="77"/>
    </row>
    <row r="298" spans="2:61" x14ac:dyDescent="0.3">
      <c r="B298" s="73" t="str">
        <f t="shared" si="647"/>
        <v/>
      </c>
      <c r="F298" s="61"/>
      <c r="G298" s="77"/>
    </row>
    <row r="299" spans="2:61" x14ac:dyDescent="0.3">
      <c r="B299" s="73" t="str">
        <f t="shared" si="647"/>
        <v/>
      </c>
      <c r="F299" s="61"/>
      <c r="G299" s="77"/>
    </row>
    <row r="300" spans="2:61" x14ac:dyDescent="0.3">
      <c r="B300" s="73" t="str">
        <f t="shared" si="647"/>
        <v/>
      </c>
      <c r="F300" s="61"/>
      <c r="G300" s="77"/>
    </row>
    <row r="301" spans="2:61" ht="15" thickBot="1" x14ac:dyDescent="0.35">
      <c r="B301" s="74" t="str">
        <f t="shared" si="647"/>
        <v/>
      </c>
      <c r="F301" s="65"/>
      <c r="G301" s="78"/>
    </row>
    <row r="302" spans="2:61" s="21" customFormat="1" x14ac:dyDescent="0.3">
      <c r="C302" s="7"/>
      <c r="D302" s="6"/>
      <c r="E302" s="6"/>
      <c r="BG302" s="6"/>
      <c r="BI302" s="6"/>
    </row>
  </sheetData>
  <mergeCells count="15">
    <mergeCell ref="B2:G2"/>
    <mergeCell ref="B23:E23"/>
    <mergeCell ref="L8:Y8"/>
    <mergeCell ref="AB8:AO8"/>
    <mergeCell ref="AR8:BE8"/>
    <mergeCell ref="K2:BE4"/>
    <mergeCell ref="L35:Y35"/>
    <mergeCell ref="AB35:AO35"/>
    <mergeCell ref="AR35:BE35"/>
    <mergeCell ref="L17:Y17"/>
    <mergeCell ref="AB17:AO17"/>
    <mergeCell ref="AR17:BE17"/>
    <mergeCell ref="L26:Y26"/>
    <mergeCell ref="AB26:AO26"/>
    <mergeCell ref="AR26:BE26"/>
  </mergeCells>
  <conditionalFormatting sqref="C25:C267">
    <cfRule type="containsBlanks" dxfId="10" priority="453">
      <formula>LEN(TRIM(C25))=0</formula>
    </cfRule>
  </conditionalFormatting>
  <conditionalFormatting sqref="L10:Y15 AB10:AO15 AR10:BE15 L19:Y24 AB19:AO24 AR19:BE24 L28:Y33 AB28:AO33 AR28:BE33 L37:Y42 AB37:AO42 AR37:BE42">
    <cfRule type="expression" dxfId="9" priority="1">
      <formula>SL10</formula>
    </cfRule>
    <cfRule type="expression" dxfId="8" priority="2">
      <formula>QN10</formula>
    </cfRule>
    <cfRule type="expression" dxfId="7" priority="445">
      <formula>OP10</formula>
    </cfRule>
    <cfRule type="expression" dxfId="6" priority="446">
      <formula>MS10</formula>
    </cfRule>
    <cfRule type="expression" dxfId="5" priority="447">
      <formula>KV10</formula>
    </cfRule>
    <cfRule type="expression" dxfId="4" priority="448">
      <formula>IY10</formula>
    </cfRule>
    <cfRule type="expression" dxfId="3" priority="449">
      <formula>HB10</formula>
    </cfRule>
    <cfRule type="expression" dxfId="2" priority="450">
      <formula>FE10</formula>
    </cfRule>
  </conditionalFormatting>
  <pageMargins left="0.70866141732283472" right="0.70866141732283472" top="0.74803149606299213" bottom="0.74803149606299213" header="0.31496062992125984" footer="0.31496062992125984"/>
  <pageSetup paperSize="9" scale="51" orientation="portrait" horizontalDpi="360" verticalDpi="36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51" id="{82DF2310-8A4C-4DE6-B747-37AC8CE762C6}">
            <xm:f>IF(OR(L10&lt;&gt;"",K10&lt;&gt;""),IF(INDEX($E$13:$F$19,L$6,L$7)=Parameters!$I$4,1,0),0)</xm:f>
            <x14:dxf>
              <fill>
                <patternFill>
                  <bgColor theme="7" tint="0.79998168889431442"/>
                </patternFill>
              </fill>
            </x14:dxf>
          </x14:cfRule>
          <x14:cfRule type="expression" priority="452" id="{5D27C766-5C54-406E-9AB3-985017B3BD70}">
            <xm:f>IF(OR(L10&lt;&gt;"",K10&lt;&gt;""),IF(INDEX($E$13:$F$19,L$6,L$7)=Parameters!$I$3,1,0),0)</xm:f>
            <x14:dxf>
              <fill>
                <patternFill>
                  <bgColor theme="9" tint="0.79998168889431442"/>
                </patternFill>
              </fill>
            </x14:dxf>
          </x14:cfRule>
          <xm:sqref>L10:Y15 AB10:AO15 AR10:BE15 L19:Y24 AB19:AO24 AR19:BE24 L28:Y33 AB28:AO33 AR28:BE33 L37:Y42 AB37:AO42 AR37:BE42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3D5709A-F47E-4A71-B313-C4D1974F8FF3}">
          <x14:formula1>
            <xm:f>Parameters!$I$2:$I$4</xm:f>
          </x14:formula1>
          <xm:sqref>E13:G19</xm:sqref>
        </x14:dataValidation>
        <x14:dataValidation type="list" allowBlank="1" showInputMessage="1" showErrorMessage="1" xr:uid="{BBAE5C26-2294-46C0-AC71-02D7191666B3}">
          <x14:formula1>
            <xm:f>Parameters!$C$2:$C$3</xm:f>
          </x14:formula1>
          <xm:sqref>D3</xm:sqref>
        </x14:dataValidation>
        <x14:dataValidation type="list" allowBlank="1" showInputMessage="1" showErrorMessage="1" xr:uid="{2A781711-6CE5-49F9-975C-3D8336E33938}">
          <x14:formula1>
            <xm:f>Parameters!$E$2:$E$3</xm:f>
          </x14:formula1>
          <xm:sqref>D4</xm:sqref>
        </x14:dataValidation>
        <x14:dataValidation type="list" allowBlank="1" showInputMessage="1" showErrorMessage="1" xr:uid="{6AC55B98-B89A-4D31-8446-2B3A0F57AF2A}">
          <x14:formula1>
            <xm:f>Parameters!$O$2:$O$4</xm:f>
          </x14:formula1>
          <xm:sqref>D10</xm:sqref>
        </x14:dataValidation>
        <x14:dataValidation type="list" allowBlank="1" showInputMessage="1" showErrorMessage="1" xr:uid="{120AE9E9-B4BB-4917-9A95-6D2774E0E22C}">
          <x14:formula1>
            <xm:f>Parameters!$G$2:$G$7</xm:f>
          </x14:formula1>
          <xm:sqref>BF4</xm:sqref>
        </x14:dataValidation>
        <x14:dataValidation type="list" allowBlank="1" showInputMessage="1" showErrorMessage="1" xr:uid="{E9C11AB6-1876-4577-9CF8-D9D665852DCB}">
          <x14:formula1>
            <xm:f>Parameters!$K$2:$K$4</xm:f>
          </x14:formula1>
          <xm:sqref>D25:D267</xm:sqref>
        </x14:dataValidation>
        <x14:dataValidation type="list" allowBlank="1" showInputMessage="1" showErrorMessage="1" xr:uid="{6B6DA5B2-EA42-4D45-AB01-3A8950E86D15}">
          <x14:formula1>
            <xm:f>Parameters!$M$2:$M$7</xm:f>
          </x14:formula1>
          <xm:sqref>E25:E267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6BAD-5DE5-45EE-92C4-823EE502CCE2}">
  <dimension ref="B2"/>
  <sheetViews>
    <sheetView workbookViewId="0">
      <selection activeCell="B3" sqref="B3"/>
    </sheetView>
  </sheetViews>
  <sheetFormatPr defaultColWidth="9.109375" defaultRowHeight="14.4" x14ac:dyDescent="0.3"/>
  <sheetData>
    <row r="2" spans="2:2" x14ac:dyDescent="0.3">
      <c r="B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1C4B-18DF-4A57-8F59-235223A31C16}">
  <dimension ref="A1:Z827"/>
  <sheetViews>
    <sheetView topLeftCell="S800" workbookViewId="0">
      <selection activeCell="Y817" sqref="Y817"/>
    </sheetView>
  </sheetViews>
  <sheetFormatPr defaultColWidth="9.109375" defaultRowHeight="14.4" x14ac:dyDescent="0.3"/>
  <cols>
    <col min="3" max="3" width="10.6640625" customWidth="1"/>
    <col min="4" max="4" width="10.44140625" customWidth="1"/>
    <col min="9" max="9" width="12.33203125" bestFit="1" customWidth="1"/>
    <col min="13" max="13" width="10.6640625" customWidth="1"/>
    <col min="17" max="17" width="10.5546875" customWidth="1"/>
    <col min="18" max="18" width="9.109375" customWidth="1"/>
    <col min="20" max="20" width="10.109375" bestFit="1" customWidth="1"/>
    <col min="23" max="23" width="13.5546875" customWidth="1"/>
    <col min="24" max="24" width="11.6640625" customWidth="1"/>
  </cols>
  <sheetData>
    <row r="1" spans="1:26" x14ac:dyDescent="0.3">
      <c r="A1" t="s">
        <v>28</v>
      </c>
      <c r="C1" t="s">
        <v>13</v>
      </c>
      <c r="E1" t="s">
        <v>0</v>
      </c>
      <c r="G1" t="s">
        <v>76</v>
      </c>
      <c r="I1" t="s">
        <v>1</v>
      </c>
      <c r="K1" t="s">
        <v>29</v>
      </c>
      <c r="M1" t="s">
        <v>34</v>
      </c>
      <c r="O1" t="s">
        <v>42</v>
      </c>
      <c r="Q1" t="s">
        <v>26</v>
      </c>
      <c r="R1" t="s">
        <v>27</v>
      </c>
      <c r="S1" t="s">
        <v>19</v>
      </c>
      <c r="T1" t="s">
        <v>32</v>
      </c>
      <c r="U1" t="s">
        <v>33</v>
      </c>
      <c r="W1" t="s">
        <v>48</v>
      </c>
      <c r="X1" t="s">
        <v>46</v>
      </c>
      <c r="Y1" t="s">
        <v>19</v>
      </c>
      <c r="Z1" t="s">
        <v>47</v>
      </c>
    </row>
    <row r="2" spans="1:26" x14ac:dyDescent="0.3">
      <c r="A2">
        <v>2</v>
      </c>
      <c r="C2" t="s">
        <v>14</v>
      </c>
      <c r="E2" t="s">
        <v>12</v>
      </c>
      <c r="G2" t="s">
        <v>77</v>
      </c>
      <c r="I2" t="s">
        <v>16</v>
      </c>
      <c r="K2" t="s">
        <v>30</v>
      </c>
      <c r="M2" t="s">
        <v>36</v>
      </c>
      <c r="O2" t="s">
        <v>43</v>
      </c>
      <c r="Q2" s="25">
        <v>46022</v>
      </c>
      <c r="R2" s="26" t="s">
        <v>30</v>
      </c>
      <c r="S2" t="s">
        <v>12</v>
      </c>
      <c r="T2" t="str">
        <f>dPublicHoliday[[#This Row],[Jour ferié]]&amp;"_"&amp;dPublicHoliday[[#This Row],[Canton]]</f>
        <v>46022_GE</v>
      </c>
      <c r="U2">
        <v>1</v>
      </c>
      <c r="W2">
        <f t="shared" ref="W2:W65" si="0">WEEKDAY(X2,2)</f>
        <v>6</v>
      </c>
      <c r="X2" s="25">
        <v>44562</v>
      </c>
      <c r="Y2" t="s">
        <v>12</v>
      </c>
    </row>
    <row r="3" spans="1:26" x14ac:dyDescent="0.3">
      <c r="C3" t="s">
        <v>15</v>
      </c>
      <c r="E3" t="s">
        <v>11</v>
      </c>
      <c r="G3" t="s">
        <v>12</v>
      </c>
      <c r="I3" t="s">
        <v>17</v>
      </c>
      <c r="K3" t="s">
        <v>9</v>
      </c>
      <c r="M3" t="s">
        <v>35</v>
      </c>
      <c r="O3" t="s">
        <v>44</v>
      </c>
      <c r="Q3" s="25">
        <v>46016</v>
      </c>
      <c r="R3" s="26" t="s">
        <v>30</v>
      </c>
      <c r="S3" t="s">
        <v>12</v>
      </c>
      <c r="T3" t="str">
        <f>dPublicHoliday[[#This Row],[Jour ferié]]&amp;"_"&amp;dPublicHoliday[[#This Row],[Canton]]</f>
        <v>46016_GE</v>
      </c>
      <c r="U3">
        <v>1</v>
      </c>
      <c r="W3">
        <f t="shared" si="0"/>
        <v>7</v>
      </c>
      <c r="X3" s="25">
        <v>44563</v>
      </c>
      <c r="Y3" t="s">
        <v>12</v>
      </c>
    </row>
    <row r="4" spans="1:26" x14ac:dyDescent="0.3">
      <c r="G4" t="s">
        <v>11</v>
      </c>
      <c r="I4" t="s">
        <v>18</v>
      </c>
      <c r="K4" t="s">
        <v>10</v>
      </c>
      <c r="M4" t="s">
        <v>37</v>
      </c>
      <c r="O4" t="s">
        <v>45</v>
      </c>
      <c r="Q4" s="25">
        <v>46016</v>
      </c>
      <c r="R4" s="26" t="s">
        <v>30</v>
      </c>
      <c r="S4" t="s">
        <v>11</v>
      </c>
      <c r="T4" t="str">
        <f>dPublicHoliday[[#This Row],[Jour ferié]]&amp;"_"&amp;dPublicHoliday[[#This Row],[Canton]]</f>
        <v>46016_VD</v>
      </c>
      <c r="U4">
        <v>1</v>
      </c>
      <c r="W4">
        <f t="shared" si="0"/>
        <v>1</v>
      </c>
      <c r="X4" s="25">
        <v>44564</v>
      </c>
      <c r="Y4" t="s">
        <v>12</v>
      </c>
    </row>
    <row r="5" spans="1:26" x14ac:dyDescent="0.3">
      <c r="M5" t="s">
        <v>70</v>
      </c>
      <c r="Q5" s="25">
        <v>45922</v>
      </c>
      <c r="R5" s="26" t="s">
        <v>30</v>
      </c>
      <c r="S5" t="s">
        <v>11</v>
      </c>
      <c r="T5" t="str">
        <f>dPublicHoliday[[#This Row],[Jour ferié]]&amp;"_"&amp;dPublicHoliday[[#This Row],[Canton]]</f>
        <v>45922_VD</v>
      </c>
      <c r="U5">
        <v>1</v>
      </c>
      <c r="W5">
        <f t="shared" si="0"/>
        <v>2</v>
      </c>
      <c r="X5" s="25">
        <v>44565</v>
      </c>
      <c r="Y5" t="s">
        <v>12</v>
      </c>
    </row>
    <row r="6" spans="1:26" x14ac:dyDescent="0.3">
      <c r="M6" t="s">
        <v>89</v>
      </c>
      <c r="Q6" s="25">
        <v>45911</v>
      </c>
      <c r="R6" s="26" t="s">
        <v>30</v>
      </c>
      <c r="S6" t="s">
        <v>12</v>
      </c>
      <c r="T6" t="str">
        <f>dPublicHoliday[[#This Row],[Jour ferié]]&amp;"_"&amp;dPublicHoliday[[#This Row],[Canton]]</f>
        <v>45911_GE</v>
      </c>
      <c r="U6">
        <v>1</v>
      </c>
      <c r="W6">
        <f t="shared" si="0"/>
        <v>3</v>
      </c>
      <c r="X6" s="25">
        <v>44566</v>
      </c>
      <c r="Y6" t="s">
        <v>12</v>
      </c>
    </row>
    <row r="7" spans="1:26" x14ac:dyDescent="0.3">
      <c r="M7" t="s">
        <v>90</v>
      </c>
      <c r="Q7" s="25">
        <v>45870</v>
      </c>
      <c r="R7" s="26" t="s">
        <v>30</v>
      </c>
      <c r="S7" t="s">
        <v>12</v>
      </c>
      <c r="T7" t="str">
        <f>dPublicHoliday[[#This Row],[Jour ferié]]&amp;"_"&amp;dPublicHoliday[[#This Row],[Canton]]</f>
        <v>45870_GE</v>
      </c>
      <c r="U7">
        <v>1</v>
      </c>
      <c r="W7">
        <f t="shared" si="0"/>
        <v>4</v>
      </c>
      <c r="X7" s="25">
        <v>44567</v>
      </c>
      <c r="Y7" t="s">
        <v>12</v>
      </c>
    </row>
    <row r="8" spans="1:26" x14ac:dyDescent="0.3">
      <c r="Q8" s="25">
        <v>45870</v>
      </c>
      <c r="R8" s="26" t="s">
        <v>30</v>
      </c>
      <c r="S8" t="s">
        <v>11</v>
      </c>
      <c r="T8" t="str">
        <f>dPublicHoliday[[#This Row],[Jour ferié]]&amp;"_"&amp;dPublicHoliday[[#This Row],[Canton]]</f>
        <v>45870_VD</v>
      </c>
      <c r="U8">
        <v>1</v>
      </c>
      <c r="W8">
        <f t="shared" si="0"/>
        <v>5</v>
      </c>
      <c r="X8" s="25">
        <v>44568</v>
      </c>
      <c r="Y8" t="s">
        <v>12</v>
      </c>
    </row>
    <row r="9" spans="1:26" x14ac:dyDescent="0.3">
      <c r="Q9" s="25">
        <v>45817</v>
      </c>
      <c r="R9" s="26" t="s">
        <v>30</v>
      </c>
      <c r="S9" t="s">
        <v>12</v>
      </c>
      <c r="T9" t="str">
        <f>dPublicHoliday[[#This Row],[Jour ferié]]&amp;"_"&amp;dPublicHoliday[[#This Row],[Canton]]</f>
        <v>45817_GE</v>
      </c>
      <c r="U9">
        <v>1</v>
      </c>
      <c r="W9">
        <f t="shared" si="0"/>
        <v>1</v>
      </c>
      <c r="X9" s="25">
        <v>44606</v>
      </c>
      <c r="Y9" t="s">
        <v>12</v>
      </c>
    </row>
    <row r="10" spans="1:26" x14ac:dyDescent="0.3">
      <c r="Q10" s="25">
        <v>45817</v>
      </c>
      <c r="R10" s="26" t="s">
        <v>30</v>
      </c>
      <c r="S10" t="s">
        <v>11</v>
      </c>
      <c r="T10" t="str">
        <f>dPublicHoliday[[#This Row],[Jour ferié]]&amp;"_"&amp;dPublicHoliday[[#This Row],[Canton]]</f>
        <v>45817_VD</v>
      </c>
      <c r="U10">
        <v>1</v>
      </c>
      <c r="W10">
        <f t="shared" si="0"/>
        <v>2</v>
      </c>
      <c r="X10" s="25">
        <v>44607</v>
      </c>
      <c r="Y10" t="s">
        <v>12</v>
      </c>
    </row>
    <row r="11" spans="1:26" x14ac:dyDescent="0.3">
      <c r="Q11" s="25">
        <v>45806</v>
      </c>
      <c r="R11" s="26" t="s">
        <v>30</v>
      </c>
      <c r="S11" t="s">
        <v>12</v>
      </c>
      <c r="T11" t="str">
        <f>dPublicHoliday[[#This Row],[Jour ferié]]&amp;"_"&amp;dPublicHoliday[[#This Row],[Canton]]</f>
        <v>45806_GE</v>
      </c>
      <c r="U11">
        <v>1</v>
      </c>
      <c r="W11">
        <f t="shared" si="0"/>
        <v>3</v>
      </c>
      <c r="X11" s="25">
        <v>44608</v>
      </c>
      <c r="Y11" t="s">
        <v>12</v>
      </c>
    </row>
    <row r="12" spans="1:26" x14ac:dyDescent="0.3">
      <c r="Q12" s="25">
        <v>45806</v>
      </c>
      <c r="R12" s="26" t="s">
        <v>30</v>
      </c>
      <c r="S12" t="s">
        <v>11</v>
      </c>
      <c r="T12" t="str">
        <f>dPublicHoliday[[#This Row],[Jour ferié]]&amp;"_"&amp;dPublicHoliday[[#This Row],[Canton]]</f>
        <v>45806_VD</v>
      </c>
      <c r="U12">
        <v>1</v>
      </c>
      <c r="W12">
        <f t="shared" si="0"/>
        <v>4</v>
      </c>
      <c r="X12" s="25">
        <v>44609</v>
      </c>
      <c r="Y12" t="s">
        <v>12</v>
      </c>
    </row>
    <row r="13" spans="1:26" x14ac:dyDescent="0.3">
      <c r="Q13" s="25">
        <v>45768</v>
      </c>
      <c r="R13" s="26" t="s">
        <v>30</v>
      </c>
      <c r="S13" t="s">
        <v>12</v>
      </c>
      <c r="T13" t="str">
        <f>dPublicHoliday[[#This Row],[Jour ferié]]&amp;"_"&amp;dPublicHoliday[[#This Row],[Canton]]</f>
        <v>45768_GE</v>
      </c>
      <c r="U13">
        <v>1</v>
      </c>
      <c r="W13">
        <f t="shared" si="0"/>
        <v>5</v>
      </c>
      <c r="X13" s="25">
        <v>44610</v>
      </c>
      <c r="Y13" t="s">
        <v>12</v>
      </c>
    </row>
    <row r="14" spans="1:26" x14ac:dyDescent="0.3">
      <c r="Q14" s="25">
        <v>45768</v>
      </c>
      <c r="R14" s="26" t="s">
        <v>30</v>
      </c>
      <c r="S14" t="s">
        <v>11</v>
      </c>
      <c r="T14" t="str">
        <f>dPublicHoliday[[#This Row],[Jour ferié]]&amp;"_"&amp;dPublicHoliday[[#This Row],[Canton]]</f>
        <v>45768_VD</v>
      </c>
      <c r="U14">
        <v>1</v>
      </c>
      <c r="W14">
        <f t="shared" si="0"/>
        <v>4</v>
      </c>
      <c r="X14" s="25">
        <v>44665</v>
      </c>
      <c r="Y14" t="s">
        <v>12</v>
      </c>
    </row>
    <row r="15" spans="1:26" x14ac:dyDescent="0.3">
      <c r="Q15" s="25">
        <v>45765</v>
      </c>
      <c r="R15" s="26" t="s">
        <v>30</v>
      </c>
      <c r="S15" t="s">
        <v>12</v>
      </c>
      <c r="T15" t="str">
        <f>dPublicHoliday[[#This Row],[Jour ferié]]&amp;"_"&amp;dPublicHoliday[[#This Row],[Canton]]</f>
        <v>45765_GE</v>
      </c>
      <c r="U15">
        <v>1</v>
      </c>
      <c r="W15">
        <f t="shared" si="0"/>
        <v>5</v>
      </c>
      <c r="X15" s="25">
        <v>44666</v>
      </c>
      <c r="Y15" t="s">
        <v>12</v>
      </c>
    </row>
    <row r="16" spans="1:26" x14ac:dyDescent="0.3">
      <c r="Q16" s="25">
        <v>45765</v>
      </c>
      <c r="R16" s="26" t="s">
        <v>30</v>
      </c>
      <c r="S16" t="s">
        <v>11</v>
      </c>
      <c r="T16" t="str">
        <f>dPublicHoliday[[#This Row],[Jour ferié]]&amp;"_"&amp;dPublicHoliday[[#This Row],[Canton]]</f>
        <v>45765_VD</v>
      </c>
      <c r="U16">
        <v>1</v>
      </c>
      <c r="W16">
        <f t="shared" si="0"/>
        <v>6</v>
      </c>
      <c r="X16" s="25">
        <v>44667</v>
      </c>
      <c r="Y16" t="s">
        <v>12</v>
      </c>
    </row>
    <row r="17" spans="17:25" x14ac:dyDescent="0.3">
      <c r="Q17" s="25">
        <v>45659</v>
      </c>
      <c r="R17" s="26" t="s">
        <v>30</v>
      </c>
      <c r="S17" t="s">
        <v>11</v>
      </c>
      <c r="T17" t="str">
        <f>dPublicHoliday[[#This Row],[Jour ferié]]&amp;"_"&amp;dPublicHoliday[[#This Row],[Canton]]</f>
        <v>45659_VD</v>
      </c>
      <c r="U17">
        <v>1</v>
      </c>
      <c r="W17">
        <f t="shared" si="0"/>
        <v>7</v>
      </c>
      <c r="X17" s="25">
        <v>44668</v>
      </c>
      <c r="Y17" t="s">
        <v>12</v>
      </c>
    </row>
    <row r="18" spans="17:25" x14ac:dyDescent="0.3">
      <c r="Q18" s="25">
        <v>45658</v>
      </c>
      <c r="R18" s="26" t="s">
        <v>30</v>
      </c>
      <c r="S18" t="s">
        <v>12</v>
      </c>
      <c r="T18" t="str">
        <f>dPublicHoliday[[#This Row],[Jour ferié]]&amp;"_"&amp;dPublicHoliday[[#This Row],[Canton]]</f>
        <v>45658_GE</v>
      </c>
      <c r="U18">
        <v>1</v>
      </c>
      <c r="W18">
        <f t="shared" si="0"/>
        <v>1</v>
      </c>
      <c r="X18" s="25">
        <v>44669</v>
      </c>
      <c r="Y18" t="s">
        <v>12</v>
      </c>
    </row>
    <row r="19" spans="17:25" x14ac:dyDescent="0.3">
      <c r="Q19" s="25">
        <v>45658</v>
      </c>
      <c r="R19" s="26" t="s">
        <v>30</v>
      </c>
      <c r="S19" t="s">
        <v>11</v>
      </c>
      <c r="T19" t="str">
        <f>dPublicHoliday[[#This Row],[Jour ferié]]&amp;"_"&amp;dPublicHoliday[[#This Row],[Canton]]</f>
        <v>45658_VD</v>
      </c>
      <c r="U19">
        <v>1</v>
      </c>
      <c r="W19">
        <f t="shared" si="0"/>
        <v>2</v>
      </c>
      <c r="X19" s="25">
        <v>44670</v>
      </c>
      <c r="Y19" t="s">
        <v>12</v>
      </c>
    </row>
    <row r="20" spans="17:25" x14ac:dyDescent="0.3">
      <c r="Q20" s="25">
        <v>45657</v>
      </c>
      <c r="R20" s="26" t="s">
        <v>30</v>
      </c>
      <c r="S20" t="s">
        <v>12</v>
      </c>
      <c r="T20" t="str">
        <f>dPublicHoliday[[#This Row],[Jour ferié]]&amp;"_"&amp;dPublicHoliday[[#This Row],[Canton]]</f>
        <v>45657_GE</v>
      </c>
      <c r="U20">
        <v>1</v>
      </c>
      <c r="W20">
        <f t="shared" si="0"/>
        <v>3</v>
      </c>
      <c r="X20" s="25">
        <v>44671</v>
      </c>
      <c r="Y20" t="s">
        <v>12</v>
      </c>
    </row>
    <row r="21" spans="17:25" x14ac:dyDescent="0.3">
      <c r="Q21" s="25">
        <v>45651</v>
      </c>
      <c r="R21" s="26" t="s">
        <v>30</v>
      </c>
      <c r="S21" t="s">
        <v>12</v>
      </c>
      <c r="T21" t="str">
        <f>dPublicHoliday[[#This Row],[Jour ferié]]&amp;"_"&amp;dPublicHoliday[[#This Row],[Canton]]</f>
        <v>45651_GE</v>
      </c>
      <c r="U21">
        <v>1</v>
      </c>
      <c r="W21">
        <f t="shared" si="0"/>
        <v>5</v>
      </c>
      <c r="X21" s="25">
        <v>45884</v>
      </c>
      <c r="Y21" t="s">
        <v>11</v>
      </c>
    </row>
    <row r="22" spans="17:25" x14ac:dyDescent="0.3">
      <c r="Q22" s="25">
        <v>45651</v>
      </c>
      <c r="R22" s="26" t="s">
        <v>30</v>
      </c>
      <c r="S22" t="s">
        <v>11</v>
      </c>
      <c r="T22" t="str">
        <f>dPublicHoliday[[#This Row],[Jour ferié]]&amp;"_"&amp;dPublicHoliday[[#This Row],[Canton]]</f>
        <v>45651_VD</v>
      </c>
      <c r="U22">
        <v>1</v>
      </c>
      <c r="W22">
        <f t="shared" si="0"/>
        <v>4</v>
      </c>
      <c r="X22" s="25">
        <v>44672</v>
      </c>
      <c r="Y22" t="s">
        <v>12</v>
      </c>
    </row>
    <row r="23" spans="17:25" x14ac:dyDescent="0.3">
      <c r="Q23" s="25">
        <v>45551</v>
      </c>
      <c r="R23" s="26" t="s">
        <v>30</v>
      </c>
      <c r="S23" t="s">
        <v>11</v>
      </c>
      <c r="T23" t="str">
        <f>dPublicHoliday[[#This Row],[Jour ferié]]&amp;"_"&amp;dPublicHoliday[[#This Row],[Canton]]</f>
        <v>45551_VD</v>
      </c>
      <c r="U23">
        <v>1</v>
      </c>
      <c r="W23">
        <f t="shared" si="0"/>
        <v>4</v>
      </c>
      <c r="X23" s="25">
        <v>45883</v>
      </c>
      <c r="Y23" t="s">
        <v>11</v>
      </c>
    </row>
    <row r="24" spans="17:25" x14ac:dyDescent="0.3">
      <c r="Q24" s="25">
        <v>45540</v>
      </c>
      <c r="R24" s="26" t="s">
        <v>30</v>
      </c>
      <c r="S24" t="s">
        <v>12</v>
      </c>
      <c r="T24" t="str">
        <f>dPublicHoliday[[#This Row],[Jour ferié]]&amp;"_"&amp;dPublicHoliday[[#This Row],[Canton]]</f>
        <v>45540_GE</v>
      </c>
      <c r="U24">
        <v>1</v>
      </c>
      <c r="W24">
        <f t="shared" si="0"/>
        <v>5</v>
      </c>
      <c r="X24" s="25">
        <v>44673</v>
      </c>
      <c r="Y24" t="s">
        <v>12</v>
      </c>
    </row>
    <row r="25" spans="17:25" x14ac:dyDescent="0.3">
      <c r="Q25" s="25">
        <v>45505</v>
      </c>
      <c r="R25" s="26" t="s">
        <v>30</v>
      </c>
      <c r="S25" t="s">
        <v>12</v>
      </c>
      <c r="T25" t="str">
        <f>dPublicHoliday[[#This Row],[Jour ferié]]&amp;"_"&amp;dPublicHoliday[[#This Row],[Canton]]</f>
        <v>45505_GE</v>
      </c>
      <c r="U25">
        <v>1</v>
      </c>
      <c r="W25">
        <f t="shared" si="0"/>
        <v>3</v>
      </c>
      <c r="X25" s="25">
        <v>45882</v>
      </c>
      <c r="Y25" t="s">
        <v>11</v>
      </c>
    </row>
    <row r="26" spans="17:25" x14ac:dyDescent="0.3">
      <c r="Q26" s="25">
        <v>45505</v>
      </c>
      <c r="R26" s="26" t="s">
        <v>30</v>
      </c>
      <c r="S26" t="s">
        <v>11</v>
      </c>
      <c r="T26" t="str">
        <f>dPublicHoliday[[#This Row],[Jour ferié]]&amp;"_"&amp;dPublicHoliday[[#This Row],[Canton]]</f>
        <v>45505_VD</v>
      </c>
      <c r="U26">
        <v>1</v>
      </c>
      <c r="W26">
        <f t="shared" si="0"/>
        <v>7</v>
      </c>
      <c r="X26" s="25">
        <v>44682</v>
      </c>
      <c r="Y26" t="s">
        <v>12</v>
      </c>
    </row>
    <row r="27" spans="17:25" x14ac:dyDescent="0.3">
      <c r="Q27" s="25">
        <v>45432</v>
      </c>
      <c r="R27" s="26" t="s">
        <v>30</v>
      </c>
      <c r="S27" t="s">
        <v>12</v>
      </c>
      <c r="T27" t="str">
        <f>dPublicHoliday[[#This Row],[Jour ferié]]&amp;"_"&amp;dPublicHoliday[[#This Row],[Canton]]</f>
        <v>45432_GE</v>
      </c>
      <c r="U27">
        <v>1</v>
      </c>
      <c r="W27">
        <f t="shared" si="0"/>
        <v>2</v>
      </c>
      <c r="X27" s="25">
        <v>45881</v>
      </c>
      <c r="Y27" t="s">
        <v>11</v>
      </c>
    </row>
    <row r="28" spans="17:25" x14ac:dyDescent="0.3">
      <c r="Q28" s="25">
        <v>45432</v>
      </c>
      <c r="R28" s="26" t="s">
        <v>30</v>
      </c>
      <c r="S28" t="s">
        <v>11</v>
      </c>
      <c r="T28" t="str">
        <f>dPublicHoliday[[#This Row],[Jour ferié]]&amp;"_"&amp;dPublicHoliday[[#This Row],[Canton]]</f>
        <v>45432_VD</v>
      </c>
      <c r="U28">
        <v>1</v>
      </c>
      <c r="W28">
        <f t="shared" si="0"/>
        <v>1</v>
      </c>
      <c r="X28" s="25">
        <v>44746</v>
      </c>
      <c r="Y28" t="s">
        <v>12</v>
      </c>
    </row>
    <row r="29" spans="17:25" x14ac:dyDescent="0.3">
      <c r="Q29" s="25">
        <v>45421</v>
      </c>
      <c r="R29" s="26" t="s">
        <v>30</v>
      </c>
      <c r="S29" t="s">
        <v>12</v>
      </c>
      <c r="T29" t="str">
        <f>dPublicHoliday[[#This Row],[Jour ferié]]&amp;"_"&amp;dPublicHoliday[[#This Row],[Canton]]</f>
        <v>45421_GE</v>
      </c>
      <c r="U29">
        <v>1</v>
      </c>
      <c r="W29">
        <f t="shared" si="0"/>
        <v>1</v>
      </c>
      <c r="X29" s="25">
        <v>45880</v>
      </c>
      <c r="Y29" t="s">
        <v>11</v>
      </c>
    </row>
    <row r="30" spans="17:25" x14ac:dyDescent="0.3">
      <c r="Q30" s="25">
        <v>45421</v>
      </c>
      <c r="R30" s="26" t="s">
        <v>30</v>
      </c>
      <c r="S30" t="s">
        <v>11</v>
      </c>
      <c r="T30" t="str">
        <f>dPublicHoliday[[#This Row],[Jour ferié]]&amp;"_"&amp;dPublicHoliday[[#This Row],[Canton]]</f>
        <v>45421_VD</v>
      </c>
      <c r="U30">
        <v>1</v>
      </c>
      <c r="W30">
        <f t="shared" si="0"/>
        <v>2</v>
      </c>
      <c r="X30" s="25">
        <v>44747</v>
      </c>
      <c r="Y30" t="s">
        <v>12</v>
      </c>
    </row>
    <row r="31" spans="17:25" x14ac:dyDescent="0.3">
      <c r="Q31" s="25">
        <v>45383</v>
      </c>
      <c r="R31" s="26" t="s">
        <v>30</v>
      </c>
      <c r="S31" t="s">
        <v>12</v>
      </c>
      <c r="T31" t="str">
        <f>dPublicHoliday[[#This Row],[Jour ferié]]&amp;"_"&amp;dPublicHoliday[[#This Row],[Canton]]</f>
        <v>45383_GE</v>
      </c>
      <c r="U31">
        <v>1</v>
      </c>
      <c r="W31">
        <f t="shared" si="0"/>
        <v>7</v>
      </c>
      <c r="X31" s="25">
        <v>45879</v>
      </c>
      <c r="Y31" t="s">
        <v>11</v>
      </c>
    </row>
    <row r="32" spans="17:25" x14ac:dyDescent="0.3">
      <c r="Q32" s="25">
        <v>45383</v>
      </c>
      <c r="R32" s="26" t="s">
        <v>30</v>
      </c>
      <c r="S32" t="s">
        <v>11</v>
      </c>
      <c r="T32" t="str">
        <f>dPublicHoliday[[#This Row],[Jour ferié]]&amp;"_"&amp;dPublicHoliday[[#This Row],[Canton]]</f>
        <v>45383_VD</v>
      </c>
      <c r="U32">
        <v>1</v>
      </c>
      <c r="W32">
        <f t="shared" si="0"/>
        <v>3</v>
      </c>
      <c r="X32" s="25">
        <v>44748</v>
      </c>
      <c r="Y32" t="s">
        <v>12</v>
      </c>
    </row>
    <row r="33" spans="17:25" x14ac:dyDescent="0.3">
      <c r="Q33" s="25">
        <v>45380</v>
      </c>
      <c r="R33" s="26" t="s">
        <v>30</v>
      </c>
      <c r="S33" t="s">
        <v>12</v>
      </c>
      <c r="T33" t="str">
        <f>dPublicHoliday[[#This Row],[Jour ferié]]&amp;"_"&amp;dPublicHoliday[[#This Row],[Canton]]</f>
        <v>45380_GE</v>
      </c>
      <c r="U33">
        <v>1</v>
      </c>
      <c r="W33">
        <f t="shared" si="0"/>
        <v>6</v>
      </c>
      <c r="X33" s="25">
        <v>45878</v>
      </c>
      <c r="Y33" t="s">
        <v>11</v>
      </c>
    </row>
    <row r="34" spans="17:25" x14ac:dyDescent="0.3">
      <c r="Q34" s="25">
        <v>45380</v>
      </c>
      <c r="R34" s="26" t="s">
        <v>30</v>
      </c>
      <c r="S34" t="s">
        <v>11</v>
      </c>
      <c r="T34" t="str">
        <f>dPublicHoliday[[#This Row],[Jour ferié]]&amp;"_"&amp;dPublicHoliday[[#This Row],[Canton]]</f>
        <v>45380_VD</v>
      </c>
      <c r="U34">
        <v>1</v>
      </c>
      <c r="W34">
        <f t="shared" si="0"/>
        <v>4</v>
      </c>
      <c r="X34" s="25">
        <v>44749</v>
      </c>
      <c r="Y34" t="s">
        <v>12</v>
      </c>
    </row>
    <row r="35" spans="17:25" x14ac:dyDescent="0.3">
      <c r="Q35" s="25">
        <v>45293</v>
      </c>
      <c r="R35" s="26" t="s">
        <v>30</v>
      </c>
      <c r="S35" t="s">
        <v>11</v>
      </c>
      <c r="T35" t="str">
        <f>dPublicHoliday[[#This Row],[Jour ferié]]&amp;"_"&amp;dPublicHoliday[[#This Row],[Canton]]</f>
        <v>45293_VD</v>
      </c>
      <c r="U35">
        <v>1</v>
      </c>
      <c r="W35">
        <f t="shared" si="0"/>
        <v>5</v>
      </c>
      <c r="X35" s="25">
        <v>45877</v>
      </c>
      <c r="Y35" t="s">
        <v>11</v>
      </c>
    </row>
    <row r="36" spans="17:25" x14ac:dyDescent="0.3">
      <c r="Q36" s="25">
        <v>45292</v>
      </c>
      <c r="R36" s="26" t="s">
        <v>30</v>
      </c>
      <c r="S36" t="s">
        <v>12</v>
      </c>
      <c r="T36" t="str">
        <f>dPublicHoliday[[#This Row],[Jour ferié]]&amp;"_"&amp;dPublicHoliday[[#This Row],[Canton]]</f>
        <v>45292_GE</v>
      </c>
      <c r="U36">
        <v>1</v>
      </c>
      <c r="W36">
        <f t="shared" si="0"/>
        <v>5</v>
      </c>
      <c r="X36" s="25">
        <v>44750</v>
      </c>
      <c r="Y36" t="s">
        <v>12</v>
      </c>
    </row>
    <row r="37" spans="17:25" x14ac:dyDescent="0.3">
      <c r="Q37" s="25">
        <v>45292</v>
      </c>
      <c r="R37" s="26" t="s">
        <v>30</v>
      </c>
      <c r="S37" t="s">
        <v>11</v>
      </c>
      <c r="T37" t="str">
        <f>dPublicHoliday[[#This Row],[Jour ferié]]&amp;"_"&amp;dPublicHoliday[[#This Row],[Canton]]</f>
        <v>45292_VD</v>
      </c>
      <c r="U37">
        <v>1</v>
      </c>
      <c r="W37">
        <f t="shared" si="0"/>
        <v>4</v>
      </c>
      <c r="X37" s="25">
        <v>45876</v>
      </c>
      <c r="Y37" t="s">
        <v>11</v>
      </c>
    </row>
    <row r="38" spans="17:25" x14ac:dyDescent="0.3">
      <c r="Q38" s="25">
        <v>45291</v>
      </c>
      <c r="R38" s="26" t="s">
        <v>30</v>
      </c>
      <c r="S38" t="s">
        <v>12</v>
      </c>
      <c r="T38" t="str">
        <f>dPublicHoliday[[#This Row],[Jour ferié]]&amp;"_"&amp;dPublicHoliday[[#This Row],[Canton]]</f>
        <v>45291_GE</v>
      </c>
      <c r="U38">
        <v>1</v>
      </c>
      <c r="W38">
        <f t="shared" si="0"/>
        <v>6</v>
      </c>
      <c r="X38" s="25">
        <v>44751</v>
      </c>
      <c r="Y38" t="s">
        <v>12</v>
      </c>
    </row>
    <row r="39" spans="17:25" x14ac:dyDescent="0.3">
      <c r="Q39" s="25">
        <v>45285</v>
      </c>
      <c r="R39" s="26" t="s">
        <v>30</v>
      </c>
      <c r="S39" t="s">
        <v>12</v>
      </c>
      <c r="T39" t="str">
        <f>dPublicHoliday[[#This Row],[Jour ferié]]&amp;"_"&amp;dPublicHoliday[[#This Row],[Canton]]</f>
        <v>45285_GE</v>
      </c>
      <c r="U39">
        <v>1</v>
      </c>
      <c r="W39">
        <f t="shared" si="0"/>
        <v>3</v>
      </c>
      <c r="X39" s="25">
        <v>45875</v>
      </c>
      <c r="Y39" t="s">
        <v>11</v>
      </c>
    </row>
    <row r="40" spans="17:25" x14ac:dyDescent="0.3">
      <c r="Q40" s="25">
        <v>45285</v>
      </c>
      <c r="R40" s="26" t="s">
        <v>30</v>
      </c>
      <c r="S40" t="s">
        <v>11</v>
      </c>
      <c r="T40" t="str">
        <f>dPublicHoliday[[#This Row],[Jour ferié]]&amp;"_"&amp;dPublicHoliday[[#This Row],[Canton]]</f>
        <v>45285_VD</v>
      </c>
      <c r="U40">
        <v>1</v>
      </c>
      <c r="W40">
        <f t="shared" si="0"/>
        <v>7</v>
      </c>
      <c r="X40" s="25">
        <v>44752</v>
      </c>
      <c r="Y40" t="s">
        <v>12</v>
      </c>
    </row>
    <row r="41" spans="17:25" x14ac:dyDescent="0.3">
      <c r="Q41" s="25">
        <v>45187</v>
      </c>
      <c r="R41" s="26" t="s">
        <v>30</v>
      </c>
      <c r="S41" t="s">
        <v>11</v>
      </c>
      <c r="T41" t="str">
        <f>dPublicHoliday[[#This Row],[Jour ferié]]&amp;"_"&amp;dPublicHoliday[[#This Row],[Canton]]</f>
        <v>45187_VD</v>
      </c>
      <c r="U41">
        <v>1</v>
      </c>
      <c r="W41">
        <f t="shared" si="0"/>
        <v>2</v>
      </c>
      <c r="X41" s="25">
        <v>45874</v>
      </c>
      <c r="Y41" t="s">
        <v>11</v>
      </c>
    </row>
    <row r="42" spans="17:25" x14ac:dyDescent="0.3">
      <c r="Q42" s="25">
        <v>45176</v>
      </c>
      <c r="R42" s="26" t="s">
        <v>30</v>
      </c>
      <c r="S42" t="s">
        <v>12</v>
      </c>
      <c r="T42" t="str">
        <f>dPublicHoliday[[#This Row],[Jour ferié]]&amp;"_"&amp;dPublicHoliday[[#This Row],[Canton]]</f>
        <v>45176_GE</v>
      </c>
      <c r="U42">
        <v>1</v>
      </c>
      <c r="W42">
        <f t="shared" si="0"/>
        <v>1</v>
      </c>
      <c r="X42" s="25">
        <v>44753</v>
      </c>
      <c r="Y42" t="s">
        <v>12</v>
      </c>
    </row>
    <row r="43" spans="17:25" x14ac:dyDescent="0.3">
      <c r="Q43" s="25">
        <v>45139</v>
      </c>
      <c r="R43" s="26" t="s">
        <v>30</v>
      </c>
      <c r="S43" t="s">
        <v>12</v>
      </c>
      <c r="T43" t="str">
        <f>dPublicHoliday[[#This Row],[Jour ferié]]&amp;"_"&amp;dPublicHoliday[[#This Row],[Canton]]</f>
        <v>45139_GE</v>
      </c>
      <c r="U43">
        <v>1</v>
      </c>
      <c r="W43">
        <f t="shared" si="0"/>
        <v>1</v>
      </c>
      <c r="X43" s="25">
        <v>45873</v>
      </c>
      <c r="Y43" t="s">
        <v>11</v>
      </c>
    </row>
    <row r="44" spans="17:25" x14ac:dyDescent="0.3">
      <c r="Q44" s="25">
        <v>45139</v>
      </c>
      <c r="R44" s="26" t="s">
        <v>30</v>
      </c>
      <c r="S44" t="s">
        <v>11</v>
      </c>
      <c r="T44" t="str">
        <f>dPublicHoliday[[#This Row],[Jour ferié]]&amp;"_"&amp;dPublicHoliday[[#This Row],[Canton]]</f>
        <v>45139_VD</v>
      </c>
      <c r="U44">
        <v>1</v>
      </c>
      <c r="W44">
        <f t="shared" si="0"/>
        <v>2</v>
      </c>
      <c r="X44" s="25">
        <v>44754</v>
      </c>
      <c r="Y44" t="s">
        <v>12</v>
      </c>
    </row>
    <row r="45" spans="17:25" x14ac:dyDescent="0.3">
      <c r="Q45" s="25">
        <v>45075</v>
      </c>
      <c r="R45" s="26" t="s">
        <v>30</v>
      </c>
      <c r="S45" t="s">
        <v>12</v>
      </c>
      <c r="T45" t="str">
        <f>dPublicHoliday[[#This Row],[Jour ferié]]&amp;"_"&amp;dPublicHoliday[[#This Row],[Canton]]</f>
        <v>45075_GE</v>
      </c>
      <c r="U45">
        <v>1</v>
      </c>
      <c r="W45">
        <f t="shared" si="0"/>
        <v>7</v>
      </c>
      <c r="X45" s="25">
        <v>45872</v>
      </c>
      <c r="Y45" t="s">
        <v>11</v>
      </c>
    </row>
    <row r="46" spans="17:25" x14ac:dyDescent="0.3">
      <c r="Q46" s="25">
        <v>45075</v>
      </c>
      <c r="R46" s="26" t="s">
        <v>30</v>
      </c>
      <c r="S46" t="s">
        <v>11</v>
      </c>
      <c r="T46" t="str">
        <f>dPublicHoliday[[#This Row],[Jour ferié]]&amp;"_"&amp;dPublicHoliday[[#This Row],[Canton]]</f>
        <v>45075_VD</v>
      </c>
      <c r="U46">
        <v>1</v>
      </c>
      <c r="W46">
        <f t="shared" si="0"/>
        <v>3</v>
      </c>
      <c r="X46" s="25">
        <v>44755</v>
      </c>
      <c r="Y46" t="s">
        <v>12</v>
      </c>
    </row>
    <row r="47" spans="17:25" x14ac:dyDescent="0.3">
      <c r="Q47" s="25">
        <v>45064</v>
      </c>
      <c r="R47" s="26" t="s">
        <v>30</v>
      </c>
      <c r="S47" t="s">
        <v>12</v>
      </c>
      <c r="T47" t="str">
        <f>dPublicHoliday[[#This Row],[Jour ferié]]&amp;"_"&amp;dPublicHoliday[[#This Row],[Canton]]</f>
        <v>45064_GE</v>
      </c>
      <c r="U47">
        <v>1</v>
      </c>
      <c r="W47">
        <f t="shared" si="0"/>
        <v>6</v>
      </c>
      <c r="X47" s="25">
        <v>45871</v>
      </c>
      <c r="Y47" t="s">
        <v>11</v>
      </c>
    </row>
    <row r="48" spans="17:25" x14ac:dyDescent="0.3">
      <c r="Q48" s="25">
        <v>45064</v>
      </c>
      <c r="R48" s="26" t="s">
        <v>30</v>
      </c>
      <c r="S48" t="s">
        <v>11</v>
      </c>
      <c r="T48" t="str">
        <f>dPublicHoliday[[#This Row],[Jour ferié]]&amp;"_"&amp;dPublicHoliday[[#This Row],[Canton]]</f>
        <v>45064_VD</v>
      </c>
      <c r="U48">
        <v>1</v>
      </c>
      <c r="W48">
        <f t="shared" si="0"/>
        <v>4</v>
      </c>
      <c r="X48" s="25">
        <v>44756</v>
      </c>
      <c r="Y48" t="s">
        <v>12</v>
      </c>
    </row>
    <row r="49" spans="17:25" x14ac:dyDescent="0.3">
      <c r="Q49" s="25">
        <v>45026</v>
      </c>
      <c r="R49" s="26" t="s">
        <v>30</v>
      </c>
      <c r="S49" t="s">
        <v>12</v>
      </c>
      <c r="T49" t="str">
        <f>dPublicHoliday[[#This Row],[Jour ferié]]&amp;"_"&amp;dPublicHoliday[[#This Row],[Canton]]</f>
        <v>45026_GE</v>
      </c>
      <c r="U49">
        <v>1</v>
      </c>
      <c r="W49">
        <f t="shared" si="0"/>
        <v>5</v>
      </c>
      <c r="X49" s="25">
        <v>45870</v>
      </c>
      <c r="Y49" t="s">
        <v>11</v>
      </c>
    </row>
    <row r="50" spans="17:25" x14ac:dyDescent="0.3">
      <c r="Q50" s="25">
        <v>45026</v>
      </c>
      <c r="R50" s="26" t="s">
        <v>30</v>
      </c>
      <c r="S50" t="s">
        <v>11</v>
      </c>
      <c r="T50" t="str">
        <f>dPublicHoliday[[#This Row],[Jour ferié]]&amp;"_"&amp;dPublicHoliday[[#This Row],[Canton]]</f>
        <v>45026_VD</v>
      </c>
      <c r="U50">
        <v>1</v>
      </c>
      <c r="W50">
        <f t="shared" si="0"/>
        <v>5</v>
      </c>
      <c r="X50" s="25">
        <v>44757</v>
      </c>
      <c r="Y50" t="s">
        <v>12</v>
      </c>
    </row>
    <row r="51" spans="17:25" x14ac:dyDescent="0.3">
      <c r="Q51" s="25">
        <v>45023</v>
      </c>
      <c r="R51" s="26" t="s">
        <v>30</v>
      </c>
      <c r="S51" t="s">
        <v>12</v>
      </c>
      <c r="T51" t="str">
        <f>dPublicHoliday[[#This Row],[Jour ferié]]&amp;"_"&amp;dPublicHoliday[[#This Row],[Canton]]</f>
        <v>45023_GE</v>
      </c>
      <c r="U51">
        <v>1</v>
      </c>
      <c r="W51">
        <f t="shared" si="0"/>
        <v>4</v>
      </c>
      <c r="X51" s="25">
        <v>45869</v>
      </c>
      <c r="Y51" t="s">
        <v>11</v>
      </c>
    </row>
    <row r="52" spans="17:25" x14ac:dyDescent="0.3">
      <c r="Q52" s="25">
        <v>45023</v>
      </c>
      <c r="R52" s="26" t="s">
        <v>30</v>
      </c>
      <c r="S52" t="s">
        <v>11</v>
      </c>
      <c r="T52" t="str">
        <f>dPublicHoliday[[#This Row],[Jour ferié]]&amp;"_"&amp;dPublicHoliday[[#This Row],[Canton]]</f>
        <v>45023_VD</v>
      </c>
      <c r="U52">
        <v>1</v>
      </c>
      <c r="W52">
        <f t="shared" si="0"/>
        <v>6</v>
      </c>
      <c r="X52" s="25">
        <v>44758</v>
      </c>
      <c r="Y52" t="s">
        <v>12</v>
      </c>
    </row>
    <row r="53" spans="17:25" x14ac:dyDescent="0.3">
      <c r="Q53" s="25">
        <v>44928</v>
      </c>
      <c r="R53" s="26" t="s">
        <v>30</v>
      </c>
      <c r="S53" t="s">
        <v>11</v>
      </c>
      <c r="T53" t="str">
        <f>dPublicHoliday[[#This Row],[Jour ferié]]&amp;"_"&amp;dPublicHoliday[[#This Row],[Canton]]</f>
        <v>44928_VD</v>
      </c>
      <c r="U53">
        <v>1</v>
      </c>
      <c r="W53">
        <f t="shared" si="0"/>
        <v>3</v>
      </c>
      <c r="X53" s="25">
        <v>45868</v>
      </c>
      <c r="Y53" t="s">
        <v>11</v>
      </c>
    </row>
    <row r="54" spans="17:25" x14ac:dyDescent="0.3">
      <c r="Q54" s="25">
        <v>44927</v>
      </c>
      <c r="R54" s="26" t="s">
        <v>30</v>
      </c>
      <c r="S54" t="s">
        <v>12</v>
      </c>
      <c r="T54" t="str">
        <f>dPublicHoliday[[#This Row],[Jour ferié]]&amp;"_"&amp;dPublicHoliday[[#This Row],[Canton]]</f>
        <v>44927_GE</v>
      </c>
      <c r="U54">
        <v>1</v>
      </c>
      <c r="W54">
        <f t="shared" si="0"/>
        <v>7</v>
      </c>
      <c r="X54" s="25">
        <v>44759</v>
      </c>
      <c r="Y54" t="s">
        <v>12</v>
      </c>
    </row>
    <row r="55" spans="17:25" x14ac:dyDescent="0.3">
      <c r="Q55" s="25">
        <v>44927</v>
      </c>
      <c r="R55" s="26" t="s">
        <v>30</v>
      </c>
      <c r="S55" t="s">
        <v>11</v>
      </c>
      <c r="T55" t="str">
        <f>dPublicHoliday[[#This Row],[Jour ferié]]&amp;"_"&amp;dPublicHoliday[[#This Row],[Canton]]</f>
        <v>44927_VD</v>
      </c>
      <c r="U55">
        <v>1</v>
      </c>
      <c r="W55">
        <f t="shared" si="0"/>
        <v>2</v>
      </c>
      <c r="X55" s="25">
        <v>45867</v>
      </c>
      <c r="Y55" t="s">
        <v>11</v>
      </c>
    </row>
    <row r="56" spans="17:25" x14ac:dyDescent="0.3">
      <c r="Q56" s="25">
        <v>44926</v>
      </c>
      <c r="R56" s="26" t="s">
        <v>30</v>
      </c>
      <c r="S56" t="s">
        <v>12</v>
      </c>
      <c r="T56" t="str">
        <f>dPublicHoliday[[#This Row],[Jour ferié]]&amp;"_"&amp;dPublicHoliday[[#This Row],[Canton]]</f>
        <v>44926_GE</v>
      </c>
      <c r="U56">
        <v>1</v>
      </c>
      <c r="W56">
        <f t="shared" si="0"/>
        <v>1</v>
      </c>
      <c r="X56" s="25">
        <v>44760</v>
      </c>
      <c r="Y56" t="s">
        <v>12</v>
      </c>
    </row>
    <row r="57" spans="17:25" x14ac:dyDescent="0.3">
      <c r="Q57" s="25">
        <v>44920</v>
      </c>
      <c r="R57" s="26" t="s">
        <v>30</v>
      </c>
      <c r="S57" t="s">
        <v>12</v>
      </c>
      <c r="T57" t="str">
        <f>dPublicHoliday[[#This Row],[Jour ferié]]&amp;"_"&amp;dPublicHoliday[[#This Row],[Canton]]</f>
        <v>44920_GE</v>
      </c>
      <c r="U57">
        <v>1</v>
      </c>
      <c r="W57">
        <f t="shared" si="0"/>
        <v>1</v>
      </c>
      <c r="X57" s="25">
        <v>45866</v>
      </c>
      <c r="Y57" t="s">
        <v>11</v>
      </c>
    </row>
    <row r="58" spans="17:25" x14ac:dyDescent="0.3">
      <c r="Q58" s="25">
        <v>44920</v>
      </c>
      <c r="R58" s="26" t="s">
        <v>30</v>
      </c>
      <c r="S58" t="s">
        <v>11</v>
      </c>
      <c r="T58" t="str">
        <f>dPublicHoliday[[#This Row],[Jour ferié]]&amp;"_"&amp;dPublicHoliday[[#This Row],[Canton]]</f>
        <v>44920_VD</v>
      </c>
      <c r="U58">
        <v>1</v>
      </c>
      <c r="W58">
        <f t="shared" si="0"/>
        <v>2</v>
      </c>
      <c r="X58" s="25">
        <v>44761</v>
      </c>
      <c r="Y58" t="s">
        <v>12</v>
      </c>
    </row>
    <row r="59" spans="17:25" x14ac:dyDescent="0.3">
      <c r="Q59" s="25">
        <v>44823</v>
      </c>
      <c r="R59" s="26" t="s">
        <v>30</v>
      </c>
      <c r="S59" t="s">
        <v>11</v>
      </c>
      <c r="T59" t="str">
        <f>dPublicHoliday[[#This Row],[Jour ferié]]&amp;"_"&amp;dPublicHoliday[[#This Row],[Canton]]</f>
        <v>44823_VD</v>
      </c>
      <c r="U59">
        <v>1</v>
      </c>
      <c r="W59">
        <f t="shared" si="0"/>
        <v>7</v>
      </c>
      <c r="X59" s="25">
        <v>45865</v>
      </c>
      <c r="Y59" t="s">
        <v>11</v>
      </c>
    </row>
    <row r="60" spans="17:25" x14ac:dyDescent="0.3">
      <c r="Q60" s="25">
        <v>44812</v>
      </c>
      <c r="R60" s="26" t="s">
        <v>30</v>
      </c>
      <c r="S60" t="s">
        <v>12</v>
      </c>
      <c r="T60" t="str">
        <f>dPublicHoliday[[#This Row],[Jour ferié]]&amp;"_"&amp;dPublicHoliday[[#This Row],[Canton]]</f>
        <v>44812_GE</v>
      </c>
      <c r="U60">
        <v>1</v>
      </c>
      <c r="W60">
        <f t="shared" si="0"/>
        <v>3</v>
      </c>
      <c r="X60" s="25">
        <v>44762</v>
      </c>
      <c r="Y60" t="s">
        <v>12</v>
      </c>
    </row>
    <row r="61" spans="17:25" x14ac:dyDescent="0.3">
      <c r="Q61" s="25">
        <v>44774</v>
      </c>
      <c r="R61" s="26" t="s">
        <v>30</v>
      </c>
      <c r="S61" t="s">
        <v>12</v>
      </c>
      <c r="T61" t="str">
        <f>dPublicHoliday[[#This Row],[Jour ferié]]&amp;"_"&amp;dPublicHoliday[[#This Row],[Canton]]</f>
        <v>44774_GE</v>
      </c>
      <c r="U61">
        <v>1</v>
      </c>
      <c r="W61">
        <f t="shared" si="0"/>
        <v>6</v>
      </c>
      <c r="X61" s="25">
        <v>45864</v>
      </c>
      <c r="Y61" t="s">
        <v>11</v>
      </c>
    </row>
    <row r="62" spans="17:25" x14ac:dyDescent="0.3">
      <c r="Q62" s="25">
        <v>44774</v>
      </c>
      <c r="R62" s="26" t="s">
        <v>30</v>
      </c>
      <c r="S62" t="s">
        <v>11</v>
      </c>
      <c r="T62" t="str">
        <f>dPublicHoliday[[#This Row],[Jour ferié]]&amp;"_"&amp;dPublicHoliday[[#This Row],[Canton]]</f>
        <v>44774_VD</v>
      </c>
      <c r="U62">
        <v>1</v>
      </c>
      <c r="W62">
        <f t="shared" si="0"/>
        <v>4</v>
      </c>
      <c r="X62" s="25">
        <v>44763</v>
      </c>
      <c r="Y62" t="s">
        <v>12</v>
      </c>
    </row>
    <row r="63" spans="17:25" x14ac:dyDescent="0.3">
      <c r="Q63" s="25">
        <v>44718</v>
      </c>
      <c r="R63" s="26" t="s">
        <v>30</v>
      </c>
      <c r="S63" t="s">
        <v>12</v>
      </c>
      <c r="T63" t="str">
        <f>dPublicHoliday[[#This Row],[Jour ferié]]&amp;"_"&amp;dPublicHoliday[[#This Row],[Canton]]</f>
        <v>44718_GE</v>
      </c>
      <c r="U63">
        <v>1</v>
      </c>
      <c r="W63">
        <f t="shared" si="0"/>
        <v>5</v>
      </c>
      <c r="X63" s="25">
        <v>45863</v>
      </c>
      <c r="Y63" t="s">
        <v>11</v>
      </c>
    </row>
    <row r="64" spans="17:25" x14ac:dyDescent="0.3">
      <c r="Q64" s="25">
        <v>44718</v>
      </c>
      <c r="R64" s="26" t="s">
        <v>30</v>
      </c>
      <c r="S64" t="s">
        <v>11</v>
      </c>
      <c r="T64" t="str">
        <f>dPublicHoliday[[#This Row],[Jour ferié]]&amp;"_"&amp;dPublicHoliday[[#This Row],[Canton]]</f>
        <v>44718_VD</v>
      </c>
      <c r="U64">
        <v>1</v>
      </c>
      <c r="W64">
        <f t="shared" si="0"/>
        <v>5</v>
      </c>
      <c r="X64" s="25">
        <v>44764</v>
      </c>
      <c r="Y64" t="s">
        <v>12</v>
      </c>
    </row>
    <row r="65" spans="17:25" x14ac:dyDescent="0.3">
      <c r="Q65" s="25">
        <v>44707</v>
      </c>
      <c r="R65" s="26" t="s">
        <v>30</v>
      </c>
      <c r="S65" t="s">
        <v>12</v>
      </c>
      <c r="T65" t="str">
        <f>dPublicHoliday[[#This Row],[Jour ferié]]&amp;"_"&amp;dPublicHoliday[[#This Row],[Canton]]</f>
        <v>44707_GE</v>
      </c>
      <c r="U65">
        <v>1</v>
      </c>
      <c r="W65">
        <f t="shared" si="0"/>
        <v>4</v>
      </c>
      <c r="X65" s="25">
        <v>45862</v>
      </c>
      <c r="Y65" t="s">
        <v>11</v>
      </c>
    </row>
    <row r="66" spans="17:25" x14ac:dyDescent="0.3">
      <c r="Q66" s="25">
        <v>44707</v>
      </c>
      <c r="R66" s="26" t="s">
        <v>30</v>
      </c>
      <c r="S66" t="s">
        <v>11</v>
      </c>
      <c r="T66" t="str">
        <f>dPublicHoliday[[#This Row],[Jour ferié]]&amp;"_"&amp;dPublicHoliday[[#This Row],[Canton]]</f>
        <v>44707_VD</v>
      </c>
      <c r="U66">
        <v>1</v>
      </c>
      <c r="W66">
        <f t="shared" ref="W66:W129" si="1">WEEKDAY(X66,2)</f>
        <v>6</v>
      </c>
      <c r="X66" s="25">
        <v>44765</v>
      </c>
      <c r="Y66" t="s">
        <v>12</v>
      </c>
    </row>
    <row r="67" spans="17:25" x14ac:dyDescent="0.3">
      <c r="Q67" s="25">
        <v>44669</v>
      </c>
      <c r="R67" s="26" t="s">
        <v>30</v>
      </c>
      <c r="S67" t="s">
        <v>12</v>
      </c>
      <c r="T67" t="str">
        <f>dPublicHoliday[[#This Row],[Jour ferié]]&amp;"_"&amp;dPublicHoliday[[#This Row],[Canton]]</f>
        <v>44669_GE</v>
      </c>
      <c r="U67">
        <v>1</v>
      </c>
      <c r="W67">
        <f t="shared" si="1"/>
        <v>3</v>
      </c>
      <c r="X67" s="25">
        <v>45861</v>
      </c>
      <c r="Y67" t="s">
        <v>11</v>
      </c>
    </row>
    <row r="68" spans="17:25" x14ac:dyDescent="0.3">
      <c r="Q68" s="25">
        <v>44669</v>
      </c>
      <c r="R68" s="26" t="s">
        <v>30</v>
      </c>
      <c r="S68" t="s">
        <v>11</v>
      </c>
      <c r="T68" t="str">
        <f>dPublicHoliday[[#This Row],[Jour ferié]]&amp;"_"&amp;dPublicHoliday[[#This Row],[Canton]]</f>
        <v>44669_VD</v>
      </c>
      <c r="U68">
        <v>1</v>
      </c>
      <c r="W68">
        <f t="shared" si="1"/>
        <v>7</v>
      </c>
      <c r="X68" s="25">
        <v>44766</v>
      </c>
      <c r="Y68" t="s">
        <v>12</v>
      </c>
    </row>
    <row r="69" spans="17:25" x14ac:dyDescent="0.3">
      <c r="Q69" s="25">
        <v>44666</v>
      </c>
      <c r="R69" s="26" t="s">
        <v>30</v>
      </c>
      <c r="S69" t="s">
        <v>12</v>
      </c>
      <c r="T69" t="str">
        <f>dPublicHoliday[[#This Row],[Jour ferié]]&amp;"_"&amp;dPublicHoliday[[#This Row],[Canton]]</f>
        <v>44666_GE</v>
      </c>
      <c r="U69">
        <v>1</v>
      </c>
      <c r="W69">
        <f t="shared" si="1"/>
        <v>2</v>
      </c>
      <c r="X69" s="25">
        <v>45860</v>
      </c>
      <c r="Y69" t="s">
        <v>11</v>
      </c>
    </row>
    <row r="70" spans="17:25" x14ac:dyDescent="0.3">
      <c r="Q70" s="25">
        <v>44666</v>
      </c>
      <c r="R70" s="26" t="s">
        <v>30</v>
      </c>
      <c r="S70" t="s">
        <v>11</v>
      </c>
      <c r="T70" t="str">
        <f>dPublicHoliday[[#This Row],[Jour ferié]]&amp;"_"&amp;dPublicHoliday[[#This Row],[Canton]]</f>
        <v>44666_VD</v>
      </c>
      <c r="U70">
        <v>1</v>
      </c>
      <c r="W70">
        <f t="shared" si="1"/>
        <v>1</v>
      </c>
      <c r="X70" s="25">
        <v>44767</v>
      </c>
      <c r="Y70" t="s">
        <v>12</v>
      </c>
    </row>
    <row r="71" spans="17:25" x14ac:dyDescent="0.3">
      <c r="Q71" s="25">
        <v>44563</v>
      </c>
      <c r="R71" s="26" t="s">
        <v>30</v>
      </c>
      <c r="S71" t="s">
        <v>11</v>
      </c>
      <c r="T71" t="str">
        <f>dPublicHoliday[[#This Row],[Jour ferié]]&amp;"_"&amp;dPublicHoliday[[#This Row],[Canton]]</f>
        <v>44563_VD</v>
      </c>
      <c r="U71">
        <v>1</v>
      </c>
      <c r="W71">
        <f t="shared" si="1"/>
        <v>1</v>
      </c>
      <c r="X71" s="25">
        <v>45859</v>
      </c>
      <c r="Y71" t="s">
        <v>11</v>
      </c>
    </row>
    <row r="72" spans="17:25" x14ac:dyDescent="0.3">
      <c r="Q72" s="25">
        <v>44562</v>
      </c>
      <c r="R72" s="26" t="s">
        <v>30</v>
      </c>
      <c r="S72" t="s">
        <v>12</v>
      </c>
      <c r="T72" t="str">
        <f>dPublicHoliday[[#This Row],[Jour ferié]]&amp;"_"&amp;dPublicHoliday[[#This Row],[Canton]]</f>
        <v>44562_GE</v>
      </c>
      <c r="U72">
        <v>1</v>
      </c>
      <c r="W72">
        <f t="shared" si="1"/>
        <v>2</v>
      </c>
      <c r="X72" s="25">
        <v>44768</v>
      </c>
      <c r="Y72" t="s">
        <v>12</v>
      </c>
    </row>
    <row r="73" spans="17:25" x14ac:dyDescent="0.3">
      <c r="Q73" s="25">
        <v>44562</v>
      </c>
      <c r="R73" s="26" t="s">
        <v>30</v>
      </c>
      <c r="S73" t="s">
        <v>11</v>
      </c>
      <c r="T73" t="str">
        <f>dPublicHoliday[[#This Row],[Jour ferié]]&amp;"_"&amp;dPublicHoliday[[#This Row],[Canton]]</f>
        <v>44562_VD</v>
      </c>
      <c r="U73">
        <v>1</v>
      </c>
      <c r="W73">
        <f t="shared" si="1"/>
        <v>7</v>
      </c>
      <c r="X73" s="25">
        <v>45858</v>
      </c>
      <c r="Y73" t="s">
        <v>11</v>
      </c>
    </row>
    <row r="74" spans="17:25" x14ac:dyDescent="0.3">
      <c r="Q74" s="25">
        <v>44561</v>
      </c>
      <c r="R74" s="26" t="s">
        <v>30</v>
      </c>
      <c r="S74" t="s">
        <v>12</v>
      </c>
      <c r="T74" t="str">
        <f>dPublicHoliday[[#This Row],[Jour ferié]]&amp;"_"&amp;dPublicHoliday[[#This Row],[Canton]]</f>
        <v>44561_GE</v>
      </c>
      <c r="U74">
        <v>1</v>
      </c>
      <c r="W74">
        <f t="shared" si="1"/>
        <v>3</v>
      </c>
      <c r="X74" s="25">
        <v>44769</v>
      </c>
      <c r="Y74" t="s">
        <v>12</v>
      </c>
    </row>
    <row r="75" spans="17:25" x14ac:dyDescent="0.3">
      <c r="Q75" s="25">
        <v>44555</v>
      </c>
      <c r="R75" s="26" t="s">
        <v>30</v>
      </c>
      <c r="S75" t="s">
        <v>12</v>
      </c>
      <c r="T75" t="str">
        <f>dPublicHoliday[[#This Row],[Jour ferié]]&amp;"_"&amp;dPublicHoliday[[#This Row],[Canton]]</f>
        <v>44555_GE</v>
      </c>
      <c r="U75">
        <v>1</v>
      </c>
      <c r="W75">
        <f t="shared" si="1"/>
        <v>6</v>
      </c>
      <c r="X75" s="25">
        <v>45857</v>
      </c>
      <c r="Y75" t="s">
        <v>11</v>
      </c>
    </row>
    <row r="76" spans="17:25" x14ac:dyDescent="0.3">
      <c r="Q76" s="25">
        <v>44555</v>
      </c>
      <c r="R76" s="26" t="s">
        <v>30</v>
      </c>
      <c r="S76" t="s">
        <v>11</v>
      </c>
      <c r="T76" t="str">
        <f>dPublicHoliday[[#This Row],[Jour ferié]]&amp;"_"&amp;dPublicHoliday[[#This Row],[Canton]]</f>
        <v>44555_VD</v>
      </c>
      <c r="U76">
        <v>1</v>
      </c>
      <c r="W76">
        <f t="shared" si="1"/>
        <v>4</v>
      </c>
      <c r="X76" s="25">
        <v>44770</v>
      </c>
      <c r="Y76" t="s">
        <v>12</v>
      </c>
    </row>
    <row r="77" spans="17:25" x14ac:dyDescent="0.3">
      <c r="Q77" s="25">
        <v>44459</v>
      </c>
      <c r="R77" s="26" t="s">
        <v>30</v>
      </c>
      <c r="S77" t="s">
        <v>11</v>
      </c>
      <c r="T77" t="str">
        <f>dPublicHoliday[[#This Row],[Jour ferié]]&amp;"_"&amp;dPublicHoliday[[#This Row],[Canton]]</f>
        <v>44459_VD</v>
      </c>
      <c r="U77">
        <v>1</v>
      </c>
      <c r="W77">
        <f t="shared" si="1"/>
        <v>5</v>
      </c>
      <c r="X77" s="25">
        <v>45856</v>
      </c>
      <c r="Y77" t="s">
        <v>11</v>
      </c>
    </row>
    <row r="78" spans="17:25" x14ac:dyDescent="0.3">
      <c r="Q78" s="25">
        <v>44448</v>
      </c>
      <c r="R78" s="26" t="s">
        <v>30</v>
      </c>
      <c r="S78" t="s">
        <v>12</v>
      </c>
      <c r="T78" t="str">
        <f>dPublicHoliday[[#This Row],[Jour ferié]]&amp;"_"&amp;dPublicHoliday[[#This Row],[Canton]]</f>
        <v>44448_GE</v>
      </c>
      <c r="U78">
        <v>1</v>
      </c>
      <c r="W78">
        <f t="shared" si="1"/>
        <v>5</v>
      </c>
      <c r="X78" s="25">
        <v>44771</v>
      </c>
      <c r="Y78" t="s">
        <v>12</v>
      </c>
    </row>
    <row r="79" spans="17:25" x14ac:dyDescent="0.3">
      <c r="Q79" s="25">
        <v>44409</v>
      </c>
      <c r="R79" s="26" t="s">
        <v>30</v>
      </c>
      <c r="S79" t="s">
        <v>12</v>
      </c>
      <c r="T79" t="str">
        <f>dPublicHoliday[[#This Row],[Jour ferié]]&amp;"_"&amp;dPublicHoliday[[#This Row],[Canton]]</f>
        <v>44409_GE</v>
      </c>
      <c r="U79">
        <v>1</v>
      </c>
      <c r="W79">
        <f t="shared" si="1"/>
        <v>4</v>
      </c>
      <c r="X79" s="25">
        <v>45855</v>
      </c>
      <c r="Y79" t="s">
        <v>11</v>
      </c>
    </row>
    <row r="80" spans="17:25" x14ac:dyDescent="0.3">
      <c r="Q80" s="25">
        <v>44409</v>
      </c>
      <c r="R80" s="26" t="s">
        <v>30</v>
      </c>
      <c r="S80" t="s">
        <v>11</v>
      </c>
      <c r="T80" t="str">
        <f>dPublicHoliday[[#This Row],[Jour ferié]]&amp;"_"&amp;dPublicHoliday[[#This Row],[Canton]]</f>
        <v>44409_VD</v>
      </c>
      <c r="U80">
        <v>1</v>
      </c>
      <c r="W80">
        <f t="shared" si="1"/>
        <v>6</v>
      </c>
      <c r="X80" s="25">
        <v>44772</v>
      </c>
      <c r="Y80" t="s">
        <v>12</v>
      </c>
    </row>
    <row r="81" spans="17:25" x14ac:dyDescent="0.3">
      <c r="Q81" s="25">
        <v>44340</v>
      </c>
      <c r="R81" s="26" t="s">
        <v>30</v>
      </c>
      <c r="S81" t="s">
        <v>12</v>
      </c>
      <c r="T81" t="str">
        <f>dPublicHoliday[[#This Row],[Jour ferié]]&amp;"_"&amp;dPublicHoliday[[#This Row],[Canton]]</f>
        <v>44340_GE</v>
      </c>
      <c r="U81">
        <v>1</v>
      </c>
      <c r="W81">
        <f t="shared" si="1"/>
        <v>3</v>
      </c>
      <c r="X81" s="25">
        <v>45854</v>
      </c>
      <c r="Y81" t="s">
        <v>11</v>
      </c>
    </row>
    <row r="82" spans="17:25" x14ac:dyDescent="0.3">
      <c r="Q82" s="25">
        <v>44340</v>
      </c>
      <c r="R82" s="26" t="s">
        <v>30</v>
      </c>
      <c r="S82" t="s">
        <v>11</v>
      </c>
      <c r="T82" t="str">
        <f>dPublicHoliday[[#This Row],[Jour ferié]]&amp;"_"&amp;dPublicHoliday[[#This Row],[Canton]]</f>
        <v>44340_VD</v>
      </c>
      <c r="U82">
        <v>1</v>
      </c>
      <c r="W82">
        <f t="shared" si="1"/>
        <v>7</v>
      </c>
      <c r="X82" s="25">
        <v>44773</v>
      </c>
      <c r="Y82" t="s">
        <v>12</v>
      </c>
    </row>
    <row r="83" spans="17:25" x14ac:dyDescent="0.3">
      <c r="Q83" s="25">
        <v>44329</v>
      </c>
      <c r="R83" s="26" t="s">
        <v>30</v>
      </c>
      <c r="S83" t="s">
        <v>12</v>
      </c>
      <c r="T83" t="str">
        <f>dPublicHoliday[[#This Row],[Jour ferié]]&amp;"_"&amp;dPublicHoliday[[#This Row],[Canton]]</f>
        <v>44329_GE</v>
      </c>
      <c r="U83">
        <v>1</v>
      </c>
      <c r="W83">
        <f t="shared" si="1"/>
        <v>2</v>
      </c>
      <c r="X83" s="25">
        <v>45853</v>
      </c>
      <c r="Y83" t="s">
        <v>11</v>
      </c>
    </row>
    <row r="84" spans="17:25" x14ac:dyDescent="0.3">
      <c r="Q84" s="25">
        <v>44329</v>
      </c>
      <c r="R84" s="26" t="s">
        <v>30</v>
      </c>
      <c r="S84" t="s">
        <v>11</v>
      </c>
      <c r="T84" t="str">
        <f>dPublicHoliday[[#This Row],[Jour ferié]]&amp;"_"&amp;dPublicHoliday[[#This Row],[Canton]]</f>
        <v>44329_VD</v>
      </c>
      <c r="U84">
        <v>1</v>
      </c>
      <c r="W84">
        <f t="shared" si="1"/>
        <v>1</v>
      </c>
      <c r="X84" s="25">
        <v>44774</v>
      </c>
      <c r="Y84" t="s">
        <v>12</v>
      </c>
    </row>
    <row r="85" spans="17:25" x14ac:dyDescent="0.3">
      <c r="Q85" s="25">
        <v>44291</v>
      </c>
      <c r="R85" s="26" t="s">
        <v>30</v>
      </c>
      <c r="S85" t="s">
        <v>12</v>
      </c>
      <c r="T85" t="str">
        <f>dPublicHoliday[[#This Row],[Jour ferié]]&amp;"_"&amp;dPublicHoliday[[#This Row],[Canton]]</f>
        <v>44291_GE</v>
      </c>
      <c r="U85">
        <v>1</v>
      </c>
      <c r="W85">
        <f t="shared" si="1"/>
        <v>1</v>
      </c>
      <c r="X85" s="25">
        <v>45852</v>
      </c>
      <c r="Y85" t="s">
        <v>11</v>
      </c>
    </row>
    <row r="86" spans="17:25" x14ac:dyDescent="0.3">
      <c r="Q86" s="25">
        <v>44291</v>
      </c>
      <c r="R86" s="26" t="s">
        <v>30</v>
      </c>
      <c r="S86" t="s">
        <v>11</v>
      </c>
      <c r="T86" t="str">
        <f>dPublicHoliday[[#This Row],[Jour ferié]]&amp;"_"&amp;dPublicHoliday[[#This Row],[Canton]]</f>
        <v>44291_VD</v>
      </c>
      <c r="U86">
        <v>1</v>
      </c>
      <c r="W86">
        <f t="shared" si="1"/>
        <v>2</v>
      </c>
      <c r="X86" s="25">
        <v>44775</v>
      </c>
      <c r="Y86" t="s">
        <v>12</v>
      </c>
    </row>
    <row r="87" spans="17:25" x14ac:dyDescent="0.3">
      <c r="Q87" s="25">
        <v>44288</v>
      </c>
      <c r="R87" s="26" t="s">
        <v>30</v>
      </c>
      <c r="S87" t="s">
        <v>12</v>
      </c>
      <c r="T87" t="str">
        <f>dPublicHoliday[[#This Row],[Jour ferié]]&amp;"_"&amp;dPublicHoliday[[#This Row],[Canton]]</f>
        <v>44288_GE</v>
      </c>
      <c r="U87">
        <v>1</v>
      </c>
      <c r="W87">
        <f t="shared" si="1"/>
        <v>7</v>
      </c>
      <c r="X87" s="25">
        <v>45851</v>
      </c>
      <c r="Y87" t="s">
        <v>11</v>
      </c>
    </row>
    <row r="88" spans="17:25" x14ac:dyDescent="0.3">
      <c r="Q88" s="25">
        <v>44288</v>
      </c>
      <c r="R88" s="26" t="s">
        <v>30</v>
      </c>
      <c r="S88" t="s">
        <v>11</v>
      </c>
      <c r="T88" t="str">
        <f>dPublicHoliday[[#This Row],[Jour ferié]]&amp;"_"&amp;dPublicHoliday[[#This Row],[Canton]]</f>
        <v>44288_VD</v>
      </c>
      <c r="U88">
        <v>1</v>
      </c>
      <c r="W88">
        <f t="shared" si="1"/>
        <v>3</v>
      </c>
      <c r="X88" s="25">
        <v>44776</v>
      </c>
      <c r="Y88" t="s">
        <v>12</v>
      </c>
    </row>
    <row r="89" spans="17:25" x14ac:dyDescent="0.3">
      <c r="Q89" s="25">
        <v>44198</v>
      </c>
      <c r="R89" s="26" t="s">
        <v>30</v>
      </c>
      <c r="S89" t="s">
        <v>11</v>
      </c>
      <c r="T89" t="str">
        <f>dPublicHoliday[[#This Row],[Jour ferié]]&amp;"_"&amp;dPublicHoliday[[#This Row],[Canton]]</f>
        <v>44198_VD</v>
      </c>
      <c r="U89">
        <v>1</v>
      </c>
      <c r="W89">
        <f t="shared" si="1"/>
        <v>6</v>
      </c>
      <c r="X89" s="25">
        <v>45850</v>
      </c>
      <c r="Y89" t="s">
        <v>11</v>
      </c>
    </row>
    <row r="90" spans="17:25" x14ac:dyDescent="0.3">
      <c r="Q90" s="25">
        <v>44197</v>
      </c>
      <c r="R90" s="26" t="s">
        <v>30</v>
      </c>
      <c r="S90" t="s">
        <v>12</v>
      </c>
      <c r="T90" t="str">
        <f>dPublicHoliday[[#This Row],[Jour ferié]]&amp;"_"&amp;dPublicHoliday[[#This Row],[Canton]]</f>
        <v>44197_GE</v>
      </c>
      <c r="U90">
        <v>1</v>
      </c>
      <c r="W90">
        <f t="shared" si="1"/>
        <v>4</v>
      </c>
      <c r="X90" s="25">
        <v>44777</v>
      </c>
      <c r="Y90" t="s">
        <v>12</v>
      </c>
    </row>
    <row r="91" spans="17:25" x14ac:dyDescent="0.3">
      <c r="Q91" s="25">
        <v>44197</v>
      </c>
      <c r="R91" s="26" t="s">
        <v>30</v>
      </c>
      <c r="S91" t="s">
        <v>11</v>
      </c>
      <c r="T91" t="str">
        <f>dPublicHoliday[[#This Row],[Jour ferié]]&amp;"_"&amp;dPublicHoliday[[#This Row],[Canton]]</f>
        <v>44197_VD</v>
      </c>
      <c r="U91">
        <v>1</v>
      </c>
      <c r="W91">
        <f t="shared" si="1"/>
        <v>5</v>
      </c>
      <c r="X91" s="25">
        <v>45849</v>
      </c>
      <c r="Y91" t="s">
        <v>11</v>
      </c>
    </row>
    <row r="92" spans="17:25" x14ac:dyDescent="0.3">
      <c r="Q92" s="85">
        <v>46023</v>
      </c>
      <c r="R92" s="86" t="s">
        <v>30</v>
      </c>
      <c r="S92" s="86" t="s">
        <v>12</v>
      </c>
      <c r="T92" t="str">
        <f>dPublicHoliday[[#This Row],[Jour ferié]]&amp;"_"&amp;dPublicHoliday[[#This Row],[Canton]]</f>
        <v>46023_GE</v>
      </c>
      <c r="U92">
        <v>1</v>
      </c>
      <c r="W92">
        <f t="shared" si="1"/>
        <v>5</v>
      </c>
      <c r="X92" s="25">
        <v>44778</v>
      </c>
      <c r="Y92" t="s">
        <v>12</v>
      </c>
    </row>
    <row r="93" spans="17:25" x14ac:dyDescent="0.3">
      <c r="Q93" s="85">
        <v>46115</v>
      </c>
      <c r="R93" s="86" t="s">
        <v>30</v>
      </c>
      <c r="S93" s="86" t="s">
        <v>12</v>
      </c>
      <c r="T93" t="str">
        <f>dPublicHoliday[[#This Row],[Jour ferié]]&amp;"_"&amp;dPublicHoliday[[#This Row],[Canton]]</f>
        <v>46115_GE</v>
      </c>
      <c r="U93">
        <v>1</v>
      </c>
      <c r="W93">
        <f t="shared" si="1"/>
        <v>4</v>
      </c>
      <c r="X93" s="25">
        <v>45848</v>
      </c>
      <c r="Y93" t="s">
        <v>11</v>
      </c>
    </row>
    <row r="94" spans="17:25" x14ac:dyDescent="0.3">
      <c r="Q94" s="85">
        <v>46118</v>
      </c>
      <c r="R94" s="86" t="s">
        <v>30</v>
      </c>
      <c r="S94" s="86" t="s">
        <v>12</v>
      </c>
      <c r="T94" t="str">
        <f>dPublicHoliday[[#This Row],[Jour ferié]]&amp;"_"&amp;dPublicHoliday[[#This Row],[Canton]]</f>
        <v>46118_GE</v>
      </c>
      <c r="U94">
        <v>1</v>
      </c>
      <c r="W94">
        <f t="shared" si="1"/>
        <v>6</v>
      </c>
      <c r="X94" s="25">
        <v>44779</v>
      </c>
      <c r="Y94" t="s">
        <v>12</v>
      </c>
    </row>
    <row r="95" spans="17:25" x14ac:dyDescent="0.3">
      <c r="Q95" s="85">
        <v>46156</v>
      </c>
      <c r="R95" s="86" t="s">
        <v>30</v>
      </c>
      <c r="S95" s="86" t="s">
        <v>12</v>
      </c>
      <c r="T95" t="str">
        <f>dPublicHoliday[[#This Row],[Jour ferié]]&amp;"_"&amp;dPublicHoliday[[#This Row],[Canton]]</f>
        <v>46156_GE</v>
      </c>
      <c r="U95">
        <v>1</v>
      </c>
      <c r="W95">
        <f t="shared" si="1"/>
        <v>3</v>
      </c>
      <c r="X95" s="25">
        <v>45847</v>
      </c>
      <c r="Y95" t="s">
        <v>11</v>
      </c>
    </row>
    <row r="96" spans="17:25" x14ac:dyDescent="0.3">
      <c r="Q96" s="85">
        <v>46167</v>
      </c>
      <c r="R96" s="86" t="s">
        <v>30</v>
      </c>
      <c r="S96" s="86" t="s">
        <v>12</v>
      </c>
      <c r="T96" t="str">
        <f>dPublicHoliday[[#This Row],[Jour ferié]]&amp;"_"&amp;dPublicHoliday[[#This Row],[Canton]]</f>
        <v>46167_GE</v>
      </c>
      <c r="U96">
        <v>1</v>
      </c>
      <c r="W96">
        <f t="shared" si="1"/>
        <v>7</v>
      </c>
      <c r="X96" s="25">
        <v>44780</v>
      </c>
      <c r="Y96" t="s">
        <v>12</v>
      </c>
    </row>
    <row r="97" spans="17:25" x14ac:dyDescent="0.3">
      <c r="Q97" s="85">
        <v>46235</v>
      </c>
      <c r="R97" s="86" t="s">
        <v>30</v>
      </c>
      <c r="S97" s="86" t="s">
        <v>12</v>
      </c>
      <c r="T97" t="str">
        <f>dPublicHoliday[[#This Row],[Jour ferié]]&amp;"_"&amp;dPublicHoliday[[#This Row],[Canton]]</f>
        <v>46235_GE</v>
      </c>
      <c r="U97">
        <v>1</v>
      </c>
      <c r="W97">
        <f t="shared" si="1"/>
        <v>2</v>
      </c>
      <c r="X97" s="25">
        <v>45846</v>
      </c>
      <c r="Y97" t="s">
        <v>11</v>
      </c>
    </row>
    <row r="98" spans="17:25" x14ac:dyDescent="0.3">
      <c r="Q98" s="85">
        <v>46275</v>
      </c>
      <c r="R98" s="86" t="s">
        <v>30</v>
      </c>
      <c r="S98" s="86" t="s">
        <v>12</v>
      </c>
      <c r="T98" t="str">
        <f>dPublicHoliday[[#This Row],[Jour ferié]]&amp;"_"&amp;dPublicHoliday[[#This Row],[Canton]]</f>
        <v>46275_GE</v>
      </c>
      <c r="U98">
        <v>1</v>
      </c>
      <c r="W98">
        <f t="shared" si="1"/>
        <v>1</v>
      </c>
      <c r="X98" s="25">
        <v>44781</v>
      </c>
      <c r="Y98" t="s">
        <v>12</v>
      </c>
    </row>
    <row r="99" spans="17:25" x14ac:dyDescent="0.3">
      <c r="Q99" s="85">
        <v>46381</v>
      </c>
      <c r="R99" s="86" t="s">
        <v>30</v>
      </c>
      <c r="S99" s="86" t="s">
        <v>12</v>
      </c>
      <c r="T99" t="str">
        <f>dPublicHoliday[[#This Row],[Jour ferié]]&amp;"_"&amp;dPublicHoliday[[#This Row],[Canton]]</f>
        <v>46381_GE</v>
      </c>
      <c r="U99">
        <v>1</v>
      </c>
      <c r="W99">
        <f t="shared" si="1"/>
        <v>1</v>
      </c>
      <c r="X99" s="25">
        <v>45845</v>
      </c>
      <c r="Y99" t="s">
        <v>11</v>
      </c>
    </row>
    <row r="100" spans="17:25" x14ac:dyDescent="0.3">
      <c r="Q100" s="85">
        <v>46387</v>
      </c>
      <c r="R100" s="86" t="s">
        <v>30</v>
      </c>
      <c r="S100" s="86" t="s">
        <v>12</v>
      </c>
      <c r="T100" t="str">
        <f>dPublicHoliday[[#This Row],[Jour ferié]]&amp;"_"&amp;dPublicHoliday[[#This Row],[Canton]]</f>
        <v>46387_GE</v>
      </c>
      <c r="U100">
        <v>1</v>
      </c>
      <c r="W100">
        <f t="shared" si="1"/>
        <v>2</v>
      </c>
      <c r="X100" s="25">
        <v>44782</v>
      </c>
      <c r="Y100" t="s">
        <v>12</v>
      </c>
    </row>
    <row r="101" spans="17:25" x14ac:dyDescent="0.3">
      <c r="Q101" s="85">
        <v>46388</v>
      </c>
      <c r="R101" s="86" t="s">
        <v>30</v>
      </c>
      <c r="S101" s="86" t="s">
        <v>12</v>
      </c>
      <c r="T101" t="str">
        <f>dPublicHoliday[[#This Row],[Jour ferié]]&amp;"_"&amp;dPublicHoliday[[#This Row],[Canton]]</f>
        <v>46388_GE</v>
      </c>
      <c r="U101">
        <v>1</v>
      </c>
      <c r="W101">
        <f t="shared" si="1"/>
        <v>7</v>
      </c>
      <c r="X101" s="25">
        <v>45844</v>
      </c>
      <c r="Y101" t="s">
        <v>11</v>
      </c>
    </row>
    <row r="102" spans="17:25" x14ac:dyDescent="0.3">
      <c r="Q102" s="85">
        <v>46472</v>
      </c>
      <c r="R102" s="86" t="s">
        <v>30</v>
      </c>
      <c r="S102" s="86" t="s">
        <v>12</v>
      </c>
      <c r="T102" t="str">
        <f>dPublicHoliday[[#This Row],[Jour ferié]]&amp;"_"&amp;dPublicHoliday[[#This Row],[Canton]]</f>
        <v>46472_GE</v>
      </c>
      <c r="U102">
        <v>1</v>
      </c>
      <c r="W102">
        <f t="shared" si="1"/>
        <v>3</v>
      </c>
      <c r="X102" s="25">
        <v>44783</v>
      </c>
      <c r="Y102" t="s">
        <v>12</v>
      </c>
    </row>
    <row r="103" spans="17:25" x14ac:dyDescent="0.3">
      <c r="Q103" s="85">
        <v>46475</v>
      </c>
      <c r="R103" s="86" t="s">
        <v>30</v>
      </c>
      <c r="S103" s="86" t="s">
        <v>12</v>
      </c>
      <c r="T103" t="str">
        <f>dPublicHoliday[[#This Row],[Jour ferié]]&amp;"_"&amp;dPublicHoliday[[#This Row],[Canton]]</f>
        <v>46475_GE</v>
      </c>
      <c r="U103">
        <v>1</v>
      </c>
      <c r="W103">
        <f t="shared" si="1"/>
        <v>6</v>
      </c>
      <c r="X103" s="25">
        <v>45843</v>
      </c>
      <c r="Y103" t="s">
        <v>11</v>
      </c>
    </row>
    <row r="104" spans="17:25" x14ac:dyDescent="0.3">
      <c r="Q104" s="85">
        <v>46513</v>
      </c>
      <c r="R104" s="86" t="s">
        <v>30</v>
      </c>
      <c r="S104" s="86" t="s">
        <v>12</v>
      </c>
      <c r="T104" t="str">
        <f>dPublicHoliday[[#This Row],[Jour ferié]]&amp;"_"&amp;dPublicHoliday[[#This Row],[Canton]]</f>
        <v>46513_GE</v>
      </c>
      <c r="U104">
        <v>1</v>
      </c>
      <c r="W104">
        <f t="shared" si="1"/>
        <v>4</v>
      </c>
      <c r="X104" s="25">
        <v>44784</v>
      </c>
      <c r="Y104" t="s">
        <v>12</v>
      </c>
    </row>
    <row r="105" spans="17:25" x14ac:dyDescent="0.3">
      <c r="Q105" s="85">
        <v>46524</v>
      </c>
      <c r="R105" s="86" t="s">
        <v>30</v>
      </c>
      <c r="S105" s="86" t="s">
        <v>12</v>
      </c>
      <c r="T105" t="str">
        <f>dPublicHoliday[[#This Row],[Jour ferié]]&amp;"_"&amp;dPublicHoliday[[#This Row],[Canton]]</f>
        <v>46524_GE</v>
      </c>
      <c r="U105">
        <v>1</v>
      </c>
      <c r="W105">
        <f t="shared" si="1"/>
        <v>5</v>
      </c>
      <c r="X105" s="25">
        <v>45842</v>
      </c>
      <c r="Y105" t="s">
        <v>11</v>
      </c>
    </row>
    <row r="106" spans="17:25" x14ac:dyDescent="0.3">
      <c r="Q106" s="85">
        <v>46600</v>
      </c>
      <c r="R106" s="86" t="s">
        <v>30</v>
      </c>
      <c r="S106" s="86" t="s">
        <v>12</v>
      </c>
      <c r="T106" t="str">
        <f>dPublicHoliday[[#This Row],[Jour ferié]]&amp;"_"&amp;dPublicHoliday[[#This Row],[Canton]]</f>
        <v>46600_GE</v>
      </c>
      <c r="U106">
        <v>1</v>
      </c>
      <c r="W106">
        <f t="shared" si="1"/>
        <v>5</v>
      </c>
      <c r="X106" s="25">
        <v>44785</v>
      </c>
      <c r="Y106" t="s">
        <v>12</v>
      </c>
    </row>
    <row r="107" spans="17:25" x14ac:dyDescent="0.3">
      <c r="Q107" s="85">
        <v>46639</v>
      </c>
      <c r="R107" s="86" t="s">
        <v>30</v>
      </c>
      <c r="S107" s="86" t="s">
        <v>12</v>
      </c>
      <c r="T107" t="str">
        <f>dPublicHoliday[[#This Row],[Jour ferié]]&amp;"_"&amp;dPublicHoliday[[#This Row],[Canton]]</f>
        <v>46639_GE</v>
      </c>
      <c r="U107">
        <v>1</v>
      </c>
      <c r="W107">
        <f t="shared" si="1"/>
        <v>4</v>
      </c>
      <c r="X107" s="25">
        <v>45841</v>
      </c>
      <c r="Y107" t="s">
        <v>11</v>
      </c>
    </row>
    <row r="108" spans="17:25" x14ac:dyDescent="0.3">
      <c r="Q108" s="85">
        <v>46746</v>
      </c>
      <c r="R108" s="86" t="s">
        <v>30</v>
      </c>
      <c r="S108" s="86" t="s">
        <v>12</v>
      </c>
      <c r="T108" t="str">
        <f>dPublicHoliday[[#This Row],[Jour ferié]]&amp;"_"&amp;dPublicHoliday[[#This Row],[Canton]]</f>
        <v>46746_GE</v>
      </c>
      <c r="U108">
        <v>1</v>
      </c>
      <c r="W108">
        <f t="shared" si="1"/>
        <v>6</v>
      </c>
      <c r="X108" s="25">
        <v>44786</v>
      </c>
      <c r="Y108" t="s">
        <v>12</v>
      </c>
    </row>
    <row r="109" spans="17:25" x14ac:dyDescent="0.3">
      <c r="Q109" s="85">
        <v>46752</v>
      </c>
      <c r="R109" s="86" t="s">
        <v>30</v>
      </c>
      <c r="S109" s="86" t="s">
        <v>12</v>
      </c>
      <c r="T109" t="str">
        <f>dPublicHoliday[[#This Row],[Jour ferié]]&amp;"_"&amp;dPublicHoliday[[#This Row],[Canton]]</f>
        <v>46752_GE</v>
      </c>
      <c r="U109">
        <v>1</v>
      </c>
      <c r="W109">
        <f t="shared" si="1"/>
        <v>3</v>
      </c>
      <c r="X109" s="25">
        <v>45840</v>
      </c>
      <c r="Y109" t="s">
        <v>11</v>
      </c>
    </row>
    <row r="110" spans="17:25" x14ac:dyDescent="0.3">
      <c r="W110">
        <f t="shared" si="1"/>
        <v>7</v>
      </c>
      <c r="X110" s="25">
        <v>44787</v>
      </c>
      <c r="Y110" t="s">
        <v>12</v>
      </c>
    </row>
    <row r="111" spans="17:25" x14ac:dyDescent="0.3">
      <c r="W111">
        <f t="shared" si="1"/>
        <v>2</v>
      </c>
      <c r="X111" s="25">
        <v>45839</v>
      </c>
      <c r="Y111" t="s">
        <v>11</v>
      </c>
    </row>
    <row r="112" spans="17:25" x14ac:dyDescent="0.3">
      <c r="W112">
        <f t="shared" si="1"/>
        <v>1</v>
      </c>
      <c r="X112" s="25">
        <v>44788</v>
      </c>
      <c r="Y112" t="s">
        <v>12</v>
      </c>
    </row>
    <row r="113" spans="23:25" x14ac:dyDescent="0.3">
      <c r="W113">
        <f t="shared" si="1"/>
        <v>1</v>
      </c>
      <c r="X113" s="25">
        <v>45838</v>
      </c>
      <c r="Y113" t="s">
        <v>11</v>
      </c>
    </row>
    <row r="114" spans="23:25" x14ac:dyDescent="0.3">
      <c r="W114">
        <f t="shared" si="1"/>
        <v>2</v>
      </c>
      <c r="X114" s="25">
        <v>44789</v>
      </c>
      <c r="Y114" t="s">
        <v>12</v>
      </c>
    </row>
    <row r="115" spans="23:25" x14ac:dyDescent="0.3">
      <c r="W115">
        <f t="shared" si="1"/>
        <v>1</v>
      </c>
      <c r="X115" s="25">
        <v>45817</v>
      </c>
      <c r="Y115" t="s">
        <v>11</v>
      </c>
    </row>
    <row r="116" spans="23:25" x14ac:dyDescent="0.3">
      <c r="W116">
        <f t="shared" si="1"/>
        <v>3</v>
      </c>
      <c r="X116" s="25">
        <v>44790</v>
      </c>
      <c r="Y116" t="s">
        <v>12</v>
      </c>
    </row>
    <row r="117" spans="23:25" x14ac:dyDescent="0.3">
      <c r="W117">
        <f t="shared" si="1"/>
        <v>5</v>
      </c>
      <c r="X117" s="25">
        <v>45807</v>
      </c>
      <c r="Y117" t="s">
        <v>11</v>
      </c>
    </row>
    <row r="118" spans="23:25" x14ac:dyDescent="0.3">
      <c r="W118">
        <f t="shared" si="1"/>
        <v>4</v>
      </c>
      <c r="X118" s="25">
        <v>44791</v>
      </c>
      <c r="Y118" t="s">
        <v>12</v>
      </c>
    </row>
    <row r="119" spans="23:25" x14ac:dyDescent="0.3">
      <c r="W119">
        <f t="shared" si="1"/>
        <v>4</v>
      </c>
      <c r="X119" s="25">
        <v>45806</v>
      </c>
      <c r="Y119" t="s">
        <v>11</v>
      </c>
    </row>
    <row r="120" spans="23:25" x14ac:dyDescent="0.3">
      <c r="W120">
        <f t="shared" si="1"/>
        <v>5</v>
      </c>
      <c r="X120" s="25">
        <v>44792</v>
      </c>
      <c r="Y120" t="s">
        <v>12</v>
      </c>
    </row>
    <row r="121" spans="23:25" x14ac:dyDescent="0.3">
      <c r="W121">
        <f t="shared" si="1"/>
        <v>6</v>
      </c>
      <c r="X121" s="25">
        <v>44793</v>
      </c>
      <c r="Y121" t="s">
        <v>12</v>
      </c>
    </row>
    <row r="122" spans="23:25" x14ac:dyDescent="0.3">
      <c r="W122">
        <f t="shared" si="1"/>
        <v>7</v>
      </c>
      <c r="X122" s="25">
        <v>44794</v>
      </c>
      <c r="Y122" t="s">
        <v>12</v>
      </c>
    </row>
    <row r="123" spans="23:25" x14ac:dyDescent="0.3">
      <c r="W123">
        <f t="shared" si="1"/>
        <v>4</v>
      </c>
      <c r="X123" s="25">
        <v>44812</v>
      </c>
      <c r="Y123" t="s">
        <v>12</v>
      </c>
    </row>
    <row r="124" spans="23:25" x14ac:dyDescent="0.3">
      <c r="W124">
        <f t="shared" si="1"/>
        <v>1</v>
      </c>
      <c r="X124" s="25">
        <v>44858</v>
      </c>
      <c r="Y124" t="s">
        <v>12</v>
      </c>
    </row>
    <row r="125" spans="23:25" x14ac:dyDescent="0.3">
      <c r="W125">
        <f t="shared" si="1"/>
        <v>2</v>
      </c>
      <c r="X125" s="25">
        <v>44859</v>
      </c>
      <c r="Y125" t="s">
        <v>12</v>
      </c>
    </row>
    <row r="126" spans="23:25" x14ac:dyDescent="0.3">
      <c r="W126">
        <f t="shared" si="1"/>
        <v>3</v>
      </c>
      <c r="X126" s="25">
        <v>44860</v>
      </c>
      <c r="Y126" t="s">
        <v>12</v>
      </c>
    </row>
    <row r="127" spans="23:25" x14ac:dyDescent="0.3">
      <c r="W127">
        <f t="shared" si="1"/>
        <v>4</v>
      </c>
      <c r="X127" s="25">
        <v>44861</v>
      </c>
      <c r="Y127" t="s">
        <v>12</v>
      </c>
    </row>
    <row r="128" spans="23:25" x14ac:dyDescent="0.3">
      <c r="W128">
        <f t="shared" si="1"/>
        <v>5</v>
      </c>
      <c r="X128" s="25">
        <v>45772</v>
      </c>
      <c r="Y128" t="s">
        <v>11</v>
      </c>
    </row>
    <row r="129" spans="23:25" x14ac:dyDescent="0.3">
      <c r="W129">
        <f t="shared" si="1"/>
        <v>5</v>
      </c>
      <c r="X129" s="25">
        <v>44862</v>
      </c>
      <c r="Y129" t="s">
        <v>12</v>
      </c>
    </row>
    <row r="130" spans="23:25" x14ac:dyDescent="0.3">
      <c r="W130">
        <f t="shared" ref="W130:W193" si="2">WEEKDAY(X130,2)</f>
        <v>4</v>
      </c>
      <c r="X130" s="25">
        <v>45771</v>
      </c>
      <c r="Y130" t="s">
        <v>11</v>
      </c>
    </row>
    <row r="131" spans="23:25" x14ac:dyDescent="0.3">
      <c r="W131">
        <f t="shared" si="2"/>
        <v>7</v>
      </c>
      <c r="X131" s="25">
        <v>44920</v>
      </c>
      <c r="Y131" t="s">
        <v>12</v>
      </c>
    </row>
    <row r="132" spans="23:25" x14ac:dyDescent="0.3">
      <c r="W132">
        <f t="shared" si="2"/>
        <v>3</v>
      </c>
      <c r="X132" s="25">
        <v>45770</v>
      </c>
      <c r="Y132" t="s">
        <v>11</v>
      </c>
    </row>
    <row r="133" spans="23:25" x14ac:dyDescent="0.3">
      <c r="W133">
        <f t="shared" si="2"/>
        <v>1</v>
      </c>
      <c r="X133" s="25">
        <v>44921</v>
      </c>
      <c r="Y133" t="s">
        <v>12</v>
      </c>
    </row>
    <row r="134" spans="23:25" x14ac:dyDescent="0.3">
      <c r="W134">
        <f t="shared" si="2"/>
        <v>2</v>
      </c>
      <c r="X134" s="25">
        <v>45769</v>
      </c>
      <c r="Y134" t="s">
        <v>11</v>
      </c>
    </row>
    <row r="135" spans="23:25" x14ac:dyDescent="0.3">
      <c r="W135">
        <f t="shared" si="2"/>
        <v>2</v>
      </c>
      <c r="X135" s="25">
        <v>44922</v>
      </c>
      <c r="Y135" t="s">
        <v>12</v>
      </c>
    </row>
    <row r="136" spans="23:25" x14ac:dyDescent="0.3">
      <c r="W136">
        <f t="shared" si="2"/>
        <v>1</v>
      </c>
      <c r="X136" s="25">
        <v>45768</v>
      </c>
      <c r="Y136" t="s">
        <v>11</v>
      </c>
    </row>
    <row r="137" spans="23:25" x14ac:dyDescent="0.3">
      <c r="W137">
        <f t="shared" si="2"/>
        <v>3</v>
      </c>
      <c r="X137" s="25">
        <v>44923</v>
      </c>
      <c r="Y137" t="s">
        <v>12</v>
      </c>
    </row>
    <row r="138" spans="23:25" x14ac:dyDescent="0.3">
      <c r="W138">
        <f t="shared" si="2"/>
        <v>7</v>
      </c>
      <c r="X138" s="25">
        <v>45767</v>
      </c>
      <c r="Y138" t="s">
        <v>11</v>
      </c>
    </row>
    <row r="139" spans="23:25" x14ac:dyDescent="0.3">
      <c r="W139">
        <f t="shared" si="2"/>
        <v>4</v>
      </c>
      <c r="X139" s="25">
        <v>44924</v>
      </c>
      <c r="Y139" t="s">
        <v>12</v>
      </c>
    </row>
    <row r="140" spans="23:25" x14ac:dyDescent="0.3">
      <c r="W140">
        <f t="shared" si="2"/>
        <v>6</v>
      </c>
      <c r="X140" s="25">
        <v>45766</v>
      </c>
      <c r="Y140" t="s">
        <v>11</v>
      </c>
    </row>
    <row r="141" spans="23:25" x14ac:dyDescent="0.3">
      <c r="W141">
        <f t="shared" si="2"/>
        <v>5</v>
      </c>
      <c r="X141" s="25">
        <v>44925</v>
      </c>
      <c r="Y141" t="s">
        <v>12</v>
      </c>
    </row>
    <row r="142" spans="23:25" x14ac:dyDescent="0.3">
      <c r="W142">
        <f t="shared" si="2"/>
        <v>5</v>
      </c>
      <c r="X142" s="25">
        <v>45765</v>
      </c>
      <c r="Y142" t="s">
        <v>11</v>
      </c>
    </row>
    <row r="143" spans="23:25" x14ac:dyDescent="0.3">
      <c r="W143">
        <f t="shared" si="2"/>
        <v>6</v>
      </c>
      <c r="X143" s="25">
        <v>44926</v>
      </c>
      <c r="Y143" t="s">
        <v>12</v>
      </c>
    </row>
    <row r="144" spans="23:25" x14ac:dyDescent="0.3">
      <c r="W144">
        <f t="shared" si="2"/>
        <v>4</v>
      </c>
      <c r="X144" s="25">
        <v>45764</v>
      </c>
      <c r="Y144" t="s">
        <v>11</v>
      </c>
    </row>
    <row r="145" spans="23:25" x14ac:dyDescent="0.3">
      <c r="W145">
        <f t="shared" si="2"/>
        <v>3</v>
      </c>
      <c r="X145" s="25">
        <v>45763</v>
      </c>
      <c r="Y145" t="s">
        <v>11</v>
      </c>
    </row>
    <row r="146" spans="23:25" x14ac:dyDescent="0.3">
      <c r="W146">
        <f t="shared" si="2"/>
        <v>2</v>
      </c>
      <c r="X146" s="25">
        <v>45762</v>
      </c>
      <c r="Y146" t="s">
        <v>11</v>
      </c>
    </row>
    <row r="147" spans="23:25" x14ac:dyDescent="0.3">
      <c r="W147">
        <f t="shared" si="2"/>
        <v>1</v>
      </c>
      <c r="X147" s="25">
        <v>45761</v>
      </c>
      <c r="Y147" t="s">
        <v>11</v>
      </c>
    </row>
    <row r="148" spans="23:25" x14ac:dyDescent="0.3">
      <c r="W148">
        <f t="shared" si="2"/>
        <v>7</v>
      </c>
      <c r="X148" s="25">
        <v>44927</v>
      </c>
      <c r="Y148" t="s">
        <v>12</v>
      </c>
    </row>
    <row r="149" spans="23:25" x14ac:dyDescent="0.3">
      <c r="W149">
        <f t="shared" si="2"/>
        <v>1</v>
      </c>
      <c r="X149" s="25">
        <v>44928</v>
      </c>
      <c r="Y149" t="s">
        <v>12</v>
      </c>
    </row>
    <row r="150" spans="23:25" x14ac:dyDescent="0.3">
      <c r="W150">
        <f t="shared" si="2"/>
        <v>2</v>
      </c>
      <c r="X150" s="25">
        <v>44929</v>
      </c>
      <c r="Y150" t="s">
        <v>12</v>
      </c>
    </row>
    <row r="151" spans="23:25" x14ac:dyDescent="0.3">
      <c r="W151">
        <f t="shared" si="2"/>
        <v>3</v>
      </c>
      <c r="X151" s="25">
        <v>44930</v>
      </c>
      <c r="Y151" t="s">
        <v>12</v>
      </c>
    </row>
    <row r="152" spans="23:25" x14ac:dyDescent="0.3">
      <c r="W152">
        <f t="shared" si="2"/>
        <v>4</v>
      </c>
      <c r="X152" s="25">
        <v>44931</v>
      </c>
      <c r="Y152" t="s">
        <v>12</v>
      </c>
    </row>
    <row r="153" spans="23:25" x14ac:dyDescent="0.3">
      <c r="W153">
        <f t="shared" si="2"/>
        <v>5</v>
      </c>
      <c r="X153" s="25">
        <v>45709</v>
      </c>
      <c r="Y153" t="s">
        <v>11</v>
      </c>
    </row>
    <row r="154" spans="23:25" x14ac:dyDescent="0.3">
      <c r="W154">
        <f t="shared" si="2"/>
        <v>4</v>
      </c>
      <c r="X154" s="25">
        <v>45708</v>
      </c>
      <c r="Y154" t="s">
        <v>11</v>
      </c>
    </row>
    <row r="155" spans="23:25" x14ac:dyDescent="0.3">
      <c r="W155">
        <f t="shared" si="2"/>
        <v>3</v>
      </c>
      <c r="X155" s="25">
        <v>45707</v>
      </c>
      <c r="Y155" t="s">
        <v>11</v>
      </c>
    </row>
    <row r="156" spans="23:25" x14ac:dyDescent="0.3">
      <c r="W156">
        <f t="shared" si="2"/>
        <v>2</v>
      </c>
      <c r="X156" s="25">
        <v>45706</v>
      </c>
      <c r="Y156" t="s">
        <v>11</v>
      </c>
    </row>
    <row r="157" spans="23:25" x14ac:dyDescent="0.3">
      <c r="W157">
        <f t="shared" si="2"/>
        <v>1</v>
      </c>
      <c r="X157" s="25">
        <v>45705</v>
      </c>
      <c r="Y157" t="s">
        <v>11</v>
      </c>
    </row>
    <row r="158" spans="23:25" x14ac:dyDescent="0.3">
      <c r="W158">
        <f t="shared" si="2"/>
        <v>5</v>
      </c>
      <c r="X158" s="25">
        <v>45660</v>
      </c>
      <c r="Y158" t="s">
        <v>11</v>
      </c>
    </row>
    <row r="159" spans="23:25" x14ac:dyDescent="0.3">
      <c r="W159">
        <f t="shared" si="2"/>
        <v>5</v>
      </c>
      <c r="X159" s="25">
        <v>44932</v>
      </c>
      <c r="Y159" t="s">
        <v>12</v>
      </c>
    </row>
    <row r="160" spans="23:25" x14ac:dyDescent="0.3">
      <c r="W160">
        <f t="shared" si="2"/>
        <v>4</v>
      </c>
      <c r="X160" s="25">
        <v>45659</v>
      </c>
      <c r="Y160" t="s">
        <v>11</v>
      </c>
    </row>
    <row r="161" spans="23:25" x14ac:dyDescent="0.3">
      <c r="W161">
        <f t="shared" si="2"/>
        <v>1</v>
      </c>
      <c r="X161" s="25">
        <v>44977</v>
      </c>
      <c r="Y161" t="s">
        <v>12</v>
      </c>
    </row>
    <row r="162" spans="23:25" x14ac:dyDescent="0.3">
      <c r="W162">
        <f t="shared" si="2"/>
        <v>3</v>
      </c>
      <c r="X162" s="25">
        <v>45658</v>
      </c>
      <c r="Y162" t="s">
        <v>11</v>
      </c>
    </row>
    <row r="163" spans="23:25" x14ac:dyDescent="0.3">
      <c r="W163">
        <f t="shared" si="2"/>
        <v>2</v>
      </c>
      <c r="X163" s="25">
        <v>44978</v>
      </c>
      <c r="Y163" t="s">
        <v>12</v>
      </c>
    </row>
    <row r="164" spans="23:25" x14ac:dyDescent="0.3">
      <c r="W164">
        <f t="shared" si="2"/>
        <v>2</v>
      </c>
      <c r="X164" s="25">
        <v>45657</v>
      </c>
      <c r="Y164" t="s">
        <v>11</v>
      </c>
    </row>
    <row r="165" spans="23:25" x14ac:dyDescent="0.3">
      <c r="W165">
        <f t="shared" si="2"/>
        <v>3</v>
      </c>
      <c r="X165" s="25">
        <v>44979</v>
      </c>
      <c r="Y165" t="s">
        <v>12</v>
      </c>
    </row>
    <row r="166" spans="23:25" x14ac:dyDescent="0.3">
      <c r="W166">
        <f t="shared" si="2"/>
        <v>1</v>
      </c>
      <c r="X166" s="25">
        <v>45656</v>
      </c>
      <c r="Y166" t="s">
        <v>11</v>
      </c>
    </row>
    <row r="167" spans="23:25" x14ac:dyDescent="0.3">
      <c r="W167">
        <f t="shared" si="2"/>
        <v>4</v>
      </c>
      <c r="X167" s="25">
        <v>44980</v>
      </c>
      <c r="Y167" t="s">
        <v>12</v>
      </c>
    </row>
    <row r="168" spans="23:25" x14ac:dyDescent="0.3">
      <c r="W168">
        <f t="shared" si="2"/>
        <v>7</v>
      </c>
      <c r="X168" s="25">
        <v>45655</v>
      </c>
      <c r="Y168" t="s">
        <v>11</v>
      </c>
    </row>
    <row r="169" spans="23:25" x14ac:dyDescent="0.3">
      <c r="W169">
        <f t="shared" si="2"/>
        <v>5</v>
      </c>
      <c r="X169" s="25">
        <v>44981</v>
      </c>
      <c r="Y169" t="s">
        <v>12</v>
      </c>
    </row>
    <row r="170" spans="23:25" x14ac:dyDescent="0.3">
      <c r="W170">
        <f t="shared" si="2"/>
        <v>6</v>
      </c>
      <c r="X170" s="25">
        <v>45654</v>
      </c>
      <c r="Y170" t="s">
        <v>11</v>
      </c>
    </row>
    <row r="171" spans="23:25" x14ac:dyDescent="0.3">
      <c r="W171">
        <f t="shared" si="2"/>
        <v>5</v>
      </c>
      <c r="X171" s="25">
        <v>45023</v>
      </c>
      <c r="Y171" t="s">
        <v>12</v>
      </c>
    </row>
    <row r="172" spans="23:25" x14ac:dyDescent="0.3">
      <c r="W172">
        <f t="shared" si="2"/>
        <v>5</v>
      </c>
      <c r="X172" s="25">
        <v>45653</v>
      </c>
      <c r="Y172" t="s">
        <v>11</v>
      </c>
    </row>
    <row r="173" spans="23:25" x14ac:dyDescent="0.3">
      <c r="W173">
        <f t="shared" si="2"/>
        <v>6</v>
      </c>
      <c r="X173" s="25">
        <v>45024</v>
      </c>
      <c r="Y173" t="s">
        <v>12</v>
      </c>
    </row>
    <row r="174" spans="23:25" x14ac:dyDescent="0.3">
      <c r="W174">
        <f t="shared" si="2"/>
        <v>4</v>
      </c>
      <c r="X174" s="25">
        <v>45652</v>
      </c>
      <c r="Y174" t="s">
        <v>11</v>
      </c>
    </row>
    <row r="175" spans="23:25" x14ac:dyDescent="0.3">
      <c r="W175">
        <f t="shared" si="2"/>
        <v>7</v>
      </c>
      <c r="X175" s="25">
        <v>45025</v>
      </c>
      <c r="Y175" t="s">
        <v>12</v>
      </c>
    </row>
    <row r="176" spans="23:25" x14ac:dyDescent="0.3">
      <c r="W176">
        <f t="shared" si="2"/>
        <v>3</v>
      </c>
      <c r="X176" s="25">
        <v>45651</v>
      </c>
      <c r="Y176" t="s">
        <v>11</v>
      </c>
    </row>
    <row r="177" spans="23:25" x14ac:dyDescent="0.3">
      <c r="W177">
        <f t="shared" si="2"/>
        <v>1</v>
      </c>
      <c r="X177" s="25">
        <v>45026</v>
      </c>
      <c r="Y177" t="s">
        <v>12</v>
      </c>
    </row>
    <row r="178" spans="23:25" x14ac:dyDescent="0.3">
      <c r="W178">
        <f t="shared" si="2"/>
        <v>2</v>
      </c>
      <c r="X178" s="25">
        <v>45650</v>
      </c>
      <c r="Y178" t="s">
        <v>11</v>
      </c>
    </row>
    <row r="179" spans="23:25" x14ac:dyDescent="0.3">
      <c r="W179">
        <f t="shared" si="2"/>
        <v>2</v>
      </c>
      <c r="X179" s="25">
        <v>45027</v>
      </c>
      <c r="Y179" t="s">
        <v>12</v>
      </c>
    </row>
    <row r="180" spans="23:25" x14ac:dyDescent="0.3">
      <c r="W180">
        <f t="shared" si="2"/>
        <v>1</v>
      </c>
      <c r="X180" s="25">
        <v>45649</v>
      </c>
      <c r="Y180" t="s">
        <v>11</v>
      </c>
    </row>
    <row r="181" spans="23:25" x14ac:dyDescent="0.3">
      <c r="W181">
        <f t="shared" si="2"/>
        <v>3</v>
      </c>
      <c r="X181" s="25">
        <v>45028</v>
      </c>
      <c r="Y181" t="s">
        <v>12</v>
      </c>
    </row>
    <row r="182" spans="23:25" x14ac:dyDescent="0.3">
      <c r="W182">
        <f t="shared" si="2"/>
        <v>5</v>
      </c>
      <c r="X182" s="25">
        <v>45590</v>
      </c>
      <c r="Y182" t="s">
        <v>11</v>
      </c>
    </row>
    <row r="183" spans="23:25" x14ac:dyDescent="0.3">
      <c r="W183">
        <f t="shared" si="2"/>
        <v>4</v>
      </c>
      <c r="X183" s="25">
        <v>45029</v>
      </c>
      <c r="Y183" t="s">
        <v>12</v>
      </c>
    </row>
    <row r="184" spans="23:25" x14ac:dyDescent="0.3">
      <c r="W184">
        <f t="shared" si="2"/>
        <v>4</v>
      </c>
      <c r="X184" s="25">
        <v>45589</v>
      </c>
      <c r="Y184" t="s">
        <v>11</v>
      </c>
    </row>
    <row r="185" spans="23:25" x14ac:dyDescent="0.3">
      <c r="W185">
        <f t="shared" si="2"/>
        <v>5</v>
      </c>
      <c r="X185" s="25">
        <v>45030</v>
      </c>
      <c r="Y185" t="s">
        <v>12</v>
      </c>
    </row>
    <row r="186" spans="23:25" x14ac:dyDescent="0.3">
      <c r="W186">
        <f t="shared" si="2"/>
        <v>3</v>
      </c>
      <c r="X186" s="25">
        <v>45588</v>
      </c>
      <c r="Y186" t="s">
        <v>11</v>
      </c>
    </row>
    <row r="187" spans="23:25" x14ac:dyDescent="0.3">
      <c r="W187">
        <f t="shared" si="2"/>
        <v>6</v>
      </c>
      <c r="X187" s="25">
        <v>45031</v>
      </c>
      <c r="Y187" t="s">
        <v>12</v>
      </c>
    </row>
    <row r="188" spans="23:25" x14ac:dyDescent="0.3">
      <c r="W188">
        <f t="shared" si="2"/>
        <v>2</v>
      </c>
      <c r="X188" s="25">
        <v>45587</v>
      </c>
      <c r="Y188" t="s">
        <v>11</v>
      </c>
    </row>
    <row r="189" spans="23:25" x14ac:dyDescent="0.3">
      <c r="W189">
        <f t="shared" si="2"/>
        <v>7</v>
      </c>
      <c r="X189" s="25">
        <v>45032</v>
      </c>
      <c r="Y189" t="s">
        <v>12</v>
      </c>
    </row>
    <row r="190" spans="23:25" x14ac:dyDescent="0.3">
      <c r="W190">
        <f t="shared" si="2"/>
        <v>1</v>
      </c>
      <c r="X190" s="25">
        <v>45586</v>
      </c>
      <c r="Y190" t="s">
        <v>11</v>
      </c>
    </row>
    <row r="191" spans="23:25" x14ac:dyDescent="0.3">
      <c r="W191">
        <f t="shared" si="2"/>
        <v>1</v>
      </c>
      <c r="X191" s="25">
        <v>45033</v>
      </c>
      <c r="Y191" t="s">
        <v>12</v>
      </c>
    </row>
    <row r="192" spans="23:25" x14ac:dyDescent="0.3">
      <c r="W192">
        <f t="shared" si="2"/>
        <v>7</v>
      </c>
      <c r="X192" s="25">
        <v>45585</v>
      </c>
      <c r="Y192" t="s">
        <v>11</v>
      </c>
    </row>
    <row r="193" spans="23:25" x14ac:dyDescent="0.3">
      <c r="W193">
        <f t="shared" si="2"/>
        <v>6</v>
      </c>
      <c r="X193" s="25">
        <v>45584</v>
      </c>
      <c r="Y193" t="s">
        <v>11</v>
      </c>
    </row>
    <row r="194" spans="23:25" x14ac:dyDescent="0.3">
      <c r="W194">
        <f t="shared" ref="W194:W257" si="3">WEEKDAY(X194,2)</f>
        <v>5</v>
      </c>
      <c r="X194" s="25">
        <v>45583</v>
      </c>
      <c r="Y194" t="s">
        <v>11</v>
      </c>
    </row>
    <row r="195" spans="23:25" x14ac:dyDescent="0.3">
      <c r="W195">
        <f t="shared" si="3"/>
        <v>4</v>
      </c>
      <c r="X195" s="25">
        <v>45582</v>
      </c>
      <c r="Y195" t="s">
        <v>11</v>
      </c>
    </row>
    <row r="196" spans="23:25" x14ac:dyDescent="0.3">
      <c r="W196">
        <f t="shared" si="3"/>
        <v>3</v>
      </c>
      <c r="X196" s="25">
        <v>45581</v>
      </c>
      <c r="Y196" t="s">
        <v>11</v>
      </c>
    </row>
    <row r="197" spans="23:25" x14ac:dyDescent="0.3">
      <c r="W197">
        <f t="shared" si="3"/>
        <v>2</v>
      </c>
      <c r="X197" s="25">
        <v>45580</v>
      </c>
      <c r="Y197" t="s">
        <v>11</v>
      </c>
    </row>
    <row r="198" spans="23:25" x14ac:dyDescent="0.3">
      <c r="W198">
        <f t="shared" si="3"/>
        <v>1</v>
      </c>
      <c r="X198" s="25">
        <v>45579</v>
      </c>
      <c r="Y198" t="s">
        <v>11</v>
      </c>
    </row>
    <row r="199" spans="23:25" x14ac:dyDescent="0.3">
      <c r="W199">
        <f t="shared" si="3"/>
        <v>1</v>
      </c>
      <c r="X199" s="25">
        <v>45551</v>
      </c>
      <c r="Y199" t="s">
        <v>11</v>
      </c>
    </row>
    <row r="200" spans="23:25" x14ac:dyDescent="0.3">
      <c r="W200">
        <f t="shared" si="3"/>
        <v>2</v>
      </c>
      <c r="X200" s="25">
        <v>45034</v>
      </c>
      <c r="Y200" t="s">
        <v>12</v>
      </c>
    </row>
    <row r="201" spans="23:25" x14ac:dyDescent="0.3">
      <c r="W201">
        <f t="shared" si="3"/>
        <v>3</v>
      </c>
      <c r="X201" s="25">
        <v>45035</v>
      </c>
      <c r="Y201" t="s">
        <v>12</v>
      </c>
    </row>
    <row r="202" spans="23:25" x14ac:dyDescent="0.3">
      <c r="W202">
        <f t="shared" si="3"/>
        <v>4</v>
      </c>
      <c r="X202" s="25">
        <v>45036</v>
      </c>
      <c r="Y202" t="s">
        <v>12</v>
      </c>
    </row>
    <row r="203" spans="23:25" x14ac:dyDescent="0.3">
      <c r="W203">
        <f t="shared" si="3"/>
        <v>5</v>
      </c>
      <c r="X203" s="25">
        <v>45520</v>
      </c>
      <c r="Y203" t="s">
        <v>11</v>
      </c>
    </row>
    <row r="204" spans="23:25" x14ac:dyDescent="0.3">
      <c r="W204">
        <f t="shared" si="3"/>
        <v>5</v>
      </c>
      <c r="X204" s="25">
        <v>45037</v>
      </c>
      <c r="Y204" t="s">
        <v>12</v>
      </c>
    </row>
    <row r="205" spans="23:25" x14ac:dyDescent="0.3">
      <c r="W205">
        <f t="shared" si="3"/>
        <v>4</v>
      </c>
      <c r="X205" s="25">
        <v>45519</v>
      </c>
      <c r="Y205" t="s">
        <v>11</v>
      </c>
    </row>
    <row r="206" spans="23:25" x14ac:dyDescent="0.3">
      <c r="W206">
        <f t="shared" si="3"/>
        <v>1</v>
      </c>
      <c r="X206" s="25">
        <v>45047</v>
      </c>
      <c r="Y206" t="s">
        <v>12</v>
      </c>
    </row>
    <row r="207" spans="23:25" x14ac:dyDescent="0.3">
      <c r="W207">
        <f t="shared" si="3"/>
        <v>3</v>
      </c>
      <c r="X207" s="25">
        <v>45518</v>
      </c>
      <c r="Y207" t="s">
        <v>11</v>
      </c>
    </row>
    <row r="208" spans="23:25" x14ac:dyDescent="0.3">
      <c r="W208">
        <f t="shared" si="3"/>
        <v>4</v>
      </c>
      <c r="X208" s="25">
        <v>45064</v>
      </c>
      <c r="Y208" t="s">
        <v>12</v>
      </c>
    </row>
    <row r="209" spans="23:25" x14ac:dyDescent="0.3">
      <c r="W209">
        <f t="shared" si="3"/>
        <v>2</v>
      </c>
      <c r="X209" s="25">
        <v>45517</v>
      </c>
      <c r="Y209" t="s">
        <v>11</v>
      </c>
    </row>
    <row r="210" spans="23:25" x14ac:dyDescent="0.3">
      <c r="W210">
        <f t="shared" si="3"/>
        <v>5</v>
      </c>
      <c r="X210" s="25">
        <v>45065</v>
      </c>
      <c r="Y210" t="s">
        <v>12</v>
      </c>
    </row>
    <row r="211" spans="23:25" x14ac:dyDescent="0.3">
      <c r="W211">
        <f t="shared" si="3"/>
        <v>1</v>
      </c>
      <c r="X211" s="25">
        <v>45516</v>
      </c>
      <c r="Y211" t="s">
        <v>11</v>
      </c>
    </row>
    <row r="212" spans="23:25" x14ac:dyDescent="0.3">
      <c r="W212">
        <f t="shared" si="3"/>
        <v>1</v>
      </c>
      <c r="X212" s="25">
        <v>45075</v>
      </c>
      <c r="Y212" t="s">
        <v>12</v>
      </c>
    </row>
    <row r="213" spans="23:25" x14ac:dyDescent="0.3">
      <c r="W213">
        <f t="shared" si="3"/>
        <v>7</v>
      </c>
      <c r="X213" s="25">
        <v>45515</v>
      </c>
      <c r="Y213" t="s">
        <v>11</v>
      </c>
    </row>
    <row r="214" spans="23:25" x14ac:dyDescent="0.3">
      <c r="W214">
        <f t="shared" si="3"/>
        <v>1</v>
      </c>
      <c r="X214" s="25">
        <v>45110</v>
      </c>
      <c r="Y214" t="s">
        <v>12</v>
      </c>
    </row>
    <row r="215" spans="23:25" x14ac:dyDescent="0.3">
      <c r="W215">
        <f t="shared" si="3"/>
        <v>6</v>
      </c>
      <c r="X215" s="25">
        <v>45514</v>
      </c>
      <c r="Y215" t="s">
        <v>11</v>
      </c>
    </row>
    <row r="216" spans="23:25" x14ac:dyDescent="0.3">
      <c r="W216">
        <f t="shared" si="3"/>
        <v>2</v>
      </c>
      <c r="X216" s="25">
        <v>45111</v>
      </c>
      <c r="Y216" t="s">
        <v>12</v>
      </c>
    </row>
    <row r="217" spans="23:25" x14ac:dyDescent="0.3">
      <c r="W217">
        <f t="shared" si="3"/>
        <v>5</v>
      </c>
      <c r="X217" s="25">
        <v>45513</v>
      </c>
      <c r="Y217" t="s">
        <v>11</v>
      </c>
    </row>
    <row r="218" spans="23:25" x14ac:dyDescent="0.3">
      <c r="W218">
        <f t="shared" si="3"/>
        <v>3</v>
      </c>
      <c r="X218" s="25">
        <v>45112</v>
      </c>
      <c r="Y218" t="s">
        <v>12</v>
      </c>
    </row>
    <row r="219" spans="23:25" x14ac:dyDescent="0.3">
      <c r="W219">
        <f t="shared" si="3"/>
        <v>4</v>
      </c>
      <c r="X219" s="25">
        <v>45512</v>
      </c>
      <c r="Y219" t="s">
        <v>11</v>
      </c>
    </row>
    <row r="220" spans="23:25" x14ac:dyDescent="0.3">
      <c r="W220">
        <f t="shared" si="3"/>
        <v>4</v>
      </c>
      <c r="X220" s="25">
        <v>45113</v>
      </c>
      <c r="Y220" t="s">
        <v>12</v>
      </c>
    </row>
    <row r="221" spans="23:25" x14ac:dyDescent="0.3">
      <c r="W221">
        <f t="shared" si="3"/>
        <v>3</v>
      </c>
      <c r="X221" s="25">
        <v>45511</v>
      </c>
      <c r="Y221" t="s">
        <v>11</v>
      </c>
    </row>
    <row r="222" spans="23:25" x14ac:dyDescent="0.3">
      <c r="W222">
        <f t="shared" si="3"/>
        <v>5</v>
      </c>
      <c r="X222" s="25">
        <v>45114</v>
      </c>
      <c r="Y222" t="s">
        <v>12</v>
      </c>
    </row>
    <row r="223" spans="23:25" x14ac:dyDescent="0.3">
      <c r="W223">
        <f t="shared" si="3"/>
        <v>2</v>
      </c>
      <c r="X223" s="25">
        <v>45510</v>
      </c>
      <c r="Y223" t="s">
        <v>11</v>
      </c>
    </row>
    <row r="224" spans="23:25" x14ac:dyDescent="0.3">
      <c r="W224">
        <f t="shared" si="3"/>
        <v>6</v>
      </c>
      <c r="X224" s="25">
        <v>45115</v>
      </c>
      <c r="Y224" t="s">
        <v>12</v>
      </c>
    </row>
    <row r="225" spans="23:25" x14ac:dyDescent="0.3">
      <c r="W225">
        <f t="shared" si="3"/>
        <v>1</v>
      </c>
      <c r="X225" s="25">
        <v>45509</v>
      </c>
      <c r="Y225" t="s">
        <v>11</v>
      </c>
    </row>
    <row r="226" spans="23:25" x14ac:dyDescent="0.3">
      <c r="W226">
        <f t="shared" si="3"/>
        <v>7</v>
      </c>
      <c r="X226" s="25">
        <v>45116</v>
      </c>
      <c r="Y226" t="s">
        <v>12</v>
      </c>
    </row>
    <row r="227" spans="23:25" x14ac:dyDescent="0.3">
      <c r="W227">
        <f t="shared" si="3"/>
        <v>7</v>
      </c>
      <c r="X227" s="25">
        <v>45508</v>
      </c>
      <c r="Y227" t="s">
        <v>11</v>
      </c>
    </row>
    <row r="228" spans="23:25" x14ac:dyDescent="0.3">
      <c r="W228">
        <f t="shared" si="3"/>
        <v>1</v>
      </c>
      <c r="X228" s="25">
        <v>45117</v>
      </c>
      <c r="Y228" t="s">
        <v>12</v>
      </c>
    </row>
    <row r="229" spans="23:25" x14ac:dyDescent="0.3">
      <c r="W229">
        <f t="shared" si="3"/>
        <v>6</v>
      </c>
      <c r="X229" s="25">
        <v>45507</v>
      </c>
      <c r="Y229" t="s">
        <v>11</v>
      </c>
    </row>
    <row r="230" spans="23:25" x14ac:dyDescent="0.3">
      <c r="W230">
        <f t="shared" si="3"/>
        <v>2</v>
      </c>
      <c r="X230" s="25">
        <v>45118</v>
      </c>
      <c r="Y230" t="s">
        <v>12</v>
      </c>
    </row>
    <row r="231" spans="23:25" x14ac:dyDescent="0.3">
      <c r="W231">
        <f t="shared" si="3"/>
        <v>5</v>
      </c>
      <c r="X231" s="25">
        <v>45506</v>
      </c>
      <c r="Y231" t="s">
        <v>11</v>
      </c>
    </row>
    <row r="232" spans="23:25" x14ac:dyDescent="0.3">
      <c r="W232">
        <f t="shared" si="3"/>
        <v>3</v>
      </c>
      <c r="X232" s="25">
        <v>45119</v>
      </c>
      <c r="Y232" t="s">
        <v>12</v>
      </c>
    </row>
    <row r="233" spans="23:25" x14ac:dyDescent="0.3">
      <c r="W233">
        <f t="shared" si="3"/>
        <v>4</v>
      </c>
      <c r="X233" s="25">
        <v>45505</v>
      </c>
      <c r="Y233" t="s">
        <v>11</v>
      </c>
    </row>
    <row r="234" spans="23:25" x14ac:dyDescent="0.3">
      <c r="W234">
        <f t="shared" si="3"/>
        <v>4</v>
      </c>
      <c r="X234" s="25">
        <v>45120</v>
      </c>
      <c r="Y234" t="s">
        <v>12</v>
      </c>
    </row>
    <row r="235" spans="23:25" x14ac:dyDescent="0.3">
      <c r="W235">
        <f t="shared" si="3"/>
        <v>3</v>
      </c>
      <c r="X235" s="25">
        <v>45504</v>
      </c>
      <c r="Y235" t="s">
        <v>11</v>
      </c>
    </row>
    <row r="236" spans="23:25" x14ac:dyDescent="0.3">
      <c r="W236">
        <f t="shared" si="3"/>
        <v>5</v>
      </c>
      <c r="X236" s="25">
        <v>45121</v>
      </c>
      <c r="Y236" t="s">
        <v>12</v>
      </c>
    </row>
    <row r="237" spans="23:25" x14ac:dyDescent="0.3">
      <c r="W237">
        <f t="shared" si="3"/>
        <v>2</v>
      </c>
      <c r="X237" s="25">
        <v>45503</v>
      </c>
      <c r="Y237" t="s">
        <v>11</v>
      </c>
    </row>
    <row r="238" spans="23:25" x14ac:dyDescent="0.3">
      <c r="W238">
        <f t="shared" si="3"/>
        <v>6</v>
      </c>
      <c r="X238" s="25">
        <v>45122</v>
      </c>
      <c r="Y238" t="s">
        <v>12</v>
      </c>
    </row>
    <row r="239" spans="23:25" x14ac:dyDescent="0.3">
      <c r="W239">
        <f t="shared" si="3"/>
        <v>1</v>
      </c>
      <c r="X239" s="25">
        <v>45502</v>
      </c>
      <c r="Y239" t="s">
        <v>11</v>
      </c>
    </row>
    <row r="240" spans="23:25" x14ac:dyDescent="0.3">
      <c r="W240">
        <f t="shared" si="3"/>
        <v>7</v>
      </c>
      <c r="X240" s="25">
        <v>45123</v>
      </c>
      <c r="Y240" t="s">
        <v>12</v>
      </c>
    </row>
    <row r="241" spans="23:25" x14ac:dyDescent="0.3">
      <c r="W241">
        <f t="shared" si="3"/>
        <v>7</v>
      </c>
      <c r="X241" s="25">
        <v>45501</v>
      </c>
      <c r="Y241" t="s">
        <v>11</v>
      </c>
    </row>
    <row r="242" spans="23:25" x14ac:dyDescent="0.3">
      <c r="W242">
        <f t="shared" si="3"/>
        <v>1</v>
      </c>
      <c r="X242" s="25">
        <v>45124</v>
      </c>
      <c r="Y242" t="s">
        <v>12</v>
      </c>
    </row>
    <row r="243" spans="23:25" x14ac:dyDescent="0.3">
      <c r="W243">
        <f t="shared" si="3"/>
        <v>6</v>
      </c>
      <c r="X243" s="25">
        <v>45500</v>
      </c>
      <c r="Y243" t="s">
        <v>11</v>
      </c>
    </row>
    <row r="244" spans="23:25" x14ac:dyDescent="0.3">
      <c r="W244">
        <f t="shared" si="3"/>
        <v>2</v>
      </c>
      <c r="X244" s="25">
        <v>45125</v>
      </c>
      <c r="Y244" t="s">
        <v>12</v>
      </c>
    </row>
    <row r="245" spans="23:25" x14ac:dyDescent="0.3">
      <c r="W245">
        <f t="shared" si="3"/>
        <v>5</v>
      </c>
      <c r="X245" s="25">
        <v>45499</v>
      </c>
      <c r="Y245" t="s">
        <v>11</v>
      </c>
    </row>
    <row r="246" spans="23:25" x14ac:dyDescent="0.3">
      <c r="W246">
        <f t="shared" si="3"/>
        <v>3</v>
      </c>
      <c r="X246" s="25">
        <v>45126</v>
      </c>
      <c r="Y246" t="s">
        <v>12</v>
      </c>
    </row>
    <row r="247" spans="23:25" x14ac:dyDescent="0.3">
      <c r="W247">
        <f t="shared" si="3"/>
        <v>4</v>
      </c>
      <c r="X247" s="25">
        <v>45498</v>
      </c>
      <c r="Y247" t="s">
        <v>11</v>
      </c>
    </row>
    <row r="248" spans="23:25" x14ac:dyDescent="0.3">
      <c r="W248">
        <f t="shared" si="3"/>
        <v>4</v>
      </c>
      <c r="X248" s="25">
        <v>45127</v>
      </c>
      <c r="Y248" t="s">
        <v>12</v>
      </c>
    </row>
    <row r="249" spans="23:25" x14ac:dyDescent="0.3">
      <c r="W249">
        <f t="shared" si="3"/>
        <v>3</v>
      </c>
      <c r="X249" s="25">
        <v>45497</v>
      </c>
      <c r="Y249" t="s">
        <v>11</v>
      </c>
    </row>
    <row r="250" spans="23:25" x14ac:dyDescent="0.3">
      <c r="W250">
        <f t="shared" si="3"/>
        <v>5</v>
      </c>
      <c r="X250" s="25">
        <v>45128</v>
      </c>
      <c r="Y250" t="s">
        <v>12</v>
      </c>
    </row>
    <row r="251" spans="23:25" x14ac:dyDescent="0.3">
      <c r="W251">
        <f t="shared" si="3"/>
        <v>2</v>
      </c>
      <c r="X251" s="25">
        <v>45496</v>
      </c>
      <c r="Y251" t="s">
        <v>11</v>
      </c>
    </row>
    <row r="252" spans="23:25" x14ac:dyDescent="0.3">
      <c r="W252">
        <f t="shared" si="3"/>
        <v>6</v>
      </c>
      <c r="X252" s="25">
        <v>45129</v>
      </c>
      <c r="Y252" t="s">
        <v>12</v>
      </c>
    </row>
    <row r="253" spans="23:25" x14ac:dyDescent="0.3">
      <c r="W253">
        <f t="shared" si="3"/>
        <v>1</v>
      </c>
      <c r="X253" s="25">
        <v>45495</v>
      </c>
      <c r="Y253" t="s">
        <v>11</v>
      </c>
    </row>
    <row r="254" spans="23:25" x14ac:dyDescent="0.3">
      <c r="W254">
        <f t="shared" si="3"/>
        <v>7</v>
      </c>
      <c r="X254" s="25">
        <v>45130</v>
      </c>
      <c r="Y254" t="s">
        <v>12</v>
      </c>
    </row>
    <row r="255" spans="23:25" x14ac:dyDescent="0.3">
      <c r="W255">
        <f t="shared" si="3"/>
        <v>7</v>
      </c>
      <c r="X255" s="25">
        <v>45494</v>
      </c>
      <c r="Y255" t="s">
        <v>11</v>
      </c>
    </row>
    <row r="256" spans="23:25" x14ac:dyDescent="0.3">
      <c r="W256">
        <f t="shared" si="3"/>
        <v>1</v>
      </c>
      <c r="X256" s="25">
        <v>45131</v>
      </c>
      <c r="Y256" t="s">
        <v>12</v>
      </c>
    </row>
    <row r="257" spans="23:25" x14ac:dyDescent="0.3">
      <c r="W257">
        <f t="shared" si="3"/>
        <v>6</v>
      </c>
      <c r="X257" s="25">
        <v>45493</v>
      </c>
      <c r="Y257" t="s">
        <v>11</v>
      </c>
    </row>
    <row r="258" spans="23:25" x14ac:dyDescent="0.3">
      <c r="W258">
        <f t="shared" ref="W258:W321" si="4">WEEKDAY(X258,2)</f>
        <v>2</v>
      </c>
      <c r="X258" s="25">
        <v>45132</v>
      </c>
      <c r="Y258" t="s">
        <v>12</v>
      </c>
    </row>
    <row r="259" spans="23:25" x14ac:dyDescent="0.3">
      <c r="W259">
        <f t="shared" si="4"/>
        <v>5</v>
      </c>
      <c r="X259" s="25">
        <v>45492</v>
      </c>
      <c r="Y259" t="s">
        <v>11</v>
      </c>
    </row>
    <row r="260" spans="23:25" x14ac:dyDescent="0.3">
      <c r="W260">
        <f t="shared" si="4"/>
        <v>3</v>
      </c>
      <c r="X260" s="25">
        <v>45133</v>
      </c>
      <c r="Y260" t="s">
        <v>12</v>
      </c>
    </row>
    <row r="261" spans="23:25" x14ac:dyDescent="0.3">
      <c r="W261">
        <f t="shared" si="4"/>
        <v>4</v>
      </c>
      <c r="X261" s="25">
        <v>45491</v>
      </c>
      <c r="Y261" t="s">
        <v>11</v>
      </c>
    </row>
    <row r="262" spans="23:25" x14ac:dyDescent="0.3">
      <c r="W262">
        <f t="shared" si="4"/>
        <v>4</v>
      </c>
      <c r="X262" s="25">
        <v>45134</v>
      </c>
      <c r="Y262" t="s">
        <v>12</v>
      </c>
    </row>
    <row r="263" spans="23:25" x14ac:dyDescent="0.3">
      <c r="W263">
        <f t="shared" si="4"/>
        <v>3</v>
      </c>
      <c r="X263" s="25">
        <v>45490</v>
      </c>
      <c r="Y263" t="s">
        <v>11</v>
      </c>
    </row>
    <row r="264" spans="23:25" x14ac:dyDescent="0.3">
      <c r="W264">
        <f t="shared" si="4"/>
        <v>5</v>
      </c>
      <c r="X264" s="25">
        <v>45135</v>
      </c>
      <c r="Y264" t="s">
        <v>12</v>
      </c>
    </row>
    <row r="265" spans="23:25" x14ac:dyDescent="0.3">
      <c r="W265">
        <f t="shared" si="4"/>
        <v>2</v>
      </c>
      <c r="X265" s="25">
        <v>45489</v>
      </c>
      <c r="Y265" t="s">
        <v>11</v>
      </c>
    </row>
    <row r="266" spans="23:25" x14ac:dyDescent="0.3">
      <c r="W266">
        <f t="shared" si="4"/>
        <v>6</v>
      </c>
      <c r="X266" s="25">
        <v>45136</v>
      </c>
      <c r="Y266" t="s">
        <v>12</v>
      </c>
    </row>
    <row r="267" spans="23:25" x14ac:dyDescent="0.3">
      <c r="W267">
        <f t="shared" si="4"/>
        <v>1</v>
      </c>
      <c r="X267" s="25">
        <v>45488</v>
      </c>
      <c r="Y267" t="s">
        <v>11</v>
      </c>
    </row>
    <row r="268" spans="23:25" x14ac:dyDescent="0.3">
      <c r="W268">
        <f t="shared" si="4"/>
        <v>7</v>
      </c>
      <c r="X268" s="25">
        <v>45137</v>
      </c>
      <c r="Y268" t="s">
        <v>12</v>
      </c>
    </row>
    <row r="269" spans="23:25" x14ac:dyDescent="0.3">
      <c r="W269">
        <f t="shared" si="4"/>
        <v>7</v>
      </c>
      <c r="X269" s="25">
        <v>45487</v>
      </c>
      <c r="Y269" t="s">
        <v>11</v>
      </c>
    </row>
    <row r="270" spans="23:25" x14ac:dyDescent="0.3">
      <c r="W270">
        <f t="shared" si="4"/>
        <v>1</v>
      </c>
      <c r="X270" s="25">
        <v>45138</v>
      </c>
      <c r="Y270" t="s">
        <v>12</v>
      </c>
    </row>
    <row r="271" spans="23:25" x14ac:dyDescent="0.3">
      <c r="W271">
        <f t="shared" si="4"/>
        <v>6</v>
      </c>
      <c r="X271" s="25">
        <v>45486</v>
      </c>
      <c r="Y271" t="s">
        <v>11</v>
      </c>
    </row>
    <row r="272" spans="23:25" x14ac:dyDescent="0.3">
      <c r="W272">
        <f t="shared" si="4"/>
        <v>2</v>
      </c>
      <c r="X272" s="25">
        <v>45139</v>
      </c>
      <c r="Y272" t="s">
        <v>12</v>
      </c>
    </row>
    <row r="273" spans="23:25" x14ac:dyDescent="0.3">
      <c r="W273">
        <f t="shared" si="4"/>
        <v>5</v>
      </c>
      <c r="X273" s="25">
        <v>45485</v>
      </c>
      <c r="Y273" t="s">
        <v>11</v>
      </c>
    </row>
    <row r="274" spans="23:25" x14ac:dyDescent="0.3">
      <c r="W274">
        <f t="shared" si="4"/>
        <v>3</v>
      </c>
      <c r="X274" s="25">
        <v>45140</v>
      </c>
      <c r="Y274" t="s">
        <v>12</v>
      </c>
    </row>
    <row r="275" spans="23:25" x14ac:dyDescent="0.3">
      <c r="W275">
        <f t="shared" si="4"/>
        <v>4</v>
      </c>
      <c r="X275" s="25">
        <v>45484</v>
      </c>
      <c r="Y275" t="s">
        <v>11</v>
      </c>
    </row>
    <row r="276" spans="23:25" x14ac:dyDescent="0.3">
      <c r="W276">
        <f t="shared" si="4"/>
        <v>4</v>
      </c>
      <c r="X276" s="25">
        <v>45141</v>
      </c>
      <c r="Y276" t="s">
        <v>12</v>
      </c>
    </row>
    <row r="277" spans="23:25" x14ac:dyDescent="0.3">
      <c r="W277">
        <f t="shared" si="4"/>
        <v>3</v>
      </c>
      <c r="X277" s="25">
        <v>45483</v>
      </c>
      <c r="Y277" t="s">
        <v>11</v>
      </c>
    </row>
    <row r="278" spans="23:25" x14ac:dyDescent="0.3">
      <c r="W278">
        <f t="shared" si="4"/>
        <v>5</v>
      </c>
      <c r="X278" s="25">
        <v>45142</v>
      </c>
      <c r="Y278" t="s">
        <v>12</v>
      </c>
    </row>
    <row r="279" spans="23:25" x14ac:dyDescent="0.3">
      <c r="W279">
        <f t="shared" si="4"/>
        <v>2</v>
      </c>
      <c r="X279" s="25">
        <v>45482</v>
      </c>
      <c r="Y279" t="s">
        <v>11</v>
      </c>
    </row>
    <row r="280" spans="23:25" x14ac:dyDescent="0.3">
      <c r="W280">
        <f t="shared" si="4"/>
        <v>6</v>
      </c>
      <c r="X280" s="25">
        <v>45143</v>
      </c>
      <c r="Y280" t="s">
        <v>12</v>
      </c>
    </row>
    <row r="281" spans="23:25" x14ac:dyDescent="0.3">
      <c r="W281">
        <f t="shared" si="4"/>
        <v>1</v>
      </c>
      <c r="X281" s="25">
        <v>45481</v>
      </c>
      <c r="Y281" t="s">
        <v>11</v>
      </c>
    </row>
    <row r="282" spans="23:25" x14ac:dyDescent="0.3">
      <c r="W282">
        <f t="shared" si="4"/>
        <v>7</v>
      </c>
      <c r="X282" s="25">
        <v>45144</v>
      </c>
      <c r="Y282" t="s">
        <v>12</v>
      </c>
    </row>
    <row r="283" spans="23:25" x14ac:dyDescent="0.3">
      <c r="W283">
        <f t="shared" si="4"/>
        <v>7</v>
      </c>
      <c r="X283" s="25">
        <v>45480</v>
      </c>
      <c r="Y283" t="s">
        <v>11</v>
      </c>
    </row>
    <row r="284" spans="23:25" x14ac:dyDescent="0.3">
      <c r="W284">
        <f t="shared" si="4"/>
        <v>1</v>
      </c>
      <c r="X284" s="25">
        <v>45145</v>
      </c>
      <c r="Y284" t="s">
        <v>12</v>
      </c>
    </row>
    <row r="285" spans="23:25" x14ac:dyDescent="0.3">
      <c r="W285">
        <f t="shared" si="4"/>
        <v>6</v>
      </c>
      <c r="X285" s="25">
        <v>45479</v>
      </c>
      <c r="Y285" t="s">
        <v>11</v>
      </c>
    </row>
    <row r="286" spans="23:25" x14ac:dyDescent="0.3">
      <c r="W286">
        <f t="shared" si="4"/>
        <v>2</v>
      </c>
      <c r="X286" s="25">
        <v>45146</v>
      </c>
      <c r="Y286" t="s">
        <v>12</v>
      </c>
    </row>
    <row r="287" spans="23:25" x14ac:dyDescent="0.3">
      <c r="W287">
        <f t="shared" si="4"/>
        <v>5</v>
      </c>
      <c r="X287" s="25">
        <v>45478</v>
      </c>
      <c r="Y287" t="s">
        <v>11</v>
      </c>
    </row>
    <row r="288" spans="23:25" x14ac:dyDescent="0.3">
      <c r="W288">
        <f t="shared" si="4"/>
        <v>3</v>
      </c>
      <c r="X288" s="25">
        <v>45147</v>
      </c>
      <c r="Y288" t="s">
        <v>12</v>
      </c>
    </row>
    <row r="289" spans="23:25" x14ac:dyDescent="0.3">
      <c r="W289">
        <f t="shared" si="4"/>
        <v>4</v>
      </c>
      <c r="X289" s="25">
        <v>45477</v>
      </c>
      <c r="Y289" t="s">
        <v>11</v>
      </c>
    </row>
    <row r="290" spans="23:25" x14ac:dyDescent="0.3">
      <c r="W290">
        <f t="shared" si="4"/>
        <v>4</v>
      </c>
      <c r="X290" s="25">
        <v>45148</v>
      </c>
      <c r="Y290" t="s">
        <v>12</v>
      </c>
    </row>
    <row r="291" spans="23:25" x14ac:dyDescent="0.3">
      <c r="W291">
        <f t="shared" si="4"/>
        <v>3</v>
      </c>
      <c r="X291" s="25">
        <v>45476</v>
      </c>
      <c r="Y291" t="s">
        <v>11</v>
      </c>
    </row>
    <row r="292" spans="23:25" x14ac:dyDescent="0.3">
      <c r="W292">
        <f t="shared" si="4"/>
        <v>5</v>
      </c>
      <c r="X292" s="25">
        <v>45149</v>
      </c>
      <c r="Y292" t="s">
        <v>12</v>
      </c>
    </row>
    <row r="293" spans="23:25" x14ac:dyDescent="0.3">
      <c r="W293">
        <f t="shared" si="4"/>
        <v>2</v>
      </c>
      <c r="X293" s="25">
        <v>45475</v>
      </c>
      <c r="Y293" t="s">
        <v>11</v>
      </c>
    </row>
    <row r="294" spans="23:25" x14ac:dyDescent="0.3">
      <c r="W294">
        <f t="shared" si="4"/>
        <v>6</v>
      </c>
      <c r="X294" s="25">
        <v>45150</v>
      </c>
      <c r="Y294" t="s">
        <v>12</v>
      </c>
    </row>
    <row r="295" spans="23:25" x14ac:dyDescent="0.3">
      <c r="W295">
        <f t="shared" si="4"/>
        <v>1</v>
      </c>
      <c r="X295" s="25">
        <v>45474</v>
      </c>
      <c r="Y295" t="s">
        <v>11</v>
      </c>
    </row>
    <row r="296" spans="23:25" x14ac:dyDescent="0.3">
      <c r="W296">
        <f t="shared" si="4"/>
        <v>7</v>
      </c>
      <c r="X296" s="25">
        <v>45151</v>
      </c>
      <c r="Y296" t="s">
        <v>12</v>
      </c>
    </row>
    <row r="297" spans="23:25" x14ac:dyDescent="0.3">
      <c r="W297">
        <f t="shared" si="4"/>
        <v>1</v>
      </c>
      <c r="X297" s="25">
        <v>45432</v>
      </c>
      <c r="Y297" t="s">
        <v>11</v>
      </c>
    </row>
    <row r="298" spans="23:25" x14ac:dyDescent="0.3">
      <c r="W298">
        <f t="shared" si="4"/>
        <v>1</v>
      </c>
      <c r="X298" s="25">
        <v>45152</v>
      </c>
      <c r="Y298" t="s">
        <v>12</v>
      </c>
    </row>
    <row r="299" spans="23:25" x14ac:dyDescent="0.3">
      <c r="W299">
        <f t="shared" si="4"/>
        <v>5</v>
      </c>
      <c r="X299" s="25">
        <v>45422</v>
      </c>
      <c r="Y299" t="s">
        <v>11</v>
      </c>
    </row>
    <row r="300" spans="23:25" x14ac:dyDescent="0.3">
      <c r="W300">
        <f t="shared" si="4"/>
        <v>2</v>
      </c>
      <c r="X300" s="25">
        <v>45153</v>
      </c>
      <c r="Y300" t="s">
        <v>12</v>
      </c>
    </row>
    <row r="301" spans="23:25" x14ac:dyDescent="0.3">
      <c r="W301">
        <f t="shared" si="4"/>
        <v>4</v>
      </c>
      <c r="X301" s="25">
        <v>45421</v>
      </c>
      <c r="Y301" t="s">
        <v>11</v>
      </c>
    </row>
    <row r="302" spans="23:25" x14ac:dyDescent="0.3">
      <c r="W302">
        <f t="shared" si="4"/>
        <v>3</v>
      </c>
      <c r="X302" s="25">
        <v>45154</v>
      </c>
      <c r="Y302" t="s">
        <v>12</v>
      </c>
    </row>
    <row r="303" spans="23:25" x14ac:dyDescent="0.3">
      <c r="W303">
        <f t="shared" si="4"/>
        <v>4</v>
      </c>
      <c r="X303" s="25">
        <v>45155</v>
      </c>
      <c r="Y303" t="s">
        <v>12</v>
      </c>
    </row>
    <row r="304" spans="23:25" x14ac:dyDescent="0.3">
      <c r="W304">
        <f t="shared" si="4"/>
        <v>5</v>
      </c>
      <c r="X304" s="25">
        <v>45394</v>
      </c>
      <c r="Y304" t="s">
        <v>11</v>
      </c>
    </row>
    <row r="305" spans="23:25" x14ac:dyDescent="0.3">
      <c r="W305">
        <f t="shared" si="4"/>
        <v>5</v>
      </c>
      <c r="X305" s="25">
        <v>45156</v>
      </c>
      <c r="Y305" t="s">
        <v>12</v>
      </c>
    </row>
    <row r="306" spans="23:25" x14ac:dyDescent="0.3">
      <c r="W306">
        <f t="shared" si="4"/>
        <v>4</v>
      </c>
      <c r="X306" s="25">
        <v>45393</v>
      </c>
      <c r="Y306" t="s">
        <v>11</v>
      </c>
    </row>
    <row r="307" spans="23:25" x14ac:dyDescent="0.3">
      <c r="W307">
        <f t="shared" si="4"/>
        <v>6</v>
      </c>
      <c r="X307" s="25">
        <v>45157</v>
      </c>
      <c r="Y307" t="s">
        <v>12</v>
      </c>
    </row>
    <row r="308" spans="23:25" x14ac:dyDescent="0.3">
      <c r="W308">
        <f t="shared" si="4"/>
        <v>3</v>
      </c>
      <c r="X308" s="25">
        <v>45392</v>
      </c>
      <c r="Y308" t="s">
        <v>11</v>
      </c>
    </row>
    <row r="309" spans="23:25" x14ac:dyDescent="0.3">
      <c r="W309">
        <f t="shared" si="4"/>
        <v>7</v>
      </c>
      <c r="X309" s="25">
        <v>45158</v>
      </c>
      <c r="Y309" t="s">
        <v>12</v>
      </c>
    </row>
    <row r="310" spans="23:25" x14ac:dyDescent="0.3">
      <c r="W310">
        <f t="shared" si="4"/>
        <v>2</v>
      </c>
      <c r="X310" s="25">
        <v>45391</v>
      </c>
      <c r="Y310" t="s">
        <v>11</v>
      </c>
    </row>
    <row r="311" spans="23:25" x14ac:dyDescent="0.3">
      <c r="W311">
        <f t="shared" si="4"/>
        <v>4</v>
      </c>
      <c r="X311" s="25">
        <v>45176</v>
      </c>
      <c r="Y311" t="s">
        <v>12</v>
      </c>
    </row>
    <row r="312" spans="23:25" x14ac:dyDescent="0.3">
      <c r="W312">
        <f t="shared" si="4"/>
        <v>1</v>
      </c>
      <c r="X312" s="25">
        <v>45390</v>
      </c>
      <c r="Y312" t="s">
        <v>11</v>
      </c>
    </row>
    <row r="313" spans="23:25" x14ac:dyDescent="0.3">
      <c r="W313">
        <f t="shared" si="4"/>
        <v>1</v>
      </c>
      <c r="X313" s="25">
        <v>45222</v>
      </c>
      <c r="Y313" t="s">
        <v>12</v>
      </c>
    </row>
    <row r="314" spans="23:25" x14ac:dyDescent="0.3">
      <c r="W314">
        <f t="shared" si="4"/>
        <v>7</v>
      </c>
      <c r="X314" s="25">
        <v>45389</v>
      </c>
      <c r="Y314" t="s">
        <v>11</v>
      </c>
    </row>
    <row r="315" spans="23:25" x14ac:dyDescent="0.3">
      <c r="W315">
        <f t="shared" si="4"/>
        <v>2</v>
      </c>
      <c r="X315" s="25">
        <v>45223</v>
      </c>
      <c r="Y315" t="s">
        <v>12</v>
      </c>
    </row>
    <row r="316" spans="23:25" x14ac:dyDescent="0.3">
      <c r="W316">
        <f t="shared" si="4"/>
        <v>6</v>
      </c>
      <c r="X316" s="25">
        <v>45388</v>
      </c>
      <c r="Y316" t="s">
        <v>11</v>
      </c>
    </row>
    <row r="317" spans="23:25" x14ac:dyDescent="0.3">
      <c r="W317">
        <f t="shared" si="4"/>
        <v>3</v>
      </c>
      <c r="X317" s="25">
        <v>45224</v>
      </c>
      <c r="Y317" t="s">
        <v>12</v>
      </c>
    </row>
    <row r="318" spans="23:25" x14ac:dyDescent="0.3">
      <c r="W318">
        <f t="shared" si="4"/>
        <v>5</v>
      </c>
      <c r="X318" s="25">
        <v>45387</v>
      </c>
      <c r="Y318" t="s">
        <v>11</v>
      </c>
    </row>
    <row r="319" spans="23:25" x14ac:dyDescent="0.3">
      <c r="W319">
        <f t="shared" si="4"/>
        <v>4</v>
      </c>
      <c r="X319" s="25">
        <v>45225</v>
      </c>
      <c r="Y319" t="s">
        <v>12</v>
      </c>
    </row>
    <row r="320" spans="23:25" x14ac:dyDescent="0.3">
      <c r="W320">
        <f t="shared" si="4"/>
        <v>4</v>
      </c>
      <c r="X320" s="25">
        <v>45386</v>
      </c>
      <c r="Y320" t="s">
        <v>11</v>
      </c>
    </row>
    <row r="321" spans="23:25" x14ac:dyDescent="0.3">
      <c r="W321">
        <f t="shared" si="4"/>
        <v>5</v>
      </c>
      <c r="X321" s="25">
        <v>45226</v>
      </c>
      <c r="Y321" t="s">
        <v>12</v>
      </c>
    </row>
    <row r="322" spans="23:25" x14ac:dyDescent="0.3">
      <c r="W322">
        <f t="shared" ref="W322:W385" si="5">WEEKDAY(X322,2)</f>
        <v>3</v>
      </c>
      <c r="X322" s="25">
        <v>45385</v>
      </c>
      <c r="Y322" t="s">
        <v>11</v>
      </c>
    </row>
    <row r="323" spans="23:25" x14ac:dyDescent="0.3">
      <c r="W323">
        <f t="shared" si="5"/>
        <v>1</v>
      </c>
      <c r="X323" s="25">
        <v>45285</v>
      </c>
      <c r="Y323" t="s">
        <v>12</v>
      </c>
    </row>
    <row r="324" spans="23:25" x14ac:dyDescent="0.3">
      <c r="W324">
        <f t="shared" si="5"/>
        <v>2</v>
      </c>
      <c r="X324" s="25">
        <v>45384</v>
      </c>
      <c r="Y324" t="s">
        <v>11</v>
      </c>
    </row>
    <row r="325" spans="23:25" x14ac:dyDescent="0.3">
      <c r="W325">
        <f t="shared" si="5"/>
        <v>2</v>
      </c>
      <c r="X325" s="25">
        <v>45286</v>
      </c>
      <c r="Y325" t="s">
        <v>12</v>
      </c>
    </row>
    <row r="326" spans="23:25" x14ac:dyDescent="0.3">
      <c r="W326">
        <f t="shared" si="5"/>
        <v>1</v>
      </c>
      <c r="X326" s="25">
        <v>45383</v>
      </c>
      <c r="Y326" t="s">
        <v>11</v>
      </c>
    </row>
    <row r="327" spans="23:25" x14ac:dyDescent="0.3">
      <c r="W327">
        <f t="shared" si="5"/>
        <v>3</v>
      </c>
      <c r="X327" s="25">
        <v>45287</v>
      </c>
      <c r="Y327" t="s">
        <v>12</v>
      </c>
    </row>
    <row r="328" spans="23:25" x14ac:dyDescent="0.3">
      <c r="W328">
        <f t="shared" si="5"/>
        <v>7</v>
      </c>
      <c r="X328" s="25">
        <v>45382</v>
      </c>
      <c r="Y328" t="s">
        <v>11</v>
      </c>
    </row>
    <row r="329" spans="23:25" x14ac:dyDescent="0.3">
      <c r="W329">
        <f t="shared" si="5"/>
        <v>4</v>
      </c>
      <c r="X329" s="25">
        <v>45288</v>
      </c>
      <c r="Y329" t="s">
        <v>12</v>
      </c>
    </row>
    <row r="330" spans="23:25" x14ac:dyDescent="0.3">
      <c r="W330">
        <f t="shared" si="5"/>
        <v>6</v>
      </c>
      <c r="X330" s="25">
        <v>45381</v>
      </c>
      <c r="Y330" t="s">
        <v>11</v>
      </c>
    </row>
    <row r="331" spans="23:25" x14ac:dyDescent="0.3">
      <c r="W331">
        <f t="shared" si="5"/>
        <v>5</v>
      </c>
      <c r="X331" s="25">
        <v>45289</v>
      </c>
      <c r="Y331" t="s">
        <v>12</v>
      </c>
    </row>
    <row r="332" spans="23:25" x14ac:dyDescent="0.3">
      <c r="W332">
        <f t="shared" si="5"/>
        <v>5</v>
      </c>
      <c r="X332" s="25">
        <v>45380</v>
      </c>
      <c r="Y332" t="s">
        <v>11</v>
      </c>
    </row>
    <row r="333" spans="23:25" x14ac:dyDescent="0.3">
      <c r="W333">
        <f t="shared" si="5"/>
        <v>6</v>
      </c>
      <c r="X333" s="25">
        <v>45290</v>
      </c>
      <c r="Y333" t="s">
        <v>12</v>
      </c>
    </row>
    <row r="334" spans="23:25" x14ac:dyDescent="0.3">
      <c r="W334">
        <f t="shared" si="5"/>
        <v>7</v>
      </c>
      <c r="X334" s="25">
        <v>45291</v>
      </c>
      <c r="Y334" t="s">
        <v>12</v>
      </c>
    </row>
    <row r="335" spans="23:25" x14ac:dyDescent="0.3">
      <c r="W335">
        <f t="shared" si="5"/>
        <v>1</v>
      </c>
      <c r="X335" s="25">
        <v>45292</v>
      </c>
      <c r="Y335" t="s">
        <v>12</v>
      </c>
    </row>
    <row r="336" spans="23:25" x14ac:dyDescent="0.3">
      <c r="W336">
        <f t="shared" si="5"/>
        <v>2</v>
      </c>
      <c r="X336" s="25">
        <v>45293</v>
      </c>
      <c r="Y336" t="s">
        <v>12</v>
      </c>
    </row>
    <row r="337" spans="23:25" x14ac:dyDescent="0.3">
      <c r="W337">
        <f t="shared" si="5"/>
        <v>3</v>
      </c>
      <c r="X337" s="25">
        <v>45294</v>
      </c>
      <c r="Y337" t="s">
        <v>12</v>
      </c>
    </row>
    <row r="338" spans="23:25" x14ac:dyDescent="0.3">
      <c r="W338">
        <f t="shared" si="5"/>
        <v>4</v>
      </c>
      <c r="X338" s="25">
        <v>45295</v>
      </c>
      <c r="Y338" t="s">
        <v>12</v>
      </c>
    </row>
    <row r="339" spans="23:25" x14ac:dyDescent="0.3">
      <c r="W339">
        <f t="shared" si="5"/>
        <v>5</v>
      </c>
      <c r="X339" s="25">
        <v>45338</v>
      </c>
      <c r="Y339" t="s">
        <v>11</v>
      </c>
    </row>
    <row r="340" spans="23:25" x14ac:dyDescent="0.3">
      <c r="W340">
        <f t="shared" si="5"/>
        <v>4</v>
      </c>
      <c r="X340" s="25">
        <v>45337</v>
      </c>
      <c r="Y340" t="s">
        <v>11</v>
      </c>
    </row>
    <row r="341" spans="23:25" x14ac:dyDescent="0.3">
      <c r="W341">
        <f t="shared" si="5"/>
        <v>3</v>
      </c>
      <c r="X341" s="25">
        <v>45336</v>
      </c>
      <c r="Y341" t="s">
        <v>11</v>
      </c>
    </row>
    <row r="342" spans="23:25" x14ac:dyDescent="0.3">
      <c r="W342">
        <f t="shared" si="5"/>
        <v>2</v>
      </c>
      <c r="X342" s="25">
        <v>45335</v>
      </c>
      <c r="Y342" t="s">
        <v>11</v>
      </c>
    </row>
    <row r="343" spans="23:25" x14ac:dyDescent="0.3">
      <c r="W343">
        <f t="shared" si="5"/>
        <v>1</v>
      </c>
      <c r="X343" s="25">
        <v>45334</v>
      </c>
      <c r="Y343" t="s">
        <v>11</v>
      </c>
    </row>
    <row r="344" spans="23:25" x14ac:dyDescent="0.3">
      <c r="W344">
        <f t="shared" si="5"/>
        <v>5</v>
      </c>
      <c r="X344" s="25">
        <v>45296</v>
      </c>
      <c r="Y344" t="s">
        <v>11</v>
      </c>
    </row>
    <row r="345" spans="23:25" x14ac:dyDescent="0.3">
      <c r="W345">
        <f t="shared" si="5"/>
        <v>5</v>
      </c>
      <c r="X345" s="25">
        <v>45296</v>
      </c>
      <c r="Y345" t="s">
        <v>12</v>
      </c>
    </row>
    <row r="346" spans="23:25" x14ac:dyDescent="0.3">
      <c r="W346">
        <f t="shared" si="5"/>
        <v>4</v>
      </c>
      <c r="X346" s="25">
        <v>45295</v>
      </c>
      <c r="Y346" t="s">
        <v>11</v>
      </c>
    </row>
    <row r="347" spans="23:25" x14ac:dyDescent="0.3">
      <c r="W347">
        <f t="shared" si="5"/>
        <v>1</v>
      </c>
      <c r="X347" s="25">
        <v>45341</v>
      </c>
      <c r="Y347" t="s">
        <v>12</v>
      </c>
    </row>
    <row r="348" spans="23:25" x14ac:dyDescent="0.3">
      <c r="W348">
        <f t="shared" si="5"/>
        <v>3</v>
      </c>
      <c r="X348" s="25">
        <v>45294</v>
      </c>
      <c r="Y348" t="s">
        <v>11</v>
      </c>
    </row>
    <row r="349" spans="23:25" x14ac:dyDescent="0.3">
      <c r="W349">
        <f t="shared" si="5"/>
        <v>2</v>
      </c>
      <c r="X349" s="25">
        <v>45342</v>
      </c>
      <c r="Y349" t="s">
        <v>12</v>
      </c>
    </row>
    <row r="350" spans="23:25" x14ac:dyDescent="0.3">
      <c r="W350">
        <f t="shared" si="5"/>
        <v>2</v>
      </c>
      <c r="X350" s="25">
        <v>45293</v>
      </c>
      <c r="Y350" t="s">
        <v>11</v>
      </c>
    </row>
    <row r="351" spans="23:25" x14ac:dyDescent="0.3">
      <c r="W351">
        <f t="shared" si="5"/>
        <v>3</v>
      </c>
      <c r="X351" s="25">
        <v>45343</v>
      </c>
      <c r="Y351" t="s">
        <v>12</v>
      </c>
    </row>
    <row r="352" spans="23:25" x14ac:dyDescent="0.3">
      <c r="W352">
        <f t="shared" si="5"/>
        <v>1</v>
      </c>
      <c r="X352" s="25">
        <v>45292</v>
      </c>
      <c r="Y352" t="s">
        <v>11</v>
      </c>
    </row>
    <row r="353" spans="23:25" x14ac:dyDescent="0.3">
      <c r="W353">
        <f t="shared" si="5"/>
        <v>4</v>
      </c>
      <c r="X353" s="25">
        <v>45344</v>
      </c>
      <c r="Y353" t="s">
        <v>12</v>
      </c>
    </row>
    <row r="354" spans="23:25" x14ac:dyDescent="0.3">
      <c r="W354">
        <f t="shared" si="5"/>
        <v>7</v>
      </c>
      <c r="X354" s="25">
        <v>45291</v>
      </c>
      <c r="Y354" t="s">
        <v>11</v>
      </c>
    </row>
    <row r="355" spans="23:25" x14ac:dyDescent="0.3">
      <c r="W355">
        <f t="shared" si="5"/>
        <v>5</v>
      </c>
      <c r="X355" s="25">
        <v>45345</v>
      </c>
      <c r="Y355" t="s">
        <v>12</v>
      </c>
    </row>
    <row r="356" spans="23:25" x14ac:dyDescent="0.3">
      <c r="W356">
        <f t="shared" si="5"/>
        <v>6</v>
      </c>
      <c r="X356" s="25">
        <v>45290</v>
      </c>
      <c r="Y356" t="s">
        <v>11</v>
      </c>
    </row>
    <row r="357" spans="23:25" x14ac:dyDescent="0.3">
      <c r="W357">
        <f t="shared" si="5"/>
        <v>5</v>
      </c>
      <c r="X357" s="25">
        <v>45380</v>
      </c>
      <c r="Y357" t="s">
        <v>12</v>
      </c>
    </row>
    <row r="358" spans="23:25" x14ac:dyDescent="0.3">
      <c r="W358">
        <f t="shared" si="5"/>
        <v>5</v>
      </c>
      <c r="X358" s="25">
        <v>45289</v>
      </c>
      <c r="Y358" t="s">
        <v>11</v>
      </c>
    </row>
    <row r="359" spans="23:25" x14ac:dyDescent="0.3">
      <c r="W359">
        <f t="shared" si="5"/>
        <v>6</v>
      </c>
      <c r="X359" s="25">
        <v>45381</v>
      </c>
      <c r="Y359" t="s">
        <v>12</v>
      </c>
    </row>
    <row r="360" spans="23:25" x14ac:dyDescent="0.3">
      <c r="W360">
        <f t="shared" si="5"/>
        <v>4</v>
      </c>
      <c r="X360" s="25">
        <v>45288</v>
      </c>
      <c r="Y360" t="s">
        <v>11</v>
      </c>
    </row>
    <row r="361" spans="23:25" x14ac:dyDescent="0.3">
      <c r="W361">
        <f t="shared" si="5"/>
        <v>7</v>
      </c>
      <c r="X361" s="25">
        <v>45382</v>
      </c>
      <c r="Y361" t="s">
        <v>12</v>
      </c>
    </row>
    <row r="362" spans="23:25" x14ac:dyDescent="0.3">
      <c r="W362">
        <f t="shared" si="5"/>
        <v>3</v>
      </c>
      <c r="X362" s="25">
        <v>45287</v>
      </c>
      <c r="Y362" t="s">
        <v>11</v>
      </c>
    </row>
    <row r="363" spans="23:25" x14ac:dyDescent="0.3">
      <c r="W363">
        <f t="shared" si="5"/>
        <v>1</v>
      </c>
      <c r="X363" s="25">
        <v>45383</v>
      </c>
      <c r="Y363" t="s">
        <v>12</v>
      </c>
    </row>
    <row r="364" spans="23:25" x14ac:dyDescent="0.3">
      <c r="W364">
        <f t="shared" si="5"/>
        <v>2</v>
      </c>
      <c r="X364" s="25">
        <v>45286</v>
      </c>
      <c r="Y364" t="s">
        <v>11</v>
      </c>
    </row>
    <row r="365" spans="23:25" x14ac:dyDescent="0.3">
      <c r="W365">
        <f t="shared" si="5"/>
        <v>2</v>
      </c>
      <c r="X365" s="25">
        <v>45384</v>
      </c>
      <c r="Y365" t="s">
        <v>12</v>
      </c>
    </row>
    <row r="366" spans="23:25" x14ac:dyDescent="0.3">
      <c r="W366">
        <f t="shared" si="5"/>
        <v>1</v>
      </c>
      <c r="X366" s="25">
        <v>45285</v>
      </c>
      <c r="Y366" t="s">
        <v>11</v>
      </c>
    </row>
    <row r="367" spans="23:25" x14ac:dyDescent="0.3">
      <c r="W367">
        <f t="shared" si="5"/>
        <v>3</v>
      </c>
      <c r="X367" s="25">
        <v>45385</v>
      </c>
      <c r="Y367" t="s">
        <v>12</v>
      </c>
    </row>
    <row r="368" spans="23:25" x14ac:dyDescent="0.3">
      <c r="W368">
        <f t="shared" si="5"/>
        <v>5</v>
      </c>
      <c r="X368" s="25">
        <v>45226</v>
      </c>
      <c r="Y368" t="s">
        <v>11</v>
      </c>
    </row>
    <row r="369" spans="23:25" x14ac:dyDescent="0.3">
      <c r="W369">
        <f t="shared" si="5"/>
        <v>4</v>
      </c>
      <c r="X369" s="25">
        <v>45386</v>
      </c>
      <c r="Y369" t="s">
        <v>12</v>
      </c>
    </row>
    <row r="370" spans="23:25" x14ac:dyDescent="0.3">
      <c r="W370">
        <f t="shared" si="5"/>
        <v>4</v>
      </c>
      <c r="X370" s="25">
        <v>45225</v>
      </c>
      <c r="Y370" t="s">
        <v>11</v>
      </c>
    </row>
    <row r="371" spans="23:25" x14ac:dyDescent="0.3">
      <c r="W371">
        <f t="shared" si="5"/>
        <v>5</v>
      </c>
      <c r="X371" s="25">
        <v>45387</v>
      </c>
      <c r="Y371" t="s">
        <v>12</v>
      </c>
    </row>
    <row r="372" spans="23:25" x14ac:dyDescent="0.3">
      <c r="W372">
        <f t="shared" si="5"/>
        <v>3</v>
      </c>
      <c r="X372" s="25">
        <v>45224</v>
      </c>
      <c r="Y372" t="s">
        <v>11</v>
      </c>
    </row>
    <row r="373" spans="23:25" x14ac:dyDescent="0.3">
      <c r="W373">
        <f t="shared" si="5"/>
        <v>6</v>
      </c>
      <c r="X373" s="25">
        <v>45388</v>
      </c>
      <c r="Y373" t="s">
        <v>12</v>
      </c>
    </row>
    <row r="374" spans="23:25" x14ac:dyDescent="0.3">
      <c r="W374">
        <f t="shared" si="5"/>
        <v>2</v>
      </c>
      <c r="X374" s="25">
        <v>45223</v>
      </c>
      <c r="Y374" t="s">
        <v>11</v>
      </c>
    </row>
    <row r="375" spans="23:25" x14ac:dyDescent="0.3">
      <c r="W375">
        <f t="shared" si="5"/>
        <v>7</v>
      </c>
      <c r="X375" s="25">
        <v>45389</v>
      </c>
      <c r="Y375" t="s">
        <v>12</v>
      </c>
    </row>
    <row r="376" spans="23:25" x14ac:dyDescent="0.3">
      <c r="W376">
        <f t="shared" si="5"/>
        <v>1</v>
      </c>
      <c r="X376" s="25">
        <v>45222</v>
      </c>
      <c r="Y376" t="s">
        <v>11</v>
      </c>
    </row>
    <row r="377" spans="23:25" x14ac:dyDescent="0.3">
      <c r="W377">
        <f t="shared" si="5"/>
        <v>1</v>
      </c>
      <c r="X377" s="25">
        <v>45390</v>
      </c>
      <c r="Y377" t="s">
        <v>12</v>
      </c>
    </row>
    <row r="378" spans="23:25" x14ac:dyDescent="0.3">
      <c r="W378">
        <f t="shared" si="5"/>
        <v>7</v>
      </c>
      <c r="X378" s="25">
        <v>45221</v>
      </c>
      <c r="Y378" t="s">
        <v>11</v>
      </c>
    </row>
    <row r="379" spans="23:25" x14ac:dyDescent="0.3">
      <c r="W379">
        <f t="shared" si="5"/>
        <v>6</v>
      </c>
      <c r="X379" s="25">
        <v>45220</v>
      </c>
      <c r="Y379" t="s">
        <v>11</v>
      </c>
    </row>
    <row r="380" spans="23:25" x14ac:dyDescent="0.3">
      <c r="W380">
        <f t="shared" si="5"/>
        <v>5</v>
      </c>
      <c r="X380" s="25">
        <v>45219</v>
      </c>
      <c r="Y380" t="s">
        <v>11</v>
      </c>
    </row>
    <row r="381" spans="23:25" x14ac:dyDescent="0.3">
      <c r="W381">
        <f t="shared" si="5"/>
        <v>4</v>
      </c>
      <c r="X381" s="25">
        <v>45218</v>
      </c>
      <c r="Y381" t="s">
        <v>11</v>
      </c>
    </row>
    <row r="382" spans="23:25" x14ac:dyDescent="0.3">
      <c r="W382">
        <f t="shared" si="5"/>
        <v>3</v>
      </c>
      <c r="X382" s="25">
        <v>45217</v>
      </c>
      <c r="Y382" t="s">
        <v>11</v>
      </c>
    </row>
    <row r="383" spans="23:25" x14ac:dyDescent="0.3">
      <c r="W383">
        <f t="shared" si="5"/>
        <v>2</v>
      </c>
      <c r="X383" s="25">
        <v>45216</v>
      </c>
      <c r="Y383" t="s">
        <v>11</v>
      </c>
    </row>
    <row r="384" spans="23:25" x14ac:dyDescent="0.3">
      <c r="W384">
        <f t="shared" si="5"/>
        <v>1</v>
      </c>
      <c r="X384" s="25">
        <v>45215</v>
      </c>
      <c r="Y384" t="s">
        <v>11</v>
      </c>
    </row>
    <row r="385" spans="23:25" x14ac:dyDescent="0.3">
      <c r="W385">
        <f t="shared" si="5"/>
        <v>1</v>
      </c>
      <c r="X385" s="25">
        <v>45187</v>
      </c>
      <c r="Y385" t="s">
        <v>11</v>
      </c>
    </row>
    <row r="386" spans="23:25" x14ac:dyDescent="0.3">
      <c r="W386">
        <f t="shared" ref="W386:W449" si="6">WEEKDAY(X386,2)</f>
        <v>2</v>
      </c>
      <c r="X386" s="25">
        <v>45391</v>
      </c>
      <c r="Y386" t="s">
        <v>12</v>
      </c>
    </row>
    <row r="387" spans="23:25" x14ac:dyDescent="0.3">
      <c r="W387">
        <f t="shared" si="6"/>
        <v>3</v>
      </c>
      <c r="X387" s="25">
        <v>45392</v>
      </c>
      <c r="Y387" t="s">
        <v>12</v>
      </c>
    </row>
    <row r="388" spans="23:25" x14ac:dyDescent="0.3">
      <c r="W388">
        <f t="shared" si="6"/>
        <v>4</v>
      </c>
      <c r="X388" s="25">
        <v>45393</v>
      </c>
      <c r="Y388" t="s">
        <v>12</v>
      </c>
    </row>
    <row r="389" spans="23:25" x14ac:dyDescent="0.3">
      <c r="W389">
        <f t="shared" si="6"/>
        <v>5</v>
      </c>
      <c r="X389" s="25">
        <v>45156</v>
      </c>
      <c r="Y389" t="s">
        <v>11</v>
      </c>
    </row>
    <row r="390" spans="23:25" x14ac:dyDescent="0.3">
      <c r="W390">
        <f t="shared" si="6"/>
        <v>5</v>
      </c>
      <c r="X390" s="25">
        <v>45394</v>
      </c>
      <c r="Y390" t="s">
        <v>12</v>
      </c>
    </row>
    <row r="391" spans="23:25" x14ac:dyDescent="0.3">
      <c r="W391">
        <f t="shared" si="6"/>
        <v>4</v>
      </c>
      <c r="X391" s="25">
        <v>45155</v>
      </c>
      <c r="Y391" t="s">
        <v>11</v>
      </c>
    </row>
    <row r="392" spans="23:25" x14ac:dyDescent="0.3">
      <c r="W392">
        <f t="shared" si="6"/>
        <v>3</v>
      </c>
      <c r="X392" s="25">
        <v>45413</v>
      </c>
      <c r="Y392" t="s">
        <v>12</v>
      </c>
    </row>
    <row r="393" spans="23:25" x14ac:dyDescent="0.3">
      <c r="W393">
        <f t="shared" si="6"/>
        <v>3</v>
      </c>
      <c r="X393" s="25">
        <v>45154</v>
      </c>
      <c r="Y393" t="s">
        <v>11</v>
      </c>
    </row>
    <row r="394" spans="23:25" x14ac:dyDescent="0.3">
      <c r="W394">
        <f t="shared" si="6"/>
        <v>4</v>
      </c>
      <c r="X394" s="25">
        <v>45421</v>
      </c>
      <c r="Y394" t="s">
        <v>12</v>
      </c>
    </row>
    <row r="395" spans="23:25" x14ac:dyDescent="0.3">
      <c r="W395">
        <f t="shared" si="6"/>
        <v>2</v>
      </c>
      <c r="X395" s="25">
        <v>45153</v>
      </c>
      <c r="Y395" t="s">
        <v>11</v>
      </c>
    </row>
    <row r="396" spans="23:25" x14ac:dyDescent="0.3">
      <c r="W396">
        <f t="shared" si="6"/>
        <v>5</v>
      </c>
      <c r="X396" s="25">
        <v>45422</v>
      </c>
      <c r="Y396" t="s">
        <v>12</v>
      </c>
    </row>
    <row r="397" spans="23:25" x14ac:dyDescent="0.3">
      <c r="W397">
        <f t="shared" si="6"/>
        <v>1</v>
      </c>
      <c r="X397" s="25">
        <v>45152</v>
      </c>
      <c r="Y397" t="s">
        <v>11</v>
      </c>
    </row>
    <row r="398" spans="23:25" x14ac:dyDescent="0.3">
      <c r="W398">
        <f t="shared" si="6"/>
        <v>1</v>
      </c>
      <c r="X398" s="25">
        <v>45432</v>
      </c>
      <c r="Y398" t="s">
        <v>12</v>
      </c>
    </row>
    <row r="399" spans="23:25" x14ac:dyDescent="0.3">
      <c r="W399">
        <f t="shared" si="6"/>
        <v>7</v>
      </c>
      <c r="X399" s="25">
        <v>45151</v>
      </c>
      <c r="Y399" t="s">
        <v>11</v>
      </c>
    </row>
    <row r="400" spans="23:25" x14ac:dyDescent="0.3">
      <c r="W400">
        <f t="shared" si="6"/>
        <v>1</v>
      </c>
      <c r="X400" s="25">
        <v>45474</v>
      </c>
      <c r="Y400" t="s">
        <v>12</v>
      </c>
    </row>
    <row r="401" spans="23:25" x14ac:dyDescent="0.3">
      <c r="W401">
        <f t="shared" si="6"/>
        <v>6</v>
      </c>
      <c r="X401" s="25">
        <v>45150</v>
      </c>
      <c r="Y401" t="s">
        <v>11</v>
      </c>
    </row>
    <row r="402" spans="23:25" x14ac:dyDescent="0.3">
      <c r="W402">
        <f t="shared" si="6"/>
        <v>2</v>
      </c>
      <c r="X402" s="25">
        <v>45475</v>
      </c>
      <c r="Y402" t="s">
        <v>12</v>
      </c>
    </row>
    <row r="403" spans="23:25" x14ac:dyDescent="0.3">
      <c r="W403">
        <f t="shared" si="6"/>
        <v>5</v>
      </c>
      <c r="X403" s="25">
        <v>45149</v>
      </c>
      <c r="Y403" t="s">
        <v>11</v>
      </c>
    </row>
    <row r="404" spans="23:25" x14ac:dyDescent="0.3">
      <c r="W404">
        <f t="shared" si="6"/>
        <v>3</v>
      </c>
      <c r="X404" s="25">
        <v>45476</v>
      </c>
      <c r="Y404" t="s">
        <v>12</v>
      </c>
    </row>
    <row r="405" spans="23:25" x14ac:dyDescent="0.3">
      <c r="W405">
        <f t="shared" si="6"/>
        <v>4</v>
      </c>
      <c r="X405" s="25">
        <v>45148</v>
      </c>
      <c r="Y405" t="s">
        <v>11</v>
      </c>
    </row>
    <row r="406" spans="23:25" x14ac:dyDescent="0.3">
      <c r="W406">
        <f t="shared" si="6"/>
        <v>4</v>
      </c>
      <c r="X406" s="25">
        <v>45477</v>
      </c>
      <c r="Y406" t="s">
        <v>12</v>
      </c>
    </row>
    <row r="407" spans="23:25" x14ac:dyDescent="0.3">
      <c r="W407">
        <f t="shared" si="6"/>
        <v>3</v>
      </c>
      <c r="X407" s="25">
        <v>45147</v>
      </c>
      <c r="Y407" t="s">
        <v>11</v>
      </c>
    </row>
    <row r="408" spans="23:25" x14ac:dyDescent="0.3">
      <c r="W408">
        <f t="shared" si="6"/>
        <v>5</v>
      </c>
      <c r="X408" s="25">
        <v>45478</v>
      </c>
      <c r="Y408" t="s">
        <v>12</v>
      </c>
    </row>
    <row r="409" spans="23:25" x14ac:dyDescent="0.3">
      <c r="W409">
        <f t="shared" si="6"/>
        <v>2</v>
      </c>
      <c r="X409" s="25">
        <v>45146</v>
      </c>
      <c r="Y409" t="s">
        <v>11</v>
      </c>
    </row>
    <row r="410" spans="23:25" x14ac:dyDescent="0.3">
      <c r="W410">
        <f t="shared" si="6"/>
        <v>6</v>
      </c>
      <c r="X410" s="25">
        <v>45479</v>
      </c>
      <c r="Y410" t="s">
        <v>12</v>
      </c>
    </row>
    <row r="411" spans="23:25" x14ac:dyDescent="0.3">
      <c r="W411">
        <f t="shared" si="6"/>
        <v>1</v>
      </c>
      <c r="X411" s="25">
        <v>45145</v>
      </c>
      <c r="Y411" t="s">
        <v>11</v>
      </c>
    </row>
    <row r="412" spans="23:25" x14ac:dyDescent="0.3">
      <c r="W412">
        <f t="shared" si="6"/>
        <v>7</v>
      </c>
      <c r="X412" s="25">
        <v>45480</v>
      </c>
      <c r="Y412" t="s">
        <v>12</v>
      </c>
    </row>
    <row r="413" spans="23:25" x14ac:dyDescent="0.3">
      <c r="W413">
        <f t="shared" si="6"/>
        <v>7</v>
      </c>
      <c r="X413" s="25">
        <v>45144</v>
      </c>
      <c r="Y413" t="s">
        <v>11</v>
      </c>
    </row>
    <row r="414" spans="23:25" x14ac:dyDescent="0.3">
      <c r="W414">
        <f t="shared" si="6"/>
        <v>1</v>
      </c>
      <c r="X414" s="25">
        <v>45481</v>
      </c>
      <c r="Y414" t="s">
        <v>12</v>
      </c>
    </row>
    <row r="415" spans="23:25" x14ac:dyDescent="0.3">
      <c r="W415">
        <f t="shared" si="6"/>
        <v>6</v>
      </c>
      <c r="X415" s="25">
        <v>45143</v>
      </c>
      <c r="Y415" t="s">
        <v>11</v>
      </c>
    </row>
    <row r="416" spans="23:25" x14ac:dyDescent="0.3">
      <c r="W416">
        <f t="shared" si="6"/>
        <v>2</v>
      </c>
      <c r="X416" s="25">
        <v>45482</v>
      </c>
      <c r="Y416" t="s">
        <v>12</v>
      </c>
    </row>
    <row r="417" spans="23:25" x14ac:dyDescent="0.3">
      <c r="W417">
        <f t="shared" si="6"/>
        <v>5</v>
      </c>
      <c r="X417" s="25">
        <v>45142</v>
      </c>
      <c r="Y417" t="s">
        <v>11</v>
      </c>
    </row>
    <row r="418" spans="23:25" x14ac:dyDescent="0.3">
      <c r="W418">
        <f t="shared" si="6"/>
        <v>3</v>
      </c>
      <c r="X418" s="25">
        <v>45483</v>
      </c>
      <c r="Y418" t="s">
        <v>12</v>
      </c>
    </row>
    <row r="419" spans="23:25" x14ac:dyDescent="0.3">
      <c r="W419">
        <f t="shared" si="6"/>
        <v>4</v>
      </c>
      <c r="X419" s="25">
        <v>45141</v>
      </c>
      <c r="Y419" t="s">
        <v>11</v>
      </c>
    </row>
    <row r="420" spans="23:25" x14ac:dyDescent="0.3">
      <c r="W420">
        <f t="shared" si="6"/>
        <v>4</v>
      </c>
      <c r="X420" s="25">
        <v>45484</v>
      </c>
      <c r="Y420" t="s">
        <v>12</v>
      </c>
    </row>
    <row r="421" spans="23:25" x14ac:dyDescent="0.3">
      <c r="W421">
        <f t="shared" si="6"/>
        <v>3</v>
      </c>
      <c r="X421" s="25">
        <v>45140</v>
      </c>
      <c r="Y421" t="s">
        <v>11</v>
      </c>
    </row>
    <row r="422" spans="23:25" x14ac:dyDescent="0.3">
      <c r="W422">
        <f t="shared" si="6"/>
        <v>5</v>
      </c>
      <c r="X422" s="25">
        <v>45485</v>
      </c>
      <c r="Y422" t="s">
        <v>12</v>
      </c>
    </row>
    <row r="423" spans="23:25" x14ac:dyDescent="0.3">
      <c r="W423">
        <f t="shared" si="6"/>
        <v>2</v>
      </c>
      <c r="X423" s="25">
        <v>45139</v>
      </c>
      <c r="Y423" t="s">
        <v>11</v>
      </c>
    </row>
    <row r="424" spans="23:25" x14ac:dyDescent="0.3">
      <c r="W424">
        <f t="shared" si="6"/>
        <v>6</v>
      </c>
      <c r="X424" s="25">
        <v>45486</v>
      </c>
      <c r="Y424" t="s">
        <v>12</v>
      </c>
    </row>
    <row r="425" spans="23:25" x14ac:dyDescent="0.3">
      <c r="W425">
        <f t="shared" si="6"/>
        <v>1</v>
      </c>
      <c r="X425" s="25">
        <v>45138</v>
      </c>
      <c r="Y425" t="s">
        <v>11</v>
      </c>
    </row>
    <row r="426" spans="23:25" x14ac:dyDescent="0.3">
      <c r="W426">
        <f t="shared" si="6"/>
        <v>7</v>
      </c>
      <c r="X426" s="25">
        <v>45487</v>
      </c>
      <c r="Y426" t="s">
        <v>12</v>
      </c>
    </row>
    <row r="427" spans="23:25" x14ac:dyDescent="0.3">
      <c r="W427">
        <f t="shared" si="6"/>
        <v>7</v>
      </c>
      <c r="X427" s="25">
        <v>45137</v>
      </c>
      <c r="Y427" t="s">
        <v>11</v>
      </c>
    </row>
    <row r="428" spans="23:25" x14ac:dyDescent="0.3">
      <c r="W428">
        <f t="shared" si="6"/>
        <v>1</v>
      </c>
      <c r="X428" s="25">
        <v>45488</v>
      </c>
      <c r="Y428" t="s">
        <v>12</v>
      </c>
    </row>
    <row r="429" spans="23:25" x14ac:dyDescent="0.3">
      <c r="W429">
        <f t="shared" si="6"/>
        <v>6</v>
      </c>
      <c r="X429" s="25">
        <v>45136</v>
      </c>
      <c r="Y429" t="s">
        <v>11</v>
      </c>
    </row>
    <row r="430" spans="23:25" x14ac:dyDescent="0.3">
      <c r="W430">
        <f t="shared" si="6"/>
        <v>2</v>
      </c>
      <c r="X430" s="25">
        <v>45489</v>
      </c>
      <c r="Y430" t="s">
        <v>12</v>
      </c>
    </row>
    <row r="431" spans="23:25" x14ac:dyDescent="0.3">
      <c r="W431">
        <f t="shared" si="6"/>
        <v>5</v>
      </c>
      <c r="X431" s="25">
        <v>45135</v>
      </c>
      <c r="Y431" t="s">
        <v>11</v>
      </c>
    </row>
    <row r="432" spans="23:25" x14ac:dyDescent="0.3">
      <c r="W432">
        <f t="shared" si="6"/>
        <v>3</v>
      </c>
      <c r="X432" s="25">
        <v>45490</v>
      </c>
      <c r="Y432" t="s">
        <v>12</v>
      </c>
    </row>
    <row r="433" spans="23:25" x14ac:dyDescent="0.3">
      <c r="W433">
        <f t="shared" si="6"/>
        <v>4</v>
      </c>
      <c r="X433" s="25">
        <v>45134</v>
      </c>
      <c r="Y433" t="s">
        <v>11</v>
      </c>
    </row>
    <row r="434" spans="23:25" x14ac:dyDescent="0.3">
      <c r="W434">
        <f t="shared" si="6"/>
        <v>4</v>
      </c>
      <c r="X434" s="25">
        <v>45491</v>
      </c>
      <c r="Y434" t="s">
        <v>12</v>
      </c>
    </row>
    <row r="435" spans="23:25" x14ac:dyDescent="0.3">
      <c r="W435">
        <f t="shared" si="6"/>
        <v>3</v>
      </c>
      <c r="X435" s="25">
        <v>45133</v>
      </c>
      <c r="Y435" t="s">
        <v>11</v>
      </c>
    </row>
    <row r="436" spans="23:25" x14ac:dyDescent="0.3">
      <c r="W436">
        <f t="shared" si="6"/>
        <v>5</v>
      </c>
      <c r="X436" s="25">
        <v>45492</v>
      </c>
      <c r="Y436" t="s">
        <v>12</v>
      </c>
    </row>
    <row r="437" spans="23:25" x14ac:dyDescent="0.3">
      <c r="W437">
        <f t="shared" si="6"/>
        <v>2</v>
      </c>
      <c r="X437" s="25">
        <v>45132</v>
      </c>
      <c r="Y437" t="s">
        <v>11</v>
      </c>
    </row>
    <row r="438" spans="23:25" x14ac:dyDescent="0.3">
      <c r="W438">
        <f t="shared" si="6"/>
        <v>6</v>
      </c>
      <c r="X438" s="25">
        <v>45493</v>
      </c>
      <c r="Y438" t="s">
        <v>12</v>
      </c>
    </row>
    <row r="439" spans="23:25" x14ac:dyDescent="0.3">
      <c r="W439">
        <f t="shared" si="6"/>
        <v>1</v>
      </c>
      <c r="X439" s="25">
        <v>45131</v>
      </c>
      <c r="Y439" t="s">
        <v>11</v>
      </c>
    </row>
    <row r="440" spans="23:25" x14ac:dyDescent="0.3">
      <c r="W440">
        <f t="shared" si="6"/>
        <v>7</v>
      </c>
      <c r="X440" s="25">
        <v>45494</v>
      </c>
      <c r="Y440" t="s">
        <v>12</v>
      </c>
    </row>
    <row r="441" spans="23:25" x14ac:dyDescent="0.3">
      <c r="W441">
        <f t="shared" si="6"/>
        <v>7</v>
      </c>
      <c r="X441" s="25">
        <v>45130</v>
      </c>
      <c r="Y441" t="s">
        <v>11</v>
      </c>
    </row>
    <row r="442" spans="23:25" x14ac:dyDescent="0.3">
      <c r="W442">
        <f t="shared" si="6"/>
        <v>1</v>
      </c>
      <c r="X442" s="25">
        <v>45495</v>
      </c>
      <c r="Y442" t="s">
        <v>12</v>
      </c>
    </row>
    <row r="443" spans="23:25" x14ac:dyDescent="0.3">
      <c r="W443">
        <f t="shared" si="6"/>
        <v>6</v>
      </c>
      <c r="X443" s="25">
        <v>45129</v>
      </c>
      <c r="Y443" t="s">
        <v>11</v>
      </c>
    </row>
    <row r="444" spans="23:25" x14ac:dyDescent="0.3">
      <c r="W444">
        <f t="shared" si="6"/>
        <v>2</v>
      </c>
      <c r="X444" s="25">
        <v>45496</v>
      </c>
      <c r="Y444" t="s">
        <v>12</v>
      </c>
    </row>
    <row r="445" spans="23:25" x14ac:dyDescent="0.3">
      <c r="W445">
        <f t="shared" si="6"/>
        <v>5</v>
      </c>
      <c r="X445" s="25">
        <v>45128</v>
      </c>
      <c r="Y445" t="s">
        <v>11</v>
      </c>
    </row>
    <row r="446" spans="23:25" x14ac:dyDescent="0.3">
      <c r="W446">
        <f t="shared" si="6"/>
        <v>3</v>
      </c>
      <c r="X446" s="25">
        <v>45497</v>
      </c>
      <c r="Y446" t="s">
        <v>12</v>
      </c>
    </row>
    <row r="447" spans="23:25" x14ac:dyDescent="0.3">
      <c r="W447">
        <f t="shared" si="6"/>
        <v>4</v>
      </c>
      <c r="X447" s="25">
        <v>45127</v>
      </c>
      <c r="Y447" t="s">
        <v>11</v>
      </c>
    </row>
    <row r="448" spans="23:25" x14ac:dyDescent="0.3">
      <c r="W448">
        <f t="shared" si="6"/>
        <v>4</v>
      </c>
      <c r="X448" s="25">
        <v>45498</v>
      </c>
      <c r="Y448" t="s">
        <v>12</v>
      </c>
    </row>
    <row r="449" spans="23:25" x14ac:dyDescent="0.3">
      <c r="W449">
        <f t="shared" si="6"/>
        <v>3</v>
      </c>
      <c r="X449" s="25">
        <v>45126</v>
      </c>
      <c r="Y449" t="s">
        <v>11</v>
      </c>
    </row>
    <row r="450" spans="23:25" x14ac:dyDescent="0.3">
      <c r="W450">
        <f t="shared" ref="W450:W513" si="7">WEEKDAY(X450,2)</f>
        <v>5</v>
      </c>
      <c r="X450" s="25">
        <v>45499</v>
      </c>
      <c r="Y450" t="s">
        <v>12</v>
      </c>
    </row>
    <row r="451" spans="23:25" x14ac:dyDescent="0.3">
      <c r="W451">
        <f t="shared" si="7"/>
        <v>2</v>
      </c>
      <c r="X451" s="25">
        <v>45125</v>
      </c>
      <c r="Y451" t="s">
        <v>11</v>
      </c>
    </row>
    <row r="452" spans="23:25" x14ac:dyDescent="0.3">
      <c r="W452">
        <f t="shared" si="7"/>
        <v>6</v>
      </c>
      <c r="X452" s="25">
        <v>45500</v>
      </c>
      <c r="Y452" t="s">
        <v>12</v>
      </c>
    </row>
    <row r="453" spans="23:25" x14ac:dyDescent="0.3">
      <c r="W453">
        <f t="shared" si="7"/>
        <v>1</v>
      </c>
      <c r="X453" s="25">
        <v>45124</v>
      </c>
      <c r="Y453" t="s">
        <v>11</v>
      </c>
    </row>
    <row r="454" spans="23:25" x14ac:dyDescent="0.3">
      <c r="W454">
        <f t="shared" si="7"/>
        <v>7</v>
      </c>
      <c r="X454" s="25">
        <v>45501</v>
      </c>
      <c r="Y454" t="s">
        <v>12</v>
      </c>
    </row>
    <row r="455" spans="23:25" x14ac:dyDescent="0.3">
      <c r="W455">
        <f t="shared" si="7"/>
        <v>7</v>
      </c>
      <c r="X455" s="25">
        <v>45123</v>
      </c>
      <c r="Y455" t="s">
        <v>11</v>
      </c>
    </row>
    <row r="456" spans="23:25" x14ac:dyDescent="0.3">
      <c r="W456">
        <f t="shared" si="7"/>
        <v>1</v>
      </c>
      <c r="X456" s="25">
        <v>45502</v>
      </c>
      <c r="Y456" t="s">
        <v>12</v>
      </c>
    </row>
    <row r="457" spans="23:25" x14ac:dyDescent="0.3">
      <c r="W457">
        <f t="shared" si="7"/>
        <v>6</v>
      </c>
      <c r="X457" s="25">
        <v>45122</v>
      </c>
      <c r="Y457" t="s">
        <v>11</v>
      </c>
    </row>
    <row r="458" spans="23:25" x14ac:dyDescent="0.3">
      <c r="W458">
        <f t="shared" si="7"/>
        <v>2</v>
      </c>
      <c r="X458" s="25">
        <v>45503</v>
      </c>
      <c r="Y458" t="s">
        <v>12</v>
      </c>
    </row>
    <row r="459" spans="23:25" x14ac:dyDescent="0.3">
      <c r="W459">
        <f t="shared" si="7"/>
        <v>5</v>
      </c>
      <c r="X459" s="25">
        <v>45121</v>
      </c>
      <c r="Y459" t="s">
        <v>11</v>
      </c>
    </row>
    <row r="460" spans="23:25" x14ac:dyDescent="0.3">
      <c r="W460">
        <f t="shared" si="7"/>
        <v>3</v>
      </c>
      <c r="X460" s="25">
        <v>45504</v>
      </c>
      <c r="Y460" t="s">
        <v>12</v>
      </c>
    </row>
    <row r="461" spans="23:25" x14ac:dyDescent="0.3">
      <c r="W461">
        <f t="shared" si="7"/>
        <v>4</v>
      </c>
      <c r="X461" s="25">
        <v>45120</v>
      </c>
      <c r="Y461" t="s">
        <v>11</v>
      </c>
    </row>
    <row r="462" spans="23:25" x14ac:dyDescent="0.3">
      <c r="W462">
        <f t="shared" si="7"/>
        <v>4</v>
      </c>
      <c r="X462" s="25">
        <v>45505</v>
      </c>
      <c r="Y462" t="s">
        <v>12</v>
      </c>
    </row>
    <row r="463" spans="23:25" x14ac:dyDescent="0.3">
      <c r="W463">
        <f t="shared" si="7"/>
        <v>3</v>
      </c>
      <c r="X463" s="25">
        <v>45119</v>
      </c>
      <c r="Y463" t="s">
        <v>11</v>
      </c>
    </row>
    <row r="464" spans="23:25" x14ac:dyDescent="0.3">
      <c r="W464">
        <f t="shared" si="7"/>
        <v>5</v>
      </c>
      <c r="X464" s="25">
        <v>45506</v>
      </c>
      <c r="Y464" t="s">
        <v>12</v>
      </c>
    </row>
    <row r="465" spans="23:25" x14ac:dyDescent="0.3">
      <c r="W465">
        <f t="shared" si="7"/>
        <v>2</v>
      </c>
      <c r="X465" s="25">
        <v>45118</v>
      </c>
      <c r="Y465" t="s">
        <v>11</v>
      </c>
    </row>
    <row r="466" spans="23:25" x14ac:dyDescent="0.3">
      <c r="W466">
        <f t="shared" si="7"/>
        <v>6</v>
      </c>
      <c r="X466" s="25">
        <v>45507</v>
      </c>
      <c r="Y466" t="s">
        <v>12</v>
      </c>
    </row>
    <row r="467" spans="23:25" x14ac:dyDescent="0.3">
      <c r="W467">
        <f t="shared" si="7"/>
        <v>1</v>
      </c>
      <c r="X467" s="25">
        <v>45117</v>
      </c>
      <c r="Y467" t="s">
        <v>11</v>
      </c>
    </row>
    <row r="468" spans="23:25" x14ac:dyDescent="0.3">
      <c r="W468">
        <f t="shared" si="7"/>
        <v>7</v>
      </c>
      <c r="X468" s="25">
        <v>45508</v>
      </c>
      <c r="Y468" t="s">
        <v>12</v>
      </c>
    </row>
    <row r="469" spans="23:25" x14ac:dyDescent="0.3">
      <c r="W469">
        <f t="shared" si="7"/>
        <v>7</v>
      </c>
      <c r="X469" s="25">
        <v>45116</v>
      </c>
      <c r="Y469" t="s">
        <v>11</v>
      </c>
    </row>
    <row r="470" spans="23:25" x14ac:dyDescent="0.3">
      <c r="W470">
        <f t="shared" si="7"/>
        <v>1</v>
      </c>
      <c r="X470" s="25">
        <v>45509</v>
      </c>
      <c r="Y470" t="s">
        <v>12</v>
      </c>
    </row>
    <row r="471" spans="23:25" x14ac:dyDescent="0.3">
      <c r="W471">
        <f t="shared" si="7"/>
        <v>6</v>
      </c>
      <c r="X471" s="25">
        <v>45115</v>
      </c>
      <c r="Y471" t="s">
        <v>11</v>
      </c>
    </row>
    <row r="472" spans="23:25" x14ac:dyDescent="0.3">
      <c r="W472">
        <f t="shared" si="7"/>
        <v>2</v>
      </c>
      <c r="X472" s="25">
        <v>45510</v>
      </c>
      <c r="Y472" t="s">
        <v>12</v>
      </c>
    </row>
    <row r="473" spans="23:25" x14ac:dyDescent="0.3">
      <c r="W473">
        <f t="shared" si="7"/>
        <v>5</v>
      </c>
      <c r="X473" s="25">
        <v>45114</v>
      </c>
      <c r="Y473" t="s">
        <v>11</v>
      </c>
    </row>
    <row r="474" spans="23:25" x14ac:dyDescent="0.3">
      <c r="W474">
        <f t="shared" si="7"/>
        <v>3</v>
      </c>
      <c r="X474" s="25">
        <v>45511</v>
      </c>
      <c r="Y474" t="s">
        <v>12</v>
      </c>
    </row>
    <row r="475" spans="23:25" x14ac:dyDescent="0.3">
      <c r="W475">
        <f t="shared" si="7"/>
        <v>4</v>
      </c>
      <c r="X475" s="25">
        <v>45113</v>
      </c>
      <c r="Y475" t="s">
        <v>11</v>
      </c>
    </row>
    <row r="476" spans="23:25" x14ac:dyDescent="0.3">
      <c r="W476">
        <f t="shared" si="7"/>
        <v>4</v>
      </c>
      <c r="X476" s="25">
        <v>45512</v>
      </c>
      <c r="Y476" t="s">
        <v>12</v>
      </c>
    </row>
    <row r="477" spans="23:25" x14ac:dyDescent="0.3">
      <c r="W477">
        <f t="shared" si="7"/>
        <v>3</v>
      </c>
      <c r="X477" s="25">
        <v>45112</v>
      </c>
      <c r="Y477" t="s">
        <v>11</v>
      </c>
    </row>
    <row r="478" spans="23:25" x14ac:dyDescent="0.3">
      <c r="W478">
        <f t="shared" si="7"/>
        <v>5</v>
      </c>
      <c r="X478" s="25">
        <v>45513</v>
      </c>
      <c r="Y478" t="s">
        <v>12</v>
      </c>
    </row>
    <row r="479" spans="23:25" x14ac:dyDescent="0.3">
      <c r="W479">
        <f t="shared" si="7"/>
        <v>2</v>
      </c>
      <c r="X479" s="25">
        <v>45111</v>
      </c>
      <c r="Y479" t="s">
        <v>11</v>
      </c>
    </row>
    <row r="480" spans="23:25" x14ac:dyDescent="0.3">
      <c r="W480">
        <f t="shared" si="7"/>
        <v>6</v>
      </c>
      <c r="X480" s="25">
        <v>45514</v>
      </c>
      <c r="Y480" t="s">
        <v>12</v>
      </c>
    </row>
    <row r="481" spans="23:25" x14ac:dyDescent="0.3">
      <c r="W481">
        <f t="shared" si="7"/>
        <v>1</v>
      </c>
      <c r="X481" s="25">
        <v>45110</v>
      </c>
      <c r="Y481" t="s">
        <v>11</v>
      </c>
    </row>
    <row r="482" spans="23:25" x14ac:dyDescent="0.3">
      <c r="W482">
        <f t="shared" si="7"/>
        <v>7</v>
      </c>
      <c r="X482" s="25">
        <v>45515</v>
      </c>
      <c r="Y482" t="s">
        <v>12</v>
      </c>
    </row>
    <row r="483" spans="23:25" x14ac:dyDescent="0.3">
      <c r="W483">
        <f t="shared" si="7"/>
        <v>1</v>
      </c>
      <c r="X483" s="25">
        <v>45075</v>
      </c>
      <c r="Y483" t="s">
        <v>11</v>
      </c>
    </row>
    <row r="484" spans="23:25" x14ac:dyDescent="0.3">
      <c r="W484">
        <f t="shared" si="7"/>
        <v>1</v>
      </c>
      <c r="X484" s="25">
        <v>45516</v>
      </c>
      <c r="Y484" t="s">
        <v>12</v>
      </c>
    </row>
    <row r="485" spans="23:25" x14ac:dyDescent="0.3">
      <c r="W485">
        <f t="shared" si="7"/>
        <v>5</v>
      </c>
      <c r="X485" s="25">
        <v>45065</v>
      </c>
      <c r="Y485" t="s">
        <v>11</v>
      </c>
    </row>
    <row r="486" spans="23:25" x14ac:dyDescent="0.3">
      <c r="W486">
        <f t="shared" si="7"/>
        <v>2</v>
      </c>
      <c r="X486" s="25">
        <v>45517</v>
      </c>
      <c r="Y486" t="s">
        <v>12</v>
      </c>
    </row>
    <row r="487" spans="23:25" x14ac:dyDescent="0.3">
      <c r="W487">
        <f t="shared" si="7"/>
        <v>4</v>
      </c>
      <c r="X487" s="25">
        <v>45064</v>
      </c>
      <c r="Y487" t="s">
        <v>11</v>
      </c>
    </row>
    <row r="488" spans="23:25" x14ac:dyDescent="0.3">
      <c r="W488">
        <f t="shared" si="7"/>
        <v>3</v>
      </c>
      <c r="X488" s="25">
        <v>45518</v>
      </c>
      <c r="Y488" t="s">
        <v>12</v>
      </c>
    </row>
    <row r="489" spans="23:25" x14ac:dyDescent="0.3">
      <c r="W489">
        <f t="shared" si="7"/>
        <v>4</v>
      </c>
      <c r="X489" s="25">
        <v>45519</v>
      </c>
      <c r="Y489" t="s">
        <v>12</v>
      </c>
    </row>
    <row r="490" spans="23:25" x14ac:dyDescent="0.3">
      <c r="W490">
        <f t="shared" si="7"/>
        <v>6</v>
      </c>
      <c r="X490" s="25">
        <v>45038</v>
      </c>
      <c r="Y490" t="s">
        <v>11</v>
      </c>
    </row>
    <row r="491" spans="23:25" x14ac:dyDescent="0.3">
      <c r="W491">
        <f t="shared" si="7"/>
        <v>5</v>
      </c>
      <c r="X491" s="25">
        <v>45037</v>
      </c>
      <c r="Y491" t="s">
        <v>11</v>
      </c>
    </row>
    <row r="492" spans="23:25" x14ac:dyDescent="0.3">
      <c r="W492">
        <f t="shared" si="7"/>
        <v>5</v>
      </c>
      <c r="X492" s="25">
        <v>45520</v>
      </c>
      <c r="Y492" t="s">
        <v>12</v>
      </c>
    </row>
    <row r="493" spans="23:25" x14ac:dyDescent="0.3">
      <c r="W493">
        <f t="shared" si="7"/>
        <v>4</v>
      </c>
      <c r="X493" s="25">
        <v>45036</v>
      </c>
      <c r="Y493" t="s">
        <v>11</v>
      </c>
    </row>
    <row r="494" spans="23:25" x14ac:dyDescent="0.3">
      <c r="W494">
        <f t="shared" si="7"/>
        <v>6</v>
      </c>
      <c r="X494" s="25">
        <v>45521</v>
      </c>
      <c r="Y494" t="s">
        <v>12</v>
      </c>
    </row>
    <row r="495" spans="23:25" x14ac:dyDescent="0.3">
      <c r="W495">
        <f t="shared" si="7"/>
        <v>3</v>
      </c>
      <c r="X495" s="25">
        <v>45035</v>
      </c>
      <c r="Y495" t="s">
        <v>11</v>
      </c>
    </row>
    <row r="496" spans="23:25" x14ac:dyDescent="0.3">
      <c r="W496">
        <f t="shared" si="7"/>
        <v>7</v>
      </c>
      <c r="X496" s="25">
        <v>45522</v>
      </c>
      <c r="Y496" t="s">
        <v>12</v>
      </c>
    </row>
    <row r="497" spans="23:25" x14ac:dyDescent="0.3">
      <c r="W497">
        <f t="shared" si="7"/>
        <v>2</v>
      </c>
      <c r="X497" s="25">
        <v>45034</v>
      </c>
      <c r="Y497" t="s">
        <v>11</v>
      </c>
    </row>
    <row r="498" spans="23:25" x14ac:dyDescent="0.3">
      <c r="W498">
        <f t="shared" si="7"/>
        <v>4</v>
      </c>
      <c r="X498" s="25">
        <v>45540</v>
      </c>
      <c r="Y498" t="s">
        <v>12</v>
      </c>
    </row>
    <row r="499" spans="23:25" x14ac:dyDescent="0.3">
      <c r="W499">
        <f t="shared" si="7"/>
        <v>1</v>
      </c>
      <c r="X499" s="25">
        <v>45033</v>
      </c>
      <c r="Y499" t="s">
        <v>11</v>
      </c>
    </row>
    <row r="500" spans="23:25" x14ac:dyDescent="0.3">
      <c r="W500">
        <f t="shared" si="7"/>
        <v>1</v>
      </c>
      <c r="X500" s="25">
        <v>45586</v>
      </c>
      <c r="Y500" t="s">
        <v>12</v>
      </c>
    </row>
    <row r="501" spans="23:25" x14ac:dyDescent="0.3">
      <c r="W501">
        <f t="shared" si="7"/>
        <v>7</v>
      </c>
      <c r="X501" s="25">
        <v>45032</v>
      </c>
      <c r="Y501" t="s">
        <v>11</v>
      </c>
    </row>
    <row r="502" spans="23:25" x14ac:dyDescent="0.3">
      <c r="W502">
        <f t="shared" si="7"/>
        <v>2</v>
      </c>
      <c r="X502" s="25">
        <v>45587</v>
      </c>
      <c r="Y502" t="s">
        <v>12</v>
      </c>
    </row>
    <row r="503" spans="23:25" x14ac:dyDescent="0.3">
      <c r="W503">
        <f t="shared" si="7"/>
        <v>6</v>
      </c>
      <c r="X503" s="25">
        <v>45031</v>
      </c>
      <c r="Y503" t="s">
        <v>11</v>
      </c>
    </row>
    <row r="504" spans="23:25" x14ac:dyDescent="0.3">
      <c r="W504">
        <f t="shared" si="7"/>
        <v>3</v>
      </c>
      <c r="X504" s="25">
        <v>45588</v>
      </c>
      <c r="Y504" t="s">
        <v>12</v>
      </c>
    </row>
    <row r="505" spans="23:25" x14ac:dyDescent="0.3">
      <c r="W505">
        <f t="shared" si="7"/>
        <v>5</v>
      </c>
      <c r="X505" s="25">
        <v>45030</v>
      </c>
      <c r="Y505" t="s">
        <v>11</v>
      </c>
    </row>
    <row r="506" spans="23:25" x14ac:dyDescent="0.3">
      <c r="W506">
        <f t="shared" si="7"/>
        <v>4</v>
      </c>
      <c r="X506" s="25">
        <v>45589</v>
      </c>
      <c r="Y506" t="s">
        <v>12</v>
      </c>
    </row>
    <row r="507" spans="23:25" x14ac:dyDescent="0.3">
      <c r="W507">
        <f t="shared" si="7"/>
        <v>4</v>
      </c>
      <c r="X507" s="25">
        <v>45029</v>
      </c>
      <c r="Y507" t="s">
        <v>11</v>
      </c>
    </row>
    <row r="508" spans="23:25" x14ac:dyDescent="0.3">
      <c r="W508">
        <f t="shared" si="7"/>
        <v>5</v>
      </c>
      <c r="X508" s="25">
        <v>45590</v>
      </c>
      <c r="Y508" t="s">
        <v>12</v>
      </c>
    </row>
    <row r="509" spans="23:25" x14ac:dyDescent="0.3">
      <c r="W509">
        <f t="shared" si="7"/>
        <v>3</v>
      </c>
      <c r="X509" s="25">
        <v>45028</v>
      </c>
      <c r="Y509" t="s">
        <v>11</v>
      </c>
    </row>
    <row r="510" spans="23:25" x14ac:dyDescent="0.3">
      <c r="W510">
        <f t="shared" si="7"/>
        <v>1</v>
      </c>
      <c r="X510" s="25">
        <v>45649</v>
      </c>
      <c r="Y510" t="s">
        <v>12</v>
      </c>
    </row>
    <row r="511" spans="23:25" x14ac:dyDescent="0.3">
      <c r="W511">
        <f t="shared" si="7"/>
        <v>2</v>
      </c>
      <c r="X511" s="25">
        <v>45027</v>
      </c>
      <c r="Y511" t="s">
        <v>11</v>
      </c>
    </row>
    <row r="512" spans="23:25" x14ac:dyDescent="0.3">
      <c r="W512">
        <f t="shared" si="7"/>
        <v>2</v>
      </c>
      <c r="X512" s="25">
        <v>45650</v>
      </c>
      <c r="Y512" t="s">
        <v>12</v>
      </c>
    </row>
    <row r="513" spans="23:25" x14ac:dyDescent="0.3">
      <c r="W513">
        <f t="shared" si="7"/>
        <v>1</v>
      </c>
      <c r="X513" s="25">
        <v>45026</v>
      </c>
      <c r="Y513" t="s">
        <v>11</v>
      </c>
    </row>
    <row r="514" spans="23:25" x14ac:dyDescent="0.3">
      <c r="W514">
        <f t="shared" ref="W514:W577" si="8">WEEKDAY(X514,2)</f>
        <v>3</v>
      </c>
      <c r="X514" s="25">
        <v>45651</v>
      </c>
      <c r="Y514" t="s">
        <v>12</v>
      </c>
    </row>
    <row r="515" spans="23:25" x14ac:dyDescent="0.3">
      <c r="W515">
        <f t="shared" si="8"/>
        <v>7</v>
      </c>
      <c r="X515" s="25">
        <v>45025</v>
      </c>
      <c r="Y515" t="s">
        <v>11</v>
      </c>
    </row>
    <row r="516" spans="23:25" x14ac:dyDescent="0.3">
      <c r="W516">
        <f t="shared" si="8"/>
        <v>4</v>
      </c>
      <c r="X516" s="25">
        <v>45652</v>
      </c>
      <c r="Y516" t="s">
        <v>12</v>
      </c>
    </row>
    <row r="517" spans="23:25" x14ac:dyDescent="0.3">
      <c r="W517">
        <f t="shared" si="8"/>
        <v>6</v>
      </c>
      <c r="X517" s="25">
        <v>45024</v>
      </c>
      <c r="Y517" t="s">
        <v>11</v>
      </c>
    </row>
    <row r="518" spans="23:25" x14ac:dyDescent="0.3">
      <c r="W518">
        <f t="shared" si="8"/>
        <v>5</v>
      </c>
      <c r="X518" s="25">
        <v>45653</v>
      </c>
      <c r="Y518" t="s">
        <v>12</v>
      </c>
    </row>
    <row r="519" spans="23:25" x14ac:dyDescent="0.3">
      <c r="W519">
        <f t="shared" si="8"/>
        <v>5</v>
      </c>
      <c r="X519" s="25">
        <v>45023</v>
      </c>
      <c r="Y519" t="s">
        <v>11</v>
      </c>
    </row>
    <row r="520" spans="23:25" x14ac:dyDescent="0.3">
      <c r="W520">
        <f t="shared" si="8"/>
        <v>6</v>
      </c>
      <c r="X520" s="25">
        <v>45654</v>
      </c>
      <c r="Y520" t="s">
        <v>12</v>
      </c>
    </row>
    <row r="521" spans="23:25" x14ac:dyDescent="0.3">
      <c r="W521">
        <f t="shared" si="8"/>
        <v>7</v>
      </c>
      <c r="X521" s="25">
        <v>45655</v>
      </c>
      <c r="Y521" t="s">
        <v>12</v>
      </c>
    </row>
    <row r="522" spans="23:25" x14ac:dyDescent="0.3">
      <c r="W522">
        <f t="shared" si="8"/>
        <v>1</v>
      </c>
      <c r="X522" s="25">
        <v>45656</v>
      </c>
      <c r="Y522" t="s">
        <v>12</v>
      </c>
    </row>
    <row r="523" spans="23:25" x14ac:dyDescent="0.3">
      <c r="W523">
        <f t="shared" si="8"/>
        <v>2</v>
      </c>
      <c r="X523" s="25">
        <v>45657</v>
      </c>
      <c r="Y523" t="s">
        <v>12</v>
      </c>
    </row>
    <row r="524" spans="23:25" x14ac:dyDescent="0.3">
      <c r="W524">
        <f t="shared" si="8"/>
        <v>3</v>
      </c>
      <c r="X524" s="25">
        <v>45658</v>
      </c>
      <c r="Y524" t="s">
        <v>12</v>
      </c>
    </row>
    <row r="525" spans="23:25" x14ac:dyDescent="0.3">
      <c r="W525">
        <f t="shared" si="8"/>
        <v>4</v>
      </c>
      <c r="X525" s="25">
        <v>45659</v>
      </c>
      <c r="Y525" t="s">
        <v>12</v>
      </c>
    </row>
    <row r="526" spans="23:25" x14ac:dyDescent="0.3">
      <c r="W526">
        <f t="shared" si="8"/>
        <v>5</v>
      </c>
      <c r="X526" s="25">
        <v>44974</v>
      </c>
      <c r="Y526" t="s">
        <v>11</v>
      </c>
    </row>
    <row r="527" spans="23:25" x14ac:dyDescent="0.3">
      <c r="W527">
        <f t="shared" si="8"/>
        <v>4</v>
      </c>
      <c r="X527" s="25">
        <v>44973</v>
      </c>
      <c r="Y527" t="s">
        <v>11</v>
      </c>
    </row>
    <row r="528" spans="23:25" x14ac:dyDescent="0.3">
      <c r="W528">
        <f t="shared" si="8"/>
        <v>3</v>
      </c>
      <c r="X528" s="25">
        <v>44972</v>
      </c>
      <c r="Y528" t="s">
        <v>11</v>
      </c>
    </row>
    <row r="529" spans="23:25" x14ac:dyDescent="0.3">
      <c r="W529">
        <f t="shared" si="8"/>
        <v>2</v>
      </c>
      <c r="X529" s="25">
        <v>44971</v>
      </c>
      <c r="Y529" t="s">
        <v>11</v>
      </c>
    </row>
    <row r="530" spans="23:25" x14ac:dyDescent="0.3">
      <c r="W530">
        <f t="shared" si="8"/>
        <v>1</v>
      </c>
      <c r="X530" s="25">
        <v>44970</v>
      </c>
      <c r="Y530" t="s">
        <v>11</v>
      </c>
    </row>
    <row r="531" spans="23:25" x14ac:dyDescent="0.3">
      <c r="W531">
        <f t="shared" si="8"/>
        <v>5</v>
      </c>
      <c r="X531" s="25">
        <v>44932</v>
      </c>
      <c r="Y531" t="s">
        <v>11</v>
      </c>
    </row>
    <row r="532" spans="23:25" x14ac:dyDescent="0.3">
      <c r="W532">
        <f t="shared" si="8"/>
        <v>5</v>
      </c>
      <c r="X532" s="25">
        <v>45660</v>
      </c>
      <c r="Y532" t="s">
        <v>12</v>
      </c>
    </row>
    <row r="533" spans="23:25" x14ac:dyDescent="0.3">
      <c r="W533">
        <f t="shared" si="8"/>
        <v>4</v>
      </c>
      <c r="X533" s="25">
        <v>44931</v>
      </c>
      <c r="Y533" t="s">
        <v>11</v>
      </c>
    </row>
    <row r="534" spans="23:25" x14ac:dyDescent="0.3">
      <c r="W534">
        <f t="shared" si="8"/>
        <v>1</v>
      </c>
      <c r="X534" s="25">
        <v>45712</v>
      </c>
      <c r="Y534" t="s">
        <v>12</v>
      </c>
    </row>
    <row r="535" spans="23:25" x14ac:dyDescent="0.3">
      <c r="W535">
        <f t="shared" si="8"/>
        <v>3</v>
      </c>
      <c r="X535" s="25">
        <v>44930</v>
      </c>
      <c r="Y535" t="s">
        <v>11</v>
      </c>
    </row>
    <row r="536" spans="23:25" x14ac:dyDescent="0.3">
      <c r="W536">
        <f t="shared" si="8"/>
        <v>2</v>
      </c>
      <c r="X536" s="25">
        <v>45713</v>
      </c>
      <c r="Y536" t="s">
        <v>12</v>
      </c>
    </row>
    <row r="537" spans="23:25" x14ac:dyDescent="0.3">
      <c r="W537">
        <f t="shared" si="8"/>
        <v>2</v>
      </c>
      <c r="X537" s="25">
        <v>44929</v>
      </c>
      <c r="Y537" t="s">
        <v>11</v>
      </c>
    </row>
    <row r="538" spans="23:25" x14ac:dyDescent="0.3">
      <c r="W538">
        <f t="shared" si="8"/>
        <v>3</v>
      </c>
      <c r="X538" s="25">
        <v>45714</v>
      </c>
      <c r="Y538" t="s">
        <v>12</v>
      </c>
    </row>
    <row r="539" spans="23:25" x14ac:dyDescent="0.3">
      <c r="W539">
        <f t="shared" si="8"/>
        <v>1</v>
      </c>
      <c r="X539" s="25">
        <v>44928</v>
      </c>
      <c r="Y539" t="s">
        <v>11</v>
      </c>
    </row>
    <row r="540" spans="23:25" x14ac:dyDescent="0.3">
      <c r="W540">
        <f t="shared" si="8"/>
        <v>4</v>
      </c>
      <c r="X540" s="25">
        <v>45715</v>
      </c>
      <c r="Y540" t="s">
        <v>12</v>
      </c>
    </row>
    <row r="541" spans="23:25" x14ac:dyDescent="0.3">
      <c r="W541">
        <f t="shared" si="8"/>
        <v>7</v>
      </c>
      <c r="X541" s="25">
        <v>44927</v>
      </c>
      <c r="Y541" t="s">
        <v>11</v>
      </c>
    </row>
    <row r="542" spans="23:25" x14ac:dyDescent="0.3">
      <c r="W542">
        <f t="shared" si="8"/>
        <v>5</v>
      </c>
      <c r="X542" s="25">
        <v>45716</v>
      </c>
      <c r="Y542" t="s">
        <v>12</v>
      </c>
    </row>
    <row r="543" spans="23:25" x14ac:dyDescent="0.3">
      <c r="W543">
        <f t="shared" si="8"/>
        <v>6</v>
      </c>
      <c r="X543" s="25">
        <v>44926</v>
      </c>
      <c r="Y543" t="s">
        <v>11</v>
      </c>
    </row>
    <row r="544" spans="23:25" x14ac:dyDescent="0.3">
      <c r="W544">
        <f t="shared" si="8"/>
        <v>5</v>
      </c>
      <c r="X544" s="25">
        <v>45765</v>
      </c>
      <c r="Y544" t="s">
        <v>12</v>
      </c>
    </row>
    <row r="545" spans="23:25" x14ac:dyDescent="0.3">
      <c r="W545">
        <f t="shared" si="8"/>
        <v>5</v>
      </c>
      <c r="X545" s="25">
        <v>44925</v>
      </c>
      <c r="Y545" t="s">
        <v>11</v>
      </c>
    </row>
    <row r="546" spans="23:25" x14ac:dyDescent="0.3">
      <c r="W546">
        <f t="shared" si="8"/>
        <v>6</v>
      </c>
      <c r="X546" s="25">
        <v>45766</v>
      </c>
      <c r="Y546" t="s">
        <v>12</v>
      </c>
    </row>
    <row r="547" spans="23:25" x14ac:dyDescent="0.3">
      <c r="W547">
        <f t="shared" si="8"/>
        <v>4</v>
      </c>
      <c r="X547" s="25">
        <v>44924</v>
      </c>
      <c r="Y547" t="s">
        <v>11</v>
      </c>
    </row>
    <row r="548" spans="23:25" x14ac:dyDescent="0.3">
      <c r="W548">
        <f t="shared" si="8"/>
        <v>7</v>
      </c>
      <c r="X548" s="25">
        <v>45767</v>
      </c>
      <c r="Y548" t="s">
        <v>12</v>
      </c>
    </row>
    <row r="549" spans="23:25" x14ac:dyDescent="0.3">
      <c r="W549">
        <f t="shared" si="8"/>
        <v>3</v>
      </c>
      <c r="X549" s="25">
        <v>44923</v>
      </c>
      <c r="Y549" t="s">
        <v>11</v>
      </c>
    </row>
    <row r="550" spans="23:25" x14ac:dyDescent="0.3">
      <c r="W550">
        <f t="shared" si="8"/>
        <v>1</v>
      </c>
      <c r="X550" s="25">
        <v>45768</v>
      </c>
      <c r="Y550" t="s">
        <v>12</v>
      </c>
    </row>
    <row r="551" spans="23:25" x14ac:dyDescent="0.3">
      <c r="W551">
        <f t="shared" si="8"/>
        <v>2</v>
      </c>
      <c r="X551" s="25">
        <v>44922</v>
      </c>
      <c r="Y551" t="s">
        <v>11</v>
      </c>
    </row>
    <row r="552" spans="23:25" x14ac:dyDescent="0.3">
      <c r="W552">
        <f t="shared" si="8"/>
        <v>2</v>
      </c>
      <c r="X552" s="25">
        <v>45769</v>
      </c>
      <c r="Y552" t="s">
        <v>12</v>
      </c>
    </row>
    <row r="553" spans="23:25" x14ac:dyDescent="0.3">
      <c r="W553">
        <f t="shared" si="8"/>
        <v>1</v>
      </c>
      <c r="X553" s="25">
        <v>44921</v>
      </c>
      <c r="Y553" t="s">
        <v>11</v>
      </c>
    </row>
    <row r="554" spans="23:25" x14ac:dyDescent="0.3">
      <c r="W554">
        <f t="shared" si="8"/>
        <v>3</v>
      </c>
      <c r="X554" s="25">
        <v>45770</v>
      </c>
      <c r="Y554" t="s">
        <v>12</v>
      </c>
    </row>
    <row r="555" spans="23:25" x14ac:dyDescent="0.3">
      <c r="W555">
        <f t="shared" si="8"/>
        <v>4</v>
      </c>
      <c r="X555" s="25">
        <v>45771</v>
      </c>
      <c r="Y555" t="s">
        <v>12</v>
      </c>
    </row>
    <row r="556" spans="23:25" x14ac:dyDescent="0.3">
      <c r="W556">
        <f t="shared" si="8"/>
        <v>5</v>
      </c>
      <c r="X556" s="25">
        <v>44862</v>
      </c>
      <c r="Y556" t="s">
        <v>11</v>
      </c>
    </row>
    <row r="557" spans="23:25" x14ac:dyDescent="0.3">
      <c r="W557">
        <f t="shared" si="8"/>
        <v>5</v>
      </c>
      <c r="X557" s="25">
        <v>45772</v>
      </c>
      <c r="Y557" t="s">
        <v>12</v>
      </c>
    </row>
    <row r="558" spans="23:25" x14ac:dyDescent="0.3">
      <c r="W558">
        <f t="shared" si="8"/>
        <v>4</v>
      </c>
      <c r="X558" s="25">
        <v>44861</v>
      </c>
      <c r="Y558" t="s">
        <v>11</v>
      </c>
    </row>
    <row r="559" spans="23:25" x14ac:dyDescent="0.3">
      <c r="W559">
        <f t="shared" si="8"/>
        <v>6</v>
      </c>
      <c r="X559" s="25">
        <v>45773</v>
      </c>
      <c r="Y559" t="s">
        <v>12</v>
      </c>
    </row>
    <row r="560" spans="23:25" x14ac:dyDescent="0.3">
      <c r="W560">
        <f t="shared" si="8"/>
        <v>3</v>
      </c>
      <c r="X560" s="25">
        <v>44860</v>
      </c>
      <c r="Y560" t="s">
        <v>11</v>
      </c>
    </row>
    <row r="561" spans="23:25" x14ac:dyDescent="0.3">
      <c r="W561">
        <f t="shared" si="8"/>
        <v>7</v>
      </c>
      <c r="X561" s="25">
        <v>45774</v>
      </c>
      <c r="Y561" t="s">
        <v>12</v>
      </c>
    </row>
    <row r="562" spans="23:25" x14ac:dyDescent="0.3">
      <c r="W562">
        <f t="shared" si="8"/>
        <v>2</v>
      </c>
      <c r="X562" s="25">
        <v>44859</v>
      </c>
      <c r="Y562" t="s">
        <v>11</v>
      </c>
    </row>
    <row r="563" spans="23:25" x14ac:dyDescent="0.3">
      <c r="W563">
        <f t="shared" si="8"/>
        <v>1</v>
      </c>
      <c r="X563" s="25">
        <v>45775</v>
      </c>
      <c r="Y563" t="s">
        <v>12</v>
      </c>
    </row>
    <row r="564" spans="23:25" x14ac:dyDescent="0.3">
      <c r="W564">
        <f t="shared" si="8"/>
        <v>1</v>
      </c>
      <c r="X564" s="25">
        <v>44858</v>
      </c>
      <c r="Y564" t="s">
        <v>11</v>
      </c>
    </row>
    <row r="565" spans="23:25" x14ac:dyDescent="0.3">
      <c r="W565">
        <f t="shared" si="8"/>
        <v>2</v>
      </c>
      <c r="X565" s="25">
        <v>45776</v>
      </c>
      <c r="Y565" t="s">
        <v>12</v>
      </c>
    </row>
    <row r="566" spans="23:25" x14ac:dyDescent="0.3">
      <c r="W566">
        <f t="shared" si="8"/>
        <v>7</v>
      </c>
      <c r="X566" s="25">
        <v>44857</v>
      </c>
      <c r="Y566" t="s">
        <v>11</v>
      </c>
    </row>
    <row r="567" spans="23:25" x14ac:dyDescent="0.3">
      <c r="W567">
        <f t="shared" si="8"/>
        <v>6</v>
      </c>
      <c r="X567" s="25">
        <v>44856</v>
      </c>
      <c r="Y567" t="s">
        <v>11</v>
      </c>
    </row>
    <row r="568" spans="23:25" x14ac:dyDescent="0.3">
      <c r="W568">
        <f t="shared" si="8"/>
        <v>5</v>
      </c>
      <c r="X568" s="25">
        <v>44855</v>
      </c>
      <c r="Y568" t="s">
        <v>11</v>
      </c>
    </row>
    <row r="569" spans="23:25" x14ac:dyDescent="0.3">
      <c r="W569">
        <f t="shared" si="8"/>
        <v>4</v>
      </c>
      <c r="X569" s="25">
        <v>44854</v>
      </c>
      <c r="Y569" t="s">
        <v>11</v>
      </c>
    </row>
    <row r="570" spans="23:25" x14ac:dyDescent="0.3">
      <c r="W570">
        <f t="shared" si="8"/>
        <v>3</v>
      </c>
      <c r="X570" s="25">
        <v>44853</v>
      </c>
      <c r="Y570" t="s">
        <v>11</v>
      </c>
    </row>
    <row r="571" spans="23:25" x14ac:dyDescent="0.3">
      <c r="W571">
        <f t="shared" si="8"/>
        <v>2</v>
      </c>
      <c r="X571" s="25">
        <v>44852</v>
      </c>
      <c r="Y571" t="s">
        <v>11</v>
      </c>
    </row>
    <row r="572" spans="23:25" x14ac:dyDescent="0.3">
      <c r="W572">
        <f t="shared" si="8"/>
        <v>1</v>
      </c>
      <c r="X572" s="25">
        <v>44851</v>
      </c>
      <c r="Y572" t="s">
        <v>11</v>
      </c>
    </row>
    <row r="573" spans="23:25" x14ac:dyDescent="0.3">
      <c r="W573">
        <f t="shared" si="8"/>
        <v>1</v>
      </c>
      <c r="X573" s="25">
        <v>44823</v>
      </c>
      <c r="Y573" t="s">
        <v>11</v>
      </c>
    </row>
    <row r="574" spans="23:25" x14ac:dyDescent="0.3">
      <c r="W574">
        <f t="shared" si="8"/>
        <v>3</v>
      </c>
      <c r="X574" s="25">
        <v>45777</v>
      </c>
      <c r="Y574" t="s">
        <v>12</v>
      </c>
    </row>
    <row r="575" spans="23:25" x14ac:dyDescent="0.3">
      <c r="W575">
        <f t="shared" si="8"/>
        <v>7</v>
      </c>
      <c r="X575" s="25">
        <v>44794</v>
      </c>
      <c r="Y575" t="s">
        <v>11</v>
      </c>
    </row>
    <row r="576" spans="23:25" x14ac:dyDescent="0.3">
      <c r="W576">
        <f t="shared" si="8"/>
        <v>4</v>
      </c>
      <c r="X576" s="25">
        <v>45778</v>
      </c>
      <c r="Y576" t="s">
        <v>12</v>
      </c>
    </row>
    <row r="577" spans="23:25" x14ac:dyDescent="0.3">
      <c r="W577">
        <f t="shared" si="8"/>
        <v>6</v>
      </c>
      <c r="X577" s="25">
        <v>44793</v>
      </c>
      <c r="Y577" t="s">
        <v>11</v>
      </c>
    </row>
    <row r="578" spans="23:25" x14ac:dyDescent="0.3">
      <c r="W578">
        <f t="shared" ref="W578:W641" si="9">WEEKDAY(X578,2)</f>
        <v>5</v>
      </c>
      <c r="X578" s="25">
        <v>45779</v>
      </c>
      <c r="Y578" t="s">
        <v>12</v>
      </c>
    </row>
    <row r="579" spans="23:25" x14ac:dyDescent="0.3">
      <c r="W579">
        <f t="shared" si="9"/>
        <v>5</v>
      </c>
      <c r="X579" s="25">
        <v>44792</v>
      </c>
      <c r="Y579" t="s">
        <v>11</v>
      </c>
    </row>
    <row r="580" spans="23:25" x14ac:dyDescent="0.3">
      <c r="W580">
        <f t="shared" si="9"/>
        <v>4</v>
      </c>
      <c r="X580" s="25">
        <v>45806</v>
      </c>
      <c r="Y580" t="s">
        <v>12</v>
      </c>
    </row>
    <row r="581" spans="23:25" x14ac:dyDescent="0.3">
      <c r="W581">
        <f t="shared" si="9"/>
        <v>4</v>
      </c>
      <c r="X581" s="25">
        <v>44791</v>
      </c>
      <c r="Y581" t="s">
        <v>11</v>
      </c>
    </row>
    <row r="582" spans="23:25" x14ac:dyDescent="0.3">
      <c r="W582">
        <f t="shared" si="9"/>
        <v>5</v>
      </c>
      <c r="X582" s="25">
        <v>45807</v>
      </c>
      <c r="Y582" t="s">
        <v>12</v>
      </c>
    </row>
    <row r="583" spans="23:25" x14ac:dyDescent="0.3">
      <c r="W583">
        <f t="shared" si="9"/>
        <v>3</v>
      </c>
      <c r="X583" s="25">
        <v>44790</v>
      </c>
      <c r="Y583" t="s">
        <v>11</v>
      </c>
    </row>
    <row r="584" spans="23:25" x14ac:dyDescent="0.3">
      <c r="W584">
        <f t="shared" si="9"/>
        <v>1</v>
      </c>
      <c r="X584" s="25">
        <v>45817</v>
      </c>
      <c r="Y584" t="s">
        <v>12</v>
      </c>
    </row>
    <row r="585" spans="23:25" x14ac:dyDescent="0.3">
      <c r="W585">
        <f t="shared" si="9"/>
        <v>2</v>
      </c>
      <c r="X585" s="25">
        <v>44789</v>
      </c>
      <c r="Y585" t="s">
        <v>11</v>
      </c>
    </row>
    <row r="586" spans="23:25" x14ac:dyDescent="0.3">
      <c r="W586">
        <f t="shared" si="9"/>
        <v>1</v>
      </c>
      <c r="X586" s="25">
        <v>45838</v>
      </c>
      <c r="Y586" t="s">
        <v>12</v>
      </c>
    </row>
    <row r="587" spans="23:25" x14ac:dyDescent="0.3">
      <c r="W587">
        <f t="shared" si="9"/>
        <v>1</v>
      </c>
      <c r="X587" s="25">
        <v>44788</v>
      </c>
      <c r="Y587" t="s">
        <v>11</v>
      </c>
    </row>
    <row r="588" spans="23:25" x14ac:dyDescent="0.3">
      <c r="W588">
        <f t="shared" si="9"/>
        <v>2</v>
      </c>
      <c r="X588" s="25">
        <v>45839</v>
      </c>
      <c r="Y588" t="s">
        <v>12</v>
      </c>
    </row>
    <row r="589" spans="23:25" x14ac:dyDescent="0.3">
      <c r="W589">
        <f t="shared" si="9"/>
        <v>7</v>
      </c>
      <c r="X589" s="25">
        <v>44787</v>
      </c>
      <c r="Y589" t="s">
        <v>11</v>
      </c>
    </row>
    <row r="590" spans="23:25" x14ac:dyDescent="0.3">
      <c r="W590">
        <f t="shared" si="9"/>
        <v>3</v>
      </c>
      <c r="X590" s="25">
        <v>45840</v>
      </c>
      <c r="Y590" t="s">
        <v>12</v>
      </c>
    </row>
    <row r="591" spans="23:25" x14ac:dyDescent="0.3">
      <c r="W591">
        <f t="shared" si="9"/>
        <v>6</v>
      </c>
      <c r="X591" s="25">
        <v>44786</v>
      </c>
      <c r="Y591" t="s">
        <v>11</v>
      </c>
    </row>
    <row r="592" spans="23:25" x14ac:dyDescent="0.3">
      <c r="W592">
        <f t="shared" si="9"/>
        <v>4</v>
      </c>
      <c r="X592" s="25">
        <v>45841</v>
      </c>
      <c r="Y592" t="s">
        <v>12</v>
      </c>
    </row>
    <row r="593" spans="23:25" x14ac:dyDescent="0.3">
      <c r="W593">
        <f t="shared" si="9"/>
        <v>5</v>
      </c>
      <c r="X593" s="25">
        <v>44785</v>
      </c>
      <c r="Y593" t="s">
        <v>11</v>
      </c>
    </row>
    <row r="594" spans="23:25" x14ac:dyDescent="0.3">
      <c r="W594">
        <f t="shared" si="9"/>
        <v>5</v>
      </c>
      <c r="X594" s="25">
        <v>45842</v>
      </c>
      <c r="Y594" t="s">
        <v>12</v>
      </c>
    </row>
    <row r="595" spans="23:25" x14ac:dyDescent="0.3">
      <c r="W595">
        <f t="shared" si="9"/>
        <v>4</v>
      </c>
      <c r="X595" s="25">
        <v>44784</v>
      </c>
      <c r="Y595" t="s">
        <v>11</v>
      </c>
    </row>
    <row r="596" spans="23:25" x14ac:dyDescent="0.3">
      <c r="W596">
        <f t="shared" si="9"/>
        <v>6</v>
      </c>
      <c r="X596" s="25">
        <v>45843</v>
      </c>
      <c r="Y596" t="s">
        <v>12</v>
      </c>
    </row>
    <row r="597" spans="23:25" x14ac:dyDescent="0.3">
      <c r="W597">
        <f t="shared" si="9"/>
        <v>3</v>
      </c>
      <c r="X597" s="25">
        <v>44783</v>
      </c>
      <c r="Y597" t="s">
        <v>11</v>
      </c>
    </row>
    <row r="598" spans="23:25" x14ac:dyDescent="0.3">
      <c r="W598">
        <f t="shared" si="9"/>
        <v>7</v>
      </c>
      <c r="X598" s="25">
        <v>45844</v>
      </c>
      <c r="Y598" t="s">
        <v>12</v>
      </c>
    </row>
    <row r="599" spans="23:25" x14ac:dyDescent="0.3">
      <c r="W599">
        <f t="shared" si="9"/>
        <v>2</v>
      </c>
      <c r="X599" s="25">
        <v>44782</v>
      </c>
      <c r="Y599" t="s">
        <v>11</v>
      </c>
    </row>
    <row r="600" spans="23:25" x14ac:dyDescent="0.3">
      <c r="W600">
        <f t="shared" si="9"/>
        <v>1</v>
      </c>
      <c r="X600" s="25">
        <v>45845</v>
      </c>
      <c r="Y600" t="s">
        <v>12</v>
      </c>
    </row>
    <row r="601" spans="23:25" x14ac:dyDescent="0.3">
      <c r="W601">
        <f t="shared" si="9"/>
        <v>1</v>
      </c>
      <c r="X601" s="25">
        <v>44781</v>
      </c>
      <c r="Y601" t="s">
        <v>11</v>
      </c>
    </row>
    <row r="602" spans="23:25" x14ac:dyDescent="0.3">
      <c r="W602">
        <f t="shared" si="9"/>
        <v>2</v>
      </c>
      <c r="X602" s="25">
        <v>45846</v>
      </c>
      <c r="Y602" t="s">
        <v>12</v>
      </c>
    </row>
    <row r="603" spans="23:25" x14ac:dyDescent="0.3">
      <c r="W603">
        <f t="shared" si="9"/>
        <v>7</v>
      </c>
      <c r="X603" s="25">
        <v>44780</v>
      </c>
      <c r="Y603" t="s">
        <v>11</v>
      </c>
    </row>
    <row r="604" spans="23:25" x14ac:dyDescent="0.3">
      <c r="W604">
        <f t="shared" si="9"/>
        <v>3</v>
      </c>
      <c r="X604" s="25">
        <v>45847</v>
      </c>
      <c r="Y604" t="s">
        <v>12</v>
      </c>
    </row>
    <row r="605" spans="23:25" x14ac:dyDescent="0.3">
      <c r="W605">
        <f t="shared" si="9"/>
        <v>6</v>
      </c>
      <c r="X605" s="25">
        <v>44779</v>
      </c>
      <c r="Y605" t="s">
        <v>11</v>
      </c>
    </row>
    <row r="606" spans="23:25" x14ac:dyDescent="0.3">
      <c r="W606">
        <f t="shared" si="9"/>
        <v>4</v>
      </c>
      <c r="X606" s="25">
        <v>45848</v>
      </c>
      <c r="Y606" t="s">
        <v>12</v>
      </c>
    </row>
    <row r="607" spans="23:25" x14ac:dyDescent="0.3">
      <c r="W607">
        <f t="shared" si="9"/>
        <v>5</v>
      </c>
      <c r="X607" s="25">
        <v>44778</v>
      </c>
      <c r="Y607" t="s">
        <v>11</v>
      </c>
    </row>
    <row r="608" spans="23:25" x14ac:dyDescent="0.3">
      <c r="W608">
        <f t="shared" si="9"/>
        <v>5</v>
      </c>
      <c r="X608" s="25">
        <v>45849</v>
      </c>
      <c r="Y608" t="s">
        <v>12</v>
      </c>
    </row>
    <row r="609" spans="23:25" x14ac:dyDescent="0.3">
      <c r="W609">
        <f t="shared" si="9"/>
        <v>4</v>
      </c>
      <c r="X609" s="25">
        <v>44777</v>
      </c>
      <c r="Y609" t="s">
        <v>11</v>
      </c>
    </row>
    <row r="610" spans="23:25" x14ac:dyDescent="0.3">
      <c r="W610">
        <f t="shared" si="9"/>
        <v>6</v>
      </c>
      <c r="X610" s="25">
        <v>45850</v>
      </c>
      <c r="Y610" t="s">
        <v>12</v>
      </c>
    </row>
    <row r="611" spans="23:25" x14ac:dyDescent="0.3">
      <c r="W611">
        <f t="shared" si="9"/>
        <v>3</v>
      </c>
      <c r="X611" s="25">
        <v>44776</v>
      </c>
      <c r="Y611" t="s">
        <v>11</v>
      </c>
    </row>
    <row r="612" spans="23:25" x14ac:dyDescent="0.3">
      <c r="W612">
        <f t="shared" si="9"/>
        <v>7</v>
      </c>
      <c r="X612" s="25">
        <v>45851</v>
      </c>
      <c r="Y612" t="s">
        <v>12</v>
      </c>
    </row>
    <row r="613" spans="23:25" x14ac:dyDescent="0.3">
      <c r="W613">
        <f t="shared" si="9"/>
        <v>2</v>
      </c>
      <c r="X613" s="25">
        <v>44775</v>
      </c>
      <c r="Y613" t="s">
        <v>11</v>
      </c>
    </row>
    <row r="614" spans="23:25" x14ac:dyDescent="0.3">
      <c r="W614">
        <f t="shared" si="9"/>
        <v>1</v>
      </c>
      <c r="X614" s="25">
        <v>45852</v>
      </c>
      <c r="Y614" t="s">
        <v>12</v>
      </c>
    </row>
    <row r="615" spans="23:25" x14ac:dyDescent="0.3">
      <c r="W615">
        <f t="shared" si="9"/>
        <v>1</v>
      </c>
      <c r="X615" s="25">
        <v>44774</v>
      </c>
      <c r="Y615" t="s">
        <v>11</v>
      </c>
    </row>
    <row r="616" spans="23:25" x14ac:dyDescent="0.3">
      <c r="W616">
        <f t="shared" si="9"/>
        <v>2</v>
      </c>
      <c r="X616" s="25">
        <v>45853</v>
      </c>
      <c r="Y616" t="s">
        <v>12</v>
      </c>
    </row>
    <row r="617" spans="23:25" x14ac:dyDescent="0.3">
      <c r="W617">
        <f t="shared" si="9"/>
        <v>7</v>
      </c>
      <c r="X617" s="25">
        <v>44773</v>
      </c>
      <c r="Y617" t="s">
        <v>11</v>
      </c>
    </row>
    <row r="618" spans="23:25" x14ac:dyDescent="0.3">
      <c r="W618">
        <f t="shared" si="9"/>
        <v>3</v>
      </c>
      <c r="X618" s="25">
        <v>45854</v>
      </c>
      <c r="Y618" t="s">
        <v>12</v>
      </c>
    </row>
    <row r="619" spans="23:25" x14ac:dyDescent="0.3">
      <c r="W619">
        <f t="shared" si="9"/>
        <v>6</v>
      </c>
      <c r="X619" s="25">
        <v>44772</v>
      </c>
      <c r="Y619" t="s">
        <v>11</v>
      </c>
    </row>
    <row r="620" spans="23:25" x14ac:dyDescent="0.3">
      <c r="W620">
        <f t="shared" si="9"/>
        <v>4</v>
      </c>
      <c r="X620" s="25">
        <v>45855</v>
      </c>
      <c r="Y620" t="s">
        <v>12</v>
      </c>
    </row>
    <row r="621" spans="23:25" x14ac:dyDescent="0.3">
      <c r="W621">
        <f t="shared" si="9"/>
        <v>5</v>
      </c>
      <c r="X621" s="25">
        <v>44771</v>
      </c>
      <c r="Y621" t="s">
        <v>11</v>
      </c>
    </row>
    <row r="622" spans="23:25" x14ac:dyDescent="0.3">
      <c r="W622">
        <f t="shared" si="9"/>
        <v>5</v>
      </c>
      <c r="X622" s="25">
        <v>45856</v>
      </c>
      <c r="Y622" t="s">
        <v>12</v>
      </c>
    </row>
    <row r="623" spans="23:25" x14ac:dyDescent="0.3">
      <c r="W623">
        <f t="shared" si="9"/>
        <v>4</v>
      </c>
      <c r="X623" s="25">
        <v>44770</v>
      </c>
      <c r="Y623" t="s">
        <v>11</v>
      </c>
    </row>
    <row r="624" spans="23:25" x14ac:dyDescent="0.3">
      <c r="W624">
        <f t="shared" si="9"/>
        <v>6</v>
      </c>
      <c r="X624" s="25">
        <v>45857</v>
      </c>
      <c r="Y624" t="s">
        <v>12</v>
      </c>
    </row>
    <row r="625" spans="23:25" x14ac:dyDescent="0.3">
      <c r="W625">
        <f t="shared" si="9"/>
        <v>3</v>
      </c>
      <c r="X625" s="25">
        <v>44769</v>
      </c>
      <c r="Y625" t="s">
        <v>11</v>
      </c>
    </row>
    <row r="626" spans="23:25" x14ac:dyDescent="0.3">
      <c r="W626">
        <f t="shared" si="9"/>
        <v>7</v>
      </c>
      <c r="X626" s="25">
        <v>45858</v>
      </c>
      <c r="Y626" t="s">
        <v>12</v>
      </c>
    </row>
    <row r="627" spans="23:25" x14ac:dyDescent="0.3">
      <c r="W627">
        <f t="shared" si="9"/>
        <v>2</v>
      </c>
      <c r="X627" s="25">
        <v>44768</v>
      </c>
      <c r="Y627" t="s">
        <v>11</v>
      </c>
    </row>
    <row r="628" spans="23:25" x14ac:dyDescent="0.3">
      <c r="W628">
        <f t="shared" si="9"/>
        <v>1</v>
      </c>
      <c r="X628" s="25">
        <v>45859</v>
      </c>
      <c r="Y628" t="s">
        <v>12</v>
      </c>
    </row>
    <row r="629" spans="23:25" x14ac:dyDescent="0.3">
      <c r="W629">
        <f t="shared" si="9"/>
        <v>1</v>
      </c>
      <c r="X629" s="25">
        <v>44767</v>
      </c>
      <c r="Y629" t="s">
        <v>11</v>
      </c>
    </row>
    <row r="630" spans="23:25" x14ac:dyDescent="0.3">
      <c r="W630">
        <f t="shared" si="9"/>
        <v>2</v>
      </c>
      <c r="X630" s="25">
        <v>45860</v>
      </c>
      <c r="Y630" t="s">
        <v>12</v>
      </c>
    </row>
    <row r="631" spans="23:25" x14ac:dyDescent="0.3">
      <c r="W631">
        <f t="shared" si="9"/>
        <v>7</v>
      </c>
      <c r="X631" s="25">
        <v>44766</v>
      </c>
      <c r="Y631" t="s">
        <v>11</v>
      </c>
    </row>
    <row r="632" spans="23:25" x14ac:dyDescent="0.3">
      <c r="W632">
        <f t="shared" si="9"/>
        <v>3</v>
      </c>
      <c r="X632" s="25">
        <v>45861</v>
      </c>
      <c r="Y632" t="s">
        <v>12</v>
      </c>
    </row>
    <row r="633" spans="23:25" x14ac:dyDescent="0.3">
      <c r="W633">
        <f t="shared" si="9"/>
        <v>6</v>
      </c>
      <c r="X633" s="25">
        <v>44765</v>
      </c>
      <c r="Y633" t="s">
        <v>11</v>
      </c>
    </row>
    <row r="634" spans="23:25" x14ac:dyDescent="0.3">
      <c r="W634">
        <f t="shared" si="9"/>
        <v>4</v>
      </c>
      <c r="X634" s="25">
        <v>45862</v>
      </c>
      <c r="Y634" t="s">
        <v>12</v>
      </c>
    </row>
    <row r="635" spans="23:25" x14ac:dyDescent="0.3">
      <c r="W635">
        <f t="shared" si="9"/>
        <v>5</v>
      </c>
      <c r="X635" s="25">
        <v>44764</v>
      </c>
      <c r="Y635" t="s">
        <v>11</v>
      </c>
    </row>
    <row r="636" spans="23:25" x14ac:dyDescent="0.3">
      <c r="W636">
        <f t="shared" si="9"/>
        <v>5</v>
      </c>
      <c r="X636" s="25">
        <v>45863</v>
      </c>
      <c r="Y636" t="s">
        <v>12</v>
      </c>
    </row>
    <row r="637" spans="23:25" x14ac:dyDescent="0.3">
      <c r="W637">
        <f t="shared" si="9"/>
        <v>4</v>
      </c>
      <c r="X637" s="25">
        <v>44763</v>
      </c>
      <c r="Y637" t="s">
        <v>11</v>
      </c>
    </row>
    <row r="638" spans="23:25" x14ac:dyDescent="0.3">
      <c r="W638">
        <f t="shared" si="9"/>
        <v>6</v>
      </c>
      <c r="X638" s="25">
        <v>45864</v>
      </c>
      <c r="Y638" t="s">
        <v>12</v>
      </c>
    </row>
    <row r="639" spans="23:25" x14ac:dyDescent="0.3">
      <c r="W639">
        <f t="shared" si="9"/>
        <v>3</v>
      </c>
      <c r="X639" s="25">
        <v>44762</v>
      </c>
      <c r="Y639" t="s">
        <v>11</v>
      </c>
    </row>
    <row r="640" spans="23:25" x14ac:dyDescent="0.3">
      <c r="W640">
        <f t="shared" si="9"/>
        <v>7</v>
      </c>
      <c r="X640" s="25">
        <v>45865</v>
      </c>
      <c r="Y640" t="s">
        <v>12</v>
      </c>
    </row>
    <row r="641" spans="23:25" x14ac:dyDescent="0.3">
      <c r="W641">
        <f t="shared" si="9"/>
        <v>2</v>
      </c>
      <c r="X641" s="25">
        <v>44761</v>
      </c>
      <c r="Y641" t="s">
        <v>11</v>
      </c>
    </row>
    <row r="642" spans="23:25" x14ac:dyDescent="0.3">
      <c r="W642">
        <f t="shared" ref="W642:W705" si="10">WEEKDAY(X642,2)</f>
        <v>1</v>
      </c>
      <c r="X642" s="25">
        <v>45866</v>
      </c>
      <c r="Y642" t="s">
        <v>12</v>
      </c>
    </row>
    <row r="643" spans="23:25" x14ac:dyDescent="0.3">
      <c r="W643">
        <f t="shared" si="10"/>
        <v>1</v>
      </c>
      <c r="X643" s="25">
        <v>44760</v>
      </c>
      <c r="Y643" t="s">
        <v>11</v>
      </c>
    </row>
    <row r="644" spans="23:25" x14ac:dyDescent="0.3">
      <c r="W644">
        <f t="shared" si="10"/>
        <v>2</v>
      </c>
      <c r="X644" s="25">
        <v>45867</v>
      </c>
      <c r="Y644" t="s">
        <v>12</v>
      </c>
    </row>
    <row r="645" spans="23:25" x14ac:dyDescent="0.3">
      <c r="W645">
        <f t="shared" si="10"/>
        <v>7</v>
      </c>
      <c r="X645" s="25">
        <v>44759</v>
      </c>
      <c r="Y645" t="s">
        <v>11</v>
      </c>
    </row>
    <row r="646" spans="23:25" x14ac:dyDescent="0.3">
      <c r="W646">
        <f t="shared" si="10"/>
        <v>3</v>
      </c>
      <c r="X646" s="25">
        <v>45868</v>
      </c>
      <c r="Y646" t="s">
        <v>12</v>
      </c>
    </row>
    <row r="647" spans="23:25" x14ac:dyDescent="0.3">
      <c r="W647">
        <f t="shared" si="10"/>
        <v>6</v>
      </c>
      <c r="X647" s="25">
        <v>44758</v>
      </c>
      <c r="Y647" t="s">
        <v>11</v>
      </c>
    </row>
    <row r="648" spans="23:25" x14ac:dyDescent="0.3">
      <c r="W648">
        <f t="shared" si="10"/>
        <v>4</v>
      </c>
      <c r="X648" s="25">
        <v>45869</v>
      </c>
      <c r="Y648" t="s">
        <v>12</v>
      </c>
    </row>
    <row r="649" spans="23:25" x14ac:dyDescent="0.3">
      <c r="W649">
        <f t="shared" si="10"/>
        <v>5</v>
      </c>
      <c r="X649" s="25">
        <v>44757</v>
      </c>
      <c r="Y649" t="s">
        <v>11</v>
      </c>
    </row>
    <row r="650" spans="23:25" x14ac:dyDescent="0.3">
      <c r="W650">
        <f t="shared" si="10"/>
        <v>5</v>
      </c>
      <c r="X650" s="25">
        <v>45870</v>
      </c>
      <c r="Y650" t="s">
        <v>12</v>
      </c>
    </row>
    <row r="651" spans="23:25" x14ac:dyDescent="0.3">
      <c r="W651">
        <f t="shared" si="10"/>
        <v>4</v>
      </c>
      <c r="X651" s="25">
        <v>44756</v>
      </c>
      <c r="Y651" t="s">
        <v>11</v>
      </c>
    </row>
    <row r="652" spans="23:25" x14ac:dyDescent="0.3">
      <c r="W652">
        <f t="shared" si="10"/>
        <v>6</v>
      </c>
      <c r="X652" s="25">
        <v>45871</v>
      </c>
      <c r="Y652" t="s">
        <v>12</v>
      </c>
    </row>
    <row r="653" spans="23:25" x14ac:dyDescent="0.3">
      <c r="W653">
        <f t="shared" si="10"/>
        <v>3</v>
      </c>
      <c r="X653" s="25">
        <v>44755</v>
      </c>
      <c r="Y653" t="s">
        <v>11</v>
      </c>
    </row>
    <row r="654" spans="23:25" x14ac:dyDescent="0.3">
      <c r="W654">
        <f t="shared" si="10"/>
        <v>7</v>
      </c>
      <c r="X654" s="25">
        <v>45872</v>
      </c>
      <c r="Y654" t="s">
        <v>12</v>
      </c>
    </row>
    <row r="655" spans="23:25" x14ac:dyDescent="0.3">
      <c r="W655">
        <f t="shared" si="10"/>
        <v>2</v>
      </c>
      <c r="X655" s="25">
        <v>44754</v>
      </c>
      <c r="Y655" t="s">
        <v>11</v>
      </c>
    </row>
    <row r="656" spans="23:25" x14ac:dyDescent="0.3">
      <c r="W656">
        <f t="shared" si="10"/>
        <v>1</v>
      </c>
      <c r="X656" s="25">
        <v>45873</v>
      </c>
      <c r="Y656" t="s">
        <v>12</v>
      </c>
    </row>
    <row r="657" spans="23:25" x14ac:dyDescent="0.3">
      <c r="W657">
        <f t="shared" si="10"/>
        <v>1</v>
      </c>
      <c r="X657" s="25">
        <v>44753</v>
      </c>
      <c r="Y657" t="s">
        <v>11</v>
      </c>
    </row>
    <row r="658" spans="23:25" x14ac:dyDescent="0.3">
      <c r="W658">
        <f t="shared" si="10"/>
        <v>2</v>
      </c>
      <c r="X658" s="25">
        <v>45874</v>
      </c>
      <c r="Y658" t="s">
        <v>12</v>
      </c>
    </row>
    <row r="659" spans="23:25" x14ac:dyDescent="0.3">
      <c r="W659">
        <f t="shared" si="10"/>
        <v>7</v>
      </c>
      <c r="X659" s="25">
        <v>44752</v>
      </c>
      <c r="Y659" t="s">
        <v>11</v>
      </c>
    </row>
    <row r="660" spans="23:25" x14ac:dyDescent="0.3">
      <c r="W660">
        <f t="shared" si="10"/>
        <v>3</v>
      </c>
      <c r="X660" s="25">
        <v>45875</v>
      </c>
      <c r="Y660" t="s">
        <v>12</v>
      </c>
    </row>
    <row r="661" spans="23:25" x14ac:dyDescent="0.3">
      <c r="W661">
        <f t="shared" si="10"/>
        <v>6</v>
      </c>
      <c r="X661" s="25">
        <v>44751</v>
      </c>
      <c r="Y661" t="s">
        <v>11</v>
      </c>
    </row>
    <row r="662" spans="23:25" x14ac:dyDescent="0.3">
      <c r="W662">
        <f t="shared" si="10"/>
        <v>4</v>
      </c>
      <c r="X662" s="25">
        <v>45876</v>
      </c>
      <c r="Y662" t="s">
        <v>12</v>
      </c>
    </row>
    <row r="663" spans="23:25" x14ac:dyDescent="0.3">
      <c r="W663">
        <f t="shared" si="10"/>
        <v>5</v>
      </c>
      <c r="X663" s="25">
        <v>44750</v>
      </c>
      <c r="Y663" t="s">
        <v>11</v>
      </c>
    </row>
    <row r="664" spans="23:25" x14ac:dyDescent="0.3">
      <c r="W664">
        <f t="shared" si="10"/>
        <v>5</v>
      </c>
      <c r="X664" s="25">
        <v>45877</v>
      </c>
      <c r="Y664" t="s">
        <v>12</v>
      </c>
    </row>
    <row r="665" spans="23:25" x14ac:dyDescent="0.3">
      <c r="W665">
        <f t="shared" si="10"/>
        <v>4</v>
      </c>
      <c r="X665" s="25">
        <v>44749</v>
      </c>
      <c r="Y665" t="s">
        <v>11</v>
      </c>
    </row>
    <row r="666" spans="23:25" x14ac:dyDescent="0.3">
      <c r="W666">
        <f t="shared" si="10"/>
        <v>6</v>
      </c>
      <c r="X666" s="25">
        <v>45878</v>
      </c>
      <c r="Y666" t="s">
        <v>12</v>
      </c>
    </row>
    <row r="667" spans="23:25" x14ac:dyDescent="0.3">
      <c r="W667">
        <f t="shared" si="10"/>
        <v>3</v>
      </c>
      <c r="X667" s="25">
        <v>44748</v>
      </c>
      <c r="Y667" t="s">
        <v>11</v>
      </c>
    </row>
    <row r="668" spans="23:25" x14ac:dyDescent="0.3">
      <c r="W668">
        <f t="shared" si="10"/>
        <v>7</v>
      </c>
      <c r="X668" s="25">
        <v>45879</v>
      </c>
      <c r="Y668" t="s">
        <v>12</v>
      </c>
    </row>
    <row r="669" spans="23:25" x14ac:dyDescent="0.3">
      <c r="W669">
        <f t="shared" si="10"/>
        <v>2</v>
      </c>
      <c r="X669" s="25">
        <v>44747</v>
      </c>
      <c r="Y669" t="s">
        <v>11</v>
      </c>
    </row>
    <row r="670" spans="23:25" x14ac:dyDescent="0.3">
      <c r="W670">
        <f t="shared" si="10"/>
        <v>1</v>
      </c>
      <c r="X670" s="25">
        <v>45880</v>
      </c>
      <c r="Y670" t="s">
        <v>12</v>
      </c>
    </row>
    <row r="671" spans="23:25" x14ac:dyDescent="0.3">
      <c r="W671">
        <f t="shared" si="10"/>
        <v>1</v>
      </c>
      <c r="X671" s="25">
        <v>44746</v>
      </c>
      <c r="Y671" t="s">
        <v>11</v>
      </c>
    </row>
    <row r="672" spans="23:25" x14ac:dyDescent="0.3">
      <c r="W672">
        <f t="shared" si="10"/>
        <v>2</v>
      </c>
      <c r="X672" s="25">
        <v>45881</v>
      </c>
      <c r="Y672" t="s">
        <v>12</v>
      </c>
    </row>
    <row r="673" spans="23:25" x14ac:dyDescent="0.3">
      <c r="W673">
        <f t="shared" si="10"/>
        <v>1</v>
      </c>
      <c r="X673" s="25">
        <v>44718</v>
      </c>
      <c r="Y673" t="s">
        <v>11</v>
      </c>
    </row>
    <row r="674" spans="23:25" x14ac:dyDescent="0.3">
      <c r="W674">
        <f t="shared" si="10"/>
        <v>5</v>
      </c>
      <c r="X674" s="25">
        <v>44708</v>
      </c>
      <c r="Y674" t="s">
        <v>11</v>
      </c>
    </row>
    <row r="675" spans="23:25" x14ac:dyDescent="0.3">
      <c r="W675">
        <f t="shared" si="10"/>
        <v>4</v>
      </c>
      <c r="X675" s="25">
        <v>44707</v>
      </c>
      <c r="Y675" t="s">
        <v>11</v>
      </c>
    </row>
    <row r="676" spans="23:25" x14ac:dyDescent="0.3">
      <c r="W676">
        <f t="shared" si="10"/>
        <v>3</v>
      </c>
      <c r="X676" s="25">
        <v>45882</v>
      </c>
      <c r="Y676" t="s">
        <v>12</v>
      </c>
    </row>
    <row r="677" spans="23:25" x14ac:dyDescent="0.3">
      <c r="W677">
        <f t="shared" si="10"/>
        <v>5</v>
      </c>
      <c r="X677" s="25">
        <v>44680</v>
      </c>
      <c r="Y677" t="s">
        <v>11</v>
      </c>
    </row>
    <row r="678" spans="23:25" x14ac:dyDescent="0.3">
      <c r="W678">
        <f t="shared" si="10"/>
        <v>4</v>
      </c>
      <c r="X678" s="25">
        <v>44679</v>
      </c>
      <c r="Y678" t="s">
        <v>11</v>
      </c>
    </row>
    <row r="679" spans="23:25" x14ac:dyDescent="0.3">
      <c r="W679">
        <f t="shared" si="10"/>
        <v>3</v>
      </c>
      <c r="X679" s="25">
        <v>44678</v>
      </c>
      <c r="Y679" t="s">
        <v>11</v>
      </c>
    </row>
    <row r="680" spans="23:25" x14ac:dyDescent="0.3">
      <c r="W680">
        <f t="shared" si="10"/>
        <v>2</v>
      </c>
      <c r="X680" s="25">
        <v>44677</v>
      </c>
      <c r="Y680" t="s">
        <v>11</v>
      </c>
    </row>
    <row r="681" spans="23:25" x14ac:dyDescent="0.3">
      <c r="W681">
        <f t="shared" si="10"/>
        <v>1</v>
      </c>
      <c r="X681" s="25">
        <v>44676</v>
      </c>
      <c r="Y681" t="s">
        <v>11</v>
      </c>
    </row>
    <row r="682" spans="23:25" x14ac:dyDescent="0.3">
      <c r="W682">
        <f t="shared" si="10"/>
        <v>7</v>
      </c>
      <c r="X682" s="25">
        <v>44675</v>
      </c>
      <c r="Y682" t="s">
        <v>11</v>
      </c>
    </row>
    <row r="683" spans="23:25" x14ac:dyDescent="0.3">
      <c r="W683">
        <f t="shared" si="10"/>
        <v>6</v>
      </c>
      <c r="X683" s="25">
        <v>44674</v>
      </c>
      <c r="Y683" t="s">
        <v>11</v>
      </c>
    </row>
    <row r="684" spans="23:25" x14ac:dyDescent="0.3">
      <c r="W684">
        <f t="shared" si="10"/>
        <v>5</v>
      </c>
      <c r="X684" s="25">
        <v>44673</v>
      </c>
      <c r="Y684" t="s">
        <v>11</v>
      </c>
    </row>
    <row r="685" spans="23:25" x14ac:dyDescent="0.3">
      <c r="W685">
        <f t="shared" si="10"/>
        <v>4</v>
      </c>
      <c r="X685" s="25">
        <v>45883</v>
      </c>
      <c r="Y685" t="s">
        <v>12</v>
      </c>
    </row>
    <row r="686" spans="23:25" x14ac:dyDescent="0.3">
      <c r="W686">
        <f t="shared" si="10"/>
        <v>4</v>
      </c>
      <c r="X686" s="25">
        <v>44672</v>
      </c>
      <c r="Y686" t="s">
        <v>11</v>
      </c>
    </row>
    <row r="687" spans="23:25" x14ac:dyDescent="0.3">
      <c r="W687">
        <f t="shared" si="10"/>
        <v>5</v>
      </c>
      <c r="X687" s="25">
        <v>45884</v>
      </c>
      <c r="Y687" t="s">
        <v>12</v>
      </c>
    </row>
    <row r="688" spans="23:25" x14ac:dyDescent="0.3">
      <c r="W688">
        <f t="shared" si="10"/>
        <v>3</v>
      </c>
      <c r="X688" s="25">
        <v>44671</v>
      </c>
      <c r="Y688" t="s">
        <v>11</v>
      </c>
    </row>
    <row r="689" spans="23:25" x14ac:dyDescent="0.3">
      <c r="W689">
        <f t="shared" si="10"/>
        <v>6</v>
      </c>
      <c r="X689" s="25">
        <v>45885</v>
      </c>
      <c r="Y689" t="s">
        <v>12</v>
      </c>
    </row>
    <row r="690" spans="23:25" x14ac:dyDescent="0.3">
      <c r="W690">
        <f t="shared" si="10"/>
        <v>2</v>
      </c>
      <c r="X690" s="25">
        <v>44670</v>
      </c>
      <c r="Y690" t="s">
        <v>11</v>
      </c>
    </row>
    <row r="691" spans="23:25" x14ac:dyDescent="0.3">
      <c r="W691">
        <f t="shared" si="10"/>
        <v>7</v>
      </c>
      <c r="X691" s="25">
        <v>45886</v>
      </c>
      <c r="Y691" t="s">
        <v>12</v>
      </c>
    </row>
    <row r="692" spans="23:25" x14ac:dyDescent="0.3">
      <c r="W692">
        <f t="shared" si="10"/>
        <v>1</v>
      </c>
      <c r="X692" s="25">
        <v>44669</v>
      </c>
      <c r="Y692" t="s">
        <v>11</v>
      </c>
    </row>
    <row r="693" spans="23:25" x14ac:dyDescent="0.3">
      <c r="W693">
        <f t="shared" si="10"/>
        <v>1</v>
      </c>
      <c r="X693" s="25">
        <v>45950</v>
      </c>
      <c r="Y693" t="s">
        <v>12</v>
      </c>
    </row>
    <row r="694" spans="23:25" x14ac:dyDescent="0.3">
      <c r="W694">
        <f t="shared" si="10"/>
        <v>7</v>
      </c>
      <c r="X694" s="25">
        <v>44668</v>
      </c>
      <c r="Y694" t="s">
        <v>11</v>
      </c>
    </row>
    <row r="695" spans="23:25" x14ac:dyDescent="0.3">
      <c r="W695">
        <f t="shared" si="10"/>
        <v>2</v>
      </c>
      <c r="X695" s="25">
        <v>45951</v>
      </c>
      <c r="Y695" t="s">
        <v>12</v>
      </c>
    </row>
    <row r="696" spans="23:25" x14ac:dyDescent="0.3">
      <c r="W696">
        <f t="shared" si="10"/>
        <v>6</v>
      </c>
      <c r="X696" s="25">
        <v>44667</v>
      </c>
      <c r="Y696" t="s">
        <v>11</v>
      </c>
    </row>
    <row r="697" spans="23:25" x14ac:dyDescent="0.3">
      <c r="W697">
        <f t="shared" si="10"/>
        <v>3</v>
      </c>
      <c r="X697" s="25">
        <v>45952</v>
      </c>
      <c r="Y697" t="s">
        <v>12</v>
      </c>
    </row>
    <row r="698" spans="23:25" x14ac:dyDescent="0.3">
      <c r="W698">
        <f t="shared" si="10"/>
        <v>5</v>
      </c>
      <c r="X698" s="25">
        <v>44666</v>
      </c>
      <c r="Y698" t="s">
        <v>11</v>
      </c>
    </row>
    <row r="699" spans="23:25" x14ac:dyDescent="0.3">
      <c r="W699">
        <f t="shared" si="10"/>
        <v>4</v>
      </c>
      <c r="X699" s="25">
        <v>45953</v>
      </c>
      <c r="Y699" t="s">
        <v>12</v>
      </c>
    </row>
    <row r="700" spans="23:25" x14ac:dyDescent="0.3">
      <c r="W700">
        <f t="shared" si="10"/>
        <v>5</v>
      </c>
      <c r="X700" s="25">
        <v>45954</v>
      </c>
      <c r="Y700" t="s">
        <v>12</v>
      </c>
    </row>
    <row r="701" spans="23:25" x14ac:dyDescent="0.3">
      <c r="W701">
        <f t="shared" si="10"/>
        <v>5</v>
      </c>
      <c r="X701" s="25">
        <v>44617</v>
      </c>
      <c r="Y701" t="s">
        <v>11</v>
      </c>
    </row>
    <row r="702" spans="23:25" x14ac:dyDescent="0.3">
      <c r="W702">
        <f t="shared" si="10"/>
        <v>4</v>
      </c>
      <c r="X702" s="25">
        <v>44616</v>
      </c>
      <c r="Y702" t="s">
        <v>11</v>
      </c>
    </row>
    <row r="703" spans="23:25" x14ac:dyDescent="0.3">
      <c r="W703">
        <f t="shared" si="10"/>
        <v>3</v>
      </c>
      <c r="X703" s="25">
        <v>44615</v>
      </c>
      <c r="Y703" t="s">
        <v>11</v>
      </c>
    </row>
    <row r="704" spans="23:25" x14ac:dyDescent="0.3">
      <c r="W704">
        <f t="shared" si="10"/>
        <v>2</v>
      </c>
      <c r="X704" s="25">
        <v>44614</v>
      </c>
      <c r="Y704" t="s">
        <v>11</v>
      </c>
    </row>
    <row r="705" spans="23:25" x14ac:dyDescent="0.3">
      <c r="W705">
        <f t="shared" si="10"/>
        <v>1</v>
      </c>
      <c r="X705" s="25">
        <v>44613</v>
      </c>
      <c r="Y705" t="s">
        <v>11</v>
      </c>
    </row>
    <row r="706" spans="23:25" x14ac:dyDescent="0.3">
      <c r="W706">
        <f t="shared" ref="W706:W758" si="11">WEEKDAY(X706,2)</f>
        <v>6</v>
      </c>
      <c r="X706" s="25">
        <v>45955</v>
      </c>
      <c r="Y706" t="s">
        <v>12</v>
      </c>
    </row>
    <row r="707" spans="23:25" x14ac:dyDescent="0.3">
      <c r="W707">
        <f t="shared" si="11"/>
        <v>7</v>
      </c>
      <c r="X707" s="25">
        <v>45956</v>
      </c>
      <c r="Y707" t="s">
        <v>12</v>
      </c>
    </row>
    <row r="708" spans="23:25" x14ac:dyDescent="0.3">
      <c r="W708">
        <f t="shared" si="11"/>
        <v>1</v>
      </c>
      <c r="X708" s="25">
        <v>46013</v>
      </c>
      <c r="Y708" t="s">
        <v>12</v>
      </c>
    </row>
    <row r="709" spans="23:25" x14ac:dyDescent="0.3">
      <c r="W709">
        <f t="shared" si="11"/>
        <v>2</v>
      </c>
      <c r="X709" s="25">
        <v>46014</v>
      </c>
      <c r="Y709" t="s">
        <v>12</v>
      </c>
    </row>
    <row r="710" spans="23:25" x14ac:dyDescent="0.3">
      <c r="W710">
        <f t="shared" si="11"/>
        <v>3</v>
      </c>
      <c r="X710" s="25">
        <v>46015</v>
      </c>
      <c r="Y710" t="s">
        <v>12</v>
      </c>
    </row>
    <row r="711" spans="23:25" x14ac:dyDescent="0.3">
      <c r="W711">
        <f t="shared" si="11"/>
        <v>7</v>
      </c>
      <c r="X711" s="25">
        <v>44570</v>
      </c>
      <c r="Y711" t="s">
        <v>11</v>
      </c>
    </row>
    <row r="712" spans="23:25" x14ac:dyDescent="0.3">
      <c r="W712">
        <f t="shared" si="11"/>
        <v>6</v>
      </c>
      <c r="X712" s="25">
        <v>44569</v>
      </c>
      <c r="Y712" t="s">
        <v>11</v>
      </c>
    </row>
    <row r="713" spans="23:25" x14ac:dyDescent="0.3">
      <c r="W713">
        <f t="shared" si="11"/>
        <v>5</v>
      </c>
      <c r="X713" s="25">
        <v>44568</v>
      </c>
      <c r="Y713" t="s">
        <v>11</v>
      </c>
    </row>
    <row r="714" spans="23:25" x14ac:dyDescent="0.3">
      <c r="W714">
        <f t="shared" si="11"/>
        <v>4</v>
      </c>
      <c r="X714" s="25">
        <v>46016</v>
      </c>
      <c r="Y714" t="s">
        <v>12</v>
      </c>
    </row>
    <row r="715" spans="23:25" x14ac:dyDescent="0.3">
      <c r="W715">
        <f t="shared" si="11"/>
        <v>4</v>
      </c>
      <c r="X715" s="25">
        <v>44567</v>
      </c>
      <c r="Y715" t="s">
        <v>11</v>
      </c>
    </row>
    <row r="716" spans="23:25" x14ac:dyDescent="0.3">
      <c r="W716">
        <f t="shared" si="11"/>
        <v>5</v>
      </c>
      <c r="X716" s="25">
        <v>46017</v>
      </c>
      <c r="Y716" t="s">
        <v>12</v>
      </c>
    </row>
    <row r="717" spans="23:25" x14ac:dyDescent="0.3">
      <c r="W717">
        <f t="shared" si="11"/>
        <v>3</v>
      </c>
      <c r="X717" s="25">
        <v>44566</v>
      </c>
      <c r="Y717" t="s">
        <v>11</v>
      </c>
    </row>
    <row r="718" spans="23:25" x14ac:dyDescent="0.3">
      <c r="W718">
        <f t="shared" si="11"/>
        <v>6</v>
      </c>
      <c r="X718" s="25">
        <v>46018</v>
      </c>
      <c r="Y718" t="s">
        <v>12</v>
      </c>
    </row>
    <row r="719" spans="23:25" x14ac:dyDescent="0.3">
      <c r="W719">
        <f t="shared" si="11"/>
        <v>2</v>
      </c>
      <c r="X719" s="25">
        <v>44565</v>
      </c>
      <c r="Y719" t="s">
        <v>11</v>
      </c>
    </row>
    <row r="720" spans="23:25" x14ac:dyDescent="0.3">
      <c r="W720">
        <f t="shared" si="11"/>
        <v>7</v>
      </c>
      <c r="X720" s="25">
        <v>46019</v>
      </c>
      <c r="Y720" t="s">
        <v>12</v>
      </c>
    </row>
    <row r="721" spans="23:25" x14ac:dyDescent="0.3">
      <c r="W721">
        <f t="shared" si="11"/>
        <v>1</v>
      </c>
      <c r="X721" s="25">
        <v>44564</v>
      </c>
      <c r="Y721" t="s">
        <v>11</v>
      </c>
    </row>
    <row r="722" spans="23:25" x14ac:dyDescent="0.3">
      <c r="W722">
        <f t="shared" si="11"/>
        <v>1</v>
      </c>
      <c r="X722" s="25">
        <v>46020</v>
      </c>
      <c r="Y722" t="s">
        <v>12</v>
      </c>
    </row>
    <row r="723" spans="23:25" x14ac:dyDescent="0.3">
      <c r="W723">
        <f t="shared" si="11"/>
        <v>7</v>
      </c>
      <c r="X723" s="25">
        <v>44563</v>
      </c>
      <c r="Y723" t="s">
        <v>11</v>
      </c>
    </row>
    <row r="724" spans="23:25" x14ac:dyDescent="0.3">
      <c r="W724">
        <f t="shared" si="11"/>
        <v>2</v>
      </c>
      <c r="X724" s="25">
        <v>46021</v>
      </c>
      <c r="Y724" t="s">
        <v>12</v>
      </c>
    </row>
    <row r="725" spans="23:25" x14ac:dyDescent="0.3">
      <c r="W725">
        <f t="shared" si="11"/>
        <v>6</v>
      </c>
      <c r="X725" s="25">
        <v>44562</v>
      </c>
      <c r="Y725" t="s">
        <v>11</v>
      </c>
    </row>
    <row r="726" spans="23:25" x14ac:dyDescent="0.3">
      <c r="W726">
        <f t="shared" si="11"/>
        <v>3</v>
      </c>
      <c r="X726" s="25">
        <v>46022</v>
      </c>
      <c r="Y726" t="s">
        <v>12</v>
      </c>
    </row>
    <row r="727" spans="23:25" x14ac:dyDescent="0.3">
      <c r="W727">
        <f t="shared" si="11"/>
        <v>4</v>
      </c>
      <c r="X727" s="25">
        <v>46023</v>
      </c>
      <c r="Y727" t="s">
        <v>12</v>
      </c>
    </row>
    <row r="728" spans="23:25" x14ac:dyDescent="0.3">
      <c r="W728">
        <f t="shared" si="11"/>
        <v>5</v>
      </c>
      <c r="X728" s="25">
        <v>46024</v>
      </c>
      <c r="Y728" t="s">
        <v>12</v>
      </c>
    </row>
    <row r="729" spans="23:25" x14ac:dyDescent="0.3">
      <c r="W729">
        <f t="shared" si="11"/>
        <v>6</v>
      </c>
      <c r="X729" s="25">
        <v>46025</v>
      </c>
      <c r="Y729" t="s">
        <v>12</v>
      </c>
    </row>
    <row r="730" spans="23:25" x14ac:dyDescent="0.3">
      <c r="W730">
        <f t="shared" si="11"/>
        <v>7</v>
      </c>
      <c r="X730" s="25">
        <v>46026</v>
      </c>
      <c r="Y730" t="s">
        <v>12</v>
      </c>
    </row>
    <row r="731" spans="23:25" x14ac:dyDescent="0.3">
      <c r="W731">
        <f t="shared" si="11"/>
        <v>1</v>
      </c>
      <c r="X731" s="25">
        <v>46076</v>
      </c>
      <c r="Y731" t="s">
        <v>12</v>
      </c>
    </row>
    <row r="732" spans="23:25" x14ac:dyDescent="0.3">
      <c r="W732">
        <f t="shared" si="11"/>
        <v>2</v>
      </c>
      <c r="X732" s="25">
        <v>46077</v>
      </c>
      <c r="Y732" t="s">
        <v>12</v>
      </c>
    </row>
    <row r="733" spans="23:25" x14ac:dyDescent="0.3">
      <c r="W733">
        <f t="shared" si="11"/>
        <v>3</v>
      </c>
      <c r="X733" s="25">
        <v>46078</v>
      </c>
      <c r="Y733" t="s">
        <v>12</v>
      </c>
    </row>
    <row r="734" spans="23:25" x14ac:dyDescent="0.3">
      <c r="W734">
        <f t="shared" si="11"/>
        <v>4</v>
      </c>
      <c r="X734" s="25">
        <v>46079</v>
      </c>
      <c r="Y734" t="s">
        <v>12</v>
      </c>
    </row>
    <row r="735" spans="23:25" x14ac:dyDescent="0.3">
      <c r="W735">
        <f t="shared" si="11"/>
        <v>5</v>
      </c>
      <c r="X735" s="25">
        <v>46080</v>
      </c>
      <c r="Y735" t="s">
        <v>12</v>
      </c>
    </row>
    <row r="736" spans="23:25" x14ac:dyDescent="0.3">
      <c r="W736">
        <f t="shared" si="11"/>
        <v>6</v>
      </c>
      <c r="X736" s="25">
        <v>46081</v>
      </c>
      <c r="Y736" t="s">
        <v>12</v>
      </c>
    </row>
    <row r="737" spans="23:25" x14ac:dyDescent="0.3">
      <c r="W737">
        <f t="shared" si="11"/>
        <v>7</v>
      </c>
      <c r="X737" s="25">
        <v>46082</v>
      </c>
      <c r="Y737" t="s">
        <v>12</v>
      </c>
    </row>
    <row r="738" spans="23:25" x14ac:dyDescent="0.3">
      <c r="W738">
        <f t="shared" si="11"/>
        <v>5</v>
      </c>
      <c r="X738" s="25">
        <v>46115</v>
      </c>
      <c r="Y738" t="s">
        <v>12</v>
      </c>
    </row>
    <row r="739" spans="23:25" x14ac:dyDescent="0.3">
      <c r="W739">
        <f t="shared" si="11"/>
        <v>6</v>
      </c>
      <c r="X739" s="25">
        <v>46116</v>
      </c>
      <c r="Y739" t="s">
        <v>12</v>
      </c>
    </row>
    <row r="740" spans="23:25" x14ac:dyDescent="0.3">
      <c r="W740">
        <f t="shared" si="11"/>
        <v>7</v>
      </c>
      <c r="X740" s="25">
        <v>46117</v>
      </c>
      <c r="Y740" t="s">
        <v>12</v>
      </c>
    </row>
    <row r="741" spans="23:25" x14ac:dyDescent="0.3">
      <c r="W741">
        <f t="shared" si="11"/>
        <v>1</v>
      </c>
      <c r="X741" s="25">
        <v>46118</v>
      </c>
      <c r="Y741" t="s">
        <v>12</v>
      </c>
    </row>
    <row r="742" spans="23:25" x14ac:dyDescent="0.3">
      <c r="W742">
        <f t="shared" si="11"/>
        <v>2</v>
      </c>
      <c r="X742" s="25">
        <v>46119</v>
      </c>
      <c r="Y742" t="s">
        <v>12</v>
      </c>
    </row>
    <row r="743" spans="23:25" x14ac:dyDescent="0.3">
      <c r="W743">
        <f t="shared" si="11"/>
        <v>3</v>
      </c>
      <c r="X743" s="25">
        <v>46120</v>
      </c>
      <c r="Y743" t="s">
        <v>12</v>
      </c>
    </row>
    <row r="744" spans="23:25" x14ac:dyDescent="0.3">
      <c r="W744">
        <f t="shared" si="11"/>
        <v>4</v>
      </c>
      <c r="X744" s="25">
        <v>46121</v>
      </c>
      <c r="Y744" t="s">
        <v>12</v>
      </c>
    </row>
    <row r="745" spans="23:25" x14ac:dyDescent="0.3">
      <c r="W745">
        <f t="shared" si="11"/>
        <v>5</v>
      </c>
      <c r="X745" s="25">
        <v>46122</v>
      </c>
      <c r="Y745" t="s">
        <v>12</v>
      </c>
    </row>
    <row r="746" spans="23:25" x14ac:dyDescent="0.3">
      <c r="W746">
        <f t="shared" si="11"/>
        <v>6</v>
      </c>
      <c r="X746" s="25">
        <v>46123</v>
      </c>
      <c r="Y746" t="s">
        <v>12</v>
      </c>
    </row>
    <row r="747" spans="23:25" x14ac:dyDescent="0.3">
      <c r="W747">
        <f t="shared" si="11"/>
        <v>7</v>
      </c>
      <c r="X747" s="25">
        <v>46124</v>
      </c>
      <c r="Y747" t="s">
        <v>12</v>
      </c>
    </row>
    <row r="748" spans="23:25" x14ac:dyDescent="0.3">
      <c r="W748">
        <f t="shared" si="11"/>
        <v>1</v>
      </c>
      <c r="X748" s="25">
        <v>46125</v>
      </c>
      <c r="Y748" t="s">
        <v>12</v>
      </c>
    </row>
    <row r="749" spans="23:25" x14ac:dyDescent="0.3">
      <c r="W749">
        <f t="shared" si="11"/>
        <v>2</v>
      </c>
      <c r="X749" s="25">
        <v>46126</v>
      </c>
      <c r="Y749" t="s">
        <v>12</v>
      </c>
    </row>
    <row r="750" spans="23:25" x14ac:dyDescent="0.3">
      <c r="W750">
        <f t="shared" si="11"/>
        <v>3</v>
      </c>
      <c r="X750" s="25">
        <v>46127</v>
      </c>
      <c r="Y750" t="s">
        <v>12</v>
      </c>
    </row>
    <row r="751" spans="23:25" x14ac:dyDescent="0.3">
      <c r="W751">
        <f t="shared" si="11"/>
        <v>4</v>
      </c>
      <c r="X751" s="25">
        <v>46128</v>
      </c>
      <c r="Y751" t="s">
        <v>12</v>
      </c>
    </row>
    <row r="752" spans="23:25" x14ac:dyDescent="0.3">
      <c r="W752">
        <f t="shared" si="11"/>
        <v>5</v>
      </c>
      <c r="X752" s="25">
        <v>46129</v>
      </c>
      <c r="Y752" t="s">
        <v>12</v>
      </c>
    </row>
    <row r="753" spans="20:25" x14ac:dyDescent="0.3">
      <c r="W753">
        <f t="shared" si="11"/>
        <v>6</v>
      </c>
      <c r="X753" s="25">
        <v>46130</v>
      </c>
      <c r="Y753" t="s">
        <v>12</v>
      </c>
    </row>
    <row r="754" spans="20:25" x14ac:dyDescent="0.3">
      <c r="W754">
        <f t="shared" si="11"/>
        <v>7</v>
      </c>
      <c r="X754" s="25">
        <v>46131</v>
      </c>
      <c r="Y754" t="s">
        <v>12</v>
      </c>
    </row>
    <row r="755" spans="20:25" x14ac:dyDescent="0.3">
      <c r="W755">
        <f t="shared" si="11"/>
        <v>5</v>
      </c>
      <c r="X755" s="25">
        <v>46143</v>
      </c>
      <c r="Y755" t="s">
        <v>12</v>
      </c>
    </row>
    <row r="756" spans="20:25" x14ac:dyDescent="0.3">
      <c r="W756">
        <f t="shared" si="11"/>
        <v>4</v>
      </c>
      <c r="X756" s="25">
        <v>46156</v>
      </c>
      <c r="Y756" t="s">
        <v>12</v>
      </c>
    </row>
    <row r="757" spans="20:25" x14ac:dyDescent="0.3">
      <c r="W757">
        <f t="shared" si="11"/>
        <v>5</v>
      </c>
      <c r="X757" s="25">
        <v>46157</v>
      </c>
      <c r="Y757" t="s">
        <v>12</v>
      </c>
    </row>
    <row r="758" spans="20:25" x14ac:dyDescent="0.3">
      <c r="W758">
        <f t="shared" si="11"/>
        <v>1</v>
      </c>
      <c r="X758" s="25">
        <v>46167</v>
      </c>
      <c r="Y758" t="s">
        <v>12</v>
      </c>
    </row>
    <row r="759" spans="20:25" x14ac:dyDescent="0.3">
      <c r="W759">
        <f t="shared" ref="W759:W790" si="12">WEEKDAY(X759,2)</f>
        <v>1</v>
      </c>
      <c r="X759" s="25">
        <v>46202</v>
      </c>
      <c r="Y759" t="s">
        <v>12</v>
      </c>
    </row>
    <row r="760" spans="20:25" x14ac:dyDescent="0.3">
      <c r="W760">
        <f t="shared" si="12"/>
        <v>2</v>
      </c>
      <c r="X760" s="25">
        <v>46203</v>
      </c>
      <c r="Y760" t="s">
        <v>12</v>
      </c>
    </row>
    <row r="761" spans="20:25" x14ac:dyDescent="0.3">
      <c r="W761">
        <f t="shared" si="12"/>
        <v>3</v>
      </c>
      <c r="X761" s="25">
        <v>46204</v>
      </c>
      <c r="Y761" t="s">
        <v>12</v>
      </c>
    </row>
    <row r="762" spans="20:25" x14ac:dyDescent="0.3">
      <c r="W762">
        <f t="shared" si="12"/>
        <v>4</v>
      </c>
      <c r="X762" s="25">
        <v>46205</v>
      </c>
      <c r="Y762" t="s">
        <v>12</v>
      </c>
    </row>
    <row r="763" spans="20:25" x14ac:dyDescent="0.3">
      <c r="T763" s="25"/>
      <c r="W763">
        <f t="shared" si="12"/>
        <v>5</v>
      </c>
      <c r="X763" s="25">
        <v>46206</v>
      </c>
      <c r="Y763" t="s">
        <v>12</v>
      </c>
    </row>
    <row r="764" spans="20:25" x14ac:dyDescent="0.3">
      <c r="T764" s="25"/>
      <c r="W764">
        <f t="shared" si="12"/>
        <v>6</v>
      </c>
      <c r="X764" s="25">
        <v>46207</v>
      </c>
      <c r="Y764" t="s">
        <v>12</v>
      </c>
    </row>
    <row r="765" spans="20:25" x14ac:dyDescent="0.3">
      <c r="T765" s="25"/>
      <c r="W765">
        <f t="shared" si="12"/>
        <v>7</v>
      </c>
      <c r="X765" s="25">
        <v>46208</v>
      </c>
      <c r="Y765" t="s">
        <v>12</v>
      </c>
    </row>
    <row r="766" spans="20:25" x14ac:dyDescent="0.3">
      <c r="T766" s="25"/>
      <c r="W766">
        <f t="shared" si="12"/>
        <v>1</v>
      </c>
      <c r="X766" s="25">
        <v>46209</v>
      </c>
      <c r="Y766" t="s">
        <v>12</v>
      </c>
    </row>
    <row r="767" spans="20:25" x14ac:dyDescent="0.3">
      <c r="T767" s="25"/>
      <c r="W767">
        <f t="shared" si="12"/>
        <v>2</v>
      </c>
      <c r="X767" s="25">
        <v>46210</v>
      </c>
      <c r="Y767" t="s">
        <v>12</v>
      </c>
    </row>
    <row r="768" spans="20:25" x14ac:dyDescent="0.3">
      <c r="T768" s="25"/>
      <c r="W768">
        <f t="shared" si="12"/>
        <v>3</v>
      </c>
      <c r="X768" s="25">
        <v>46211</v>
      </c>
      <c r="Y768" t="s">
        <v>12</v>
      </c>
    </row>
    <row r="769" spans="20:25" x14ac:dyDescent="0.3">
      <c r="T769" s="25"/>
      <c r="W769">
        <f t="shared" si="12"/>
        <v>4</v>
      </c>
      <c r="X769" s="25">
        <v>46212</v>
      </c>
      <c r="Y769" t="s">
        <v>12</v>
      </c>
    </row>
    <row r="770" spans="20:25" x14ac:dyDescent="0.3">
      <c r="T770" s="25"/>
      <c r="W770">
        <f t="shared" si="12"/>
        <v>5</v>
      </c>
      <c r="X770" s="25">
        <v>46213</v>
      </c>
      <c r="Y770" t="s">
        <v>12</v>
      </c>
    </row>
    <row r="771" spans="20:25" x14ac:dyDescent="0.3">
      <c r="T771" s="25"/>
      <c r="W771">
        <f t="shared" si="12"/>
        <v>6</v>
      </c>
      <c r="X771" s="25">
        <v>46214</v>
      </c>
      <c r="Y771" t="s">
        <v>12</v>
      </c>
    </row>
    <row r="772" spans="20:25" x14ac:dyDescent="0.3">
      <c r="T772" s="25"/>
      <c r="W772">
        <f t="shared" si="12"/>
        <v>7</v>
      </c>
      <c r="X772" s="25">
        <v>46215</v>
      </c>
      <c r="Y772" t="s">
        <v>12</v>
      </c>
    </row>
    <row r="773" spans="20:25" x14ac:dyDescent="0.3">
      <c r="T773" s="25"/>
      <c r="W773">
        <f t="shared" si="12"/>
        <v>1</v>
      </c>
      <c r="X773" s="25">
        <v>46216</v>
      </c>
      <c r="Y773" t="s">
        <v>12</v>
      </c>
    </row>
    <row r="774" spans="20:25" x14ac:dyDescent="0.3">
      <c r="T774" s="25"/>
      <c r="W774">
        <f t="shared" si="12"/>
        <v>2</v>
      </c>
      <c r="X774" s="25">
        <v>46217</v>
      </c>
      <c r="Y774" t="s">
        <v>12</v>
      </c>
    </row>
    <row r="775" spans="20:25" x14ac:dyDescent="0.3">
      <c r="T775" s="25"/>
      <c r="W775">
        <f t="shared" si="12"/>
        <v>3</v>
      </c>
      <c r="X775" s="25">
        <v>46218</v>
      </c>
      <c r="Y775" t="s">
        <v>12</v>
      </c>
    </row>
    <row r="776" spans="20:25" x14ac:dyDescent="0.3">
      <c r="T776" s="25"/>
      <c r="W776">
        <f t="shared" si="12"/>
        <v>4</v>
      </c>
      <c r="X776" s="25">
        <v>46219</v>
      </c>
      <c r="Y776" t="s">
        <v>12</v>
      </c>
    </row>
    <row r="777" spans="20:25" x14ac:dyDescent="0.3">
      <c r="T777" s="25"/>
      <c r="W777">
        <f t="shared" si="12"/>
        <v>5</v>
      </c>
      <c r="X777" s="25">
        <v>46220</v>
      </c>
      <c r="Y777" t="s">
        <v>12</v>
      </c>
    </row>
    <row r="778" spans="20:25" x14ac:dyDescent="0.3">
      <c r="T778" s="25"/>
      <c r="W778">
        <f t="shared" si="12"/>
        <v>6</v>
      </c>
      <c r="X778" s="25">
        <v>46221</v>
      </c>
      <c r="Y778" t="s">
        <v>12</v>
      </c>
    </row>
    <row r="779" spans="20:25" x14ac:dyDescent="0.3">
      <c r="T779" s="25"/>
      <c r="W779">
        <f t="shared" si="12"/>
        <v>7</v>
      </c>
      <c r="X779" s="25">
        <v>46222</v>
      </c>
      <c r="Y779" t="s">
        <v>12</v>
      </c>
    </row>
    <row r="780" spans="20:25" x14ac:dyDescent="0.3">
      <c r="T780" s="25"/>
      <c r="W780">
        <f t="shared" si="12"/>
        <v>1</v>
      </c>
      <c r="X780" s="25">
        <v>46223</v>
      </c>
      <c r="Y780" t="s">
        <v>12</v>
      </c>
    </row>
    <row r="781" spans="20:25" x14ac:dyDescent="0.3">
      <c r="T781" s="25"/>
      <c r="W781">
        <f t="shared" si="12"/>
        <v>2</v>
      </c>
      <c r="X781" s="25">
        <v>46224</v>
      </c>
      <c r="Y781" t="s">
        <v>12</v>
      </c>
    </row>
    <row r="782" spans="20:25" x14ac:dyDescent="0.3">
      <c r="T782" s="25"/>
      <c r="W782">
        <f t="shared" si="12"/>
        <v>3</v>
      </c>
      <c r="X782" s="25">
        <v>46225</v>
      </c>
      <c r="Y782" t="s">
        <v>12</v>
      </c>
    </row>
    <row r="783" spans="20:25" x14ac:dyDescent="0.3">
      <c r="T783" s="25"/>
      <c r="W783">
        <f t="shared" si="12"/>
        <v>4</v>
      </c>
      <c r="X783" s="25">
        <v>46226</v>
      </c>
      <c r="Y783" t="s">
        <v>12</v>
      </c>
    </row>
    <row r="784" spans="20:25" x14ac:dyDescent="0.3">
      <c r="T784" s="25"/>
      <c r="W784">
        <f t="shared" si="12"/>
        <v>5</v>
      </c>
      <c r="X784" s="25">
        <v>46227</v>
      </c>
      <c r="Y784" t="s">
        <v>12</v>
      </c>
    </row>
    <row r="785" spans="20:25" x14ac:dyDescent="0.3">
      <c r="T785" s="25"/>
      <c r="W785">
        <f t="shared" si="12"/>
        <v>6</v>
      </c>
      <c r="X785" s="25">
        <v>46228</v>
      </c>
      <c r="Y785" t="s">
        <v>12</v>
      </c>
    </row>
    <row r="786" spans="20:25" x14ac:dyDescent="0.3">
      <c r="T786" s="25"/>
      <c r="W786">
        <f t="shared" si="12"/>
        <v>7</v>
      </c>
      <c r="X786" s="25">
        <v>46229</v>
      </c>
      <c r="Y786" t="s">
        <v>12</v>
      </c>
    </row>
    <row r="787" spans="20:25" x14ac:dyDescent="0.3">
      <c r="T787" s="25"/>
      <c r="W787">
        <f t="shared" si="12"/>
        <v>1</v>
      </c>
      <c r="X787" s="25">
        <v>46230</v>
      </c>
      <c r="Y787" t="s">
        <v>12</v>
      </c>
    </row>
    <row r="788" spans="20:25" x14ac:dyDescent="0.3">
      <c r="T788" s="25"/>
      <c r="W788">
        <f t="shared" si="12"/>
        <v>2</v>
      </c>
      <c r="X788" s="25">
        <v>46231</v>
      </c>
      <c r="Y788" t="s">
        <v>12</v>
      </c>
    </row>
    <row r="789" spans="20:25" x14ac:dyDescent="0.3">
      <c r="T789" s="25"/>
      <c r="W789">
        <f t="shared" si="12"/>
        <v>3</v>
      </c>
      <c r="X789" s="25">
        <v>46232</v>
      </c>
      <c r="Y789" t="s">
        <v>12</v>
      </c>
    </row>
    <row r="790" spans="20:25" x14ac:dyDescent="0.3">
      <c r="T790" s="25"/>
      <c r="W790">
        <f t="shared" si="12"/>
        <v>4</v>
      </c>
      <c r="X790" s="25">
        <v>46233</v>
      </c>
      <c r="Y790" t="s">
        <v>12</v>
      </c>
    </row>
    <row r="791" spans="20:25" x14ac:dyDescent="0.3">
      <c r="T791" s="25"/>
      <c r="W791">
        <f t="shared" ref="W791:W816" si="13">WEEKDAY(X791,2)</f>
        <v>5</v>
      </c>
      <c r="X791" s="25">
        <v>46234</v>
      </c>
      <c r="Y791" t="s">
        <v>12</v>
      </c>
    </row>
    <row r="792" spans="20:25" x14ac:dyDescent="0.3">
      <c r="T792" s="25"/>
      <c r="W792">
        <f t="shared" si="13"/>
        <v>6</v>
      </c>
      <c r="X792" s="25">
        <v>46235</v>
      </c>
      <c r="Y792" t="s">
        <v>12</v>
      </c>
    </row>
    <row r="793" spans="20:25" x14ac:dyDescent="0.3">
      <c r="T793" s="25"/>
      <c r="W793">
        <f t="shared" si="13"/>
        <v>7</v>
      </c>
      <c r="X793" s="25">
        <v>46236</v>
      </c>
      <c r="Y793" t="s">
        <v>12</v>
      </c>
    </row>
    <row r="794" spans="20:25" x14ac:dyDescent="0.3">
      <c r="T794" s="25"/>
      <c r="W794">
        <f t="shared" si="13"/>
        <v>1</v>
      </c>
      <c r="X794" s="25">
        <v>46237</v>
      </c>
      <c r="Y794" t="s">
        <v>12</v>
      </c>
    </row>
    <row r="795" spans="20:25" x14ac:dyDescent="0.3">
      <c r="T795" s="25"/>
      <c r="W795">
        <f t="shared" si="13"/>
        <v>2</v>
      </c>
      <c r="X795" s="25">
        <v>46238</v>
      </c>
      <c r="Y795" t="s">
        <v>12</v>
      </c>
    </row>
    <row r="796" spans="20:25" x14ac:dyDescent="0.3">
      <c r="T796" s="25"/>
      <c r="W796">
        <f t="shared" si="13"/>
        <v>3</v>
      </c>
      <c r="X796" s="25">
        <v>46239</v>
      </c>
      <c r="Y796" t="s">
        <v>12</v>
      </c>
    </row>
    <row r="797" spans="20:25" x14ac:dyDescent="0.3">
      <c r="T797" s="25"/>
      <c r="W797">
        <f t="shared" si="13"/>
        <v>4</v>
      </c>
      <c r="X797" s="25">
        <v>46240</v>
      </c>
      <c r="Y797" t="s">
        <v>12</v>
      </c>
    </row>
    <row r="798" spans="20:25" x14ac:dyDescent="0.3">
      <c r="T798" s="25"/>
      <c r="W798">
        <f t="shared" si="13"/>
        <v>5</v>
      </c>
      <c r="X798" s="25">
        <v>46241</v>
      </c>
      <c r="Y798" t="s">
        <v>12</v>
      </c>
    </row>
    <row r="799" spans="20:25" x14ac:dyDescent="0.3">
      <c r="T799" s="25"/>
      <c r="W799">
        <f t="shared" si="13"/>
        <v>6</v>
      </c>
      <c r="X799" s="25">
        <v>46242</v>
      </c>
      <c r="Y799" t="s">
        <v>12</v>
      </c>
    </row>
    <row r="800" spans="20:25" x14ac:dyDescent="0.3">
      <c r="T800" s="25"/>
      <c r="W800">
        <f t="shared" si="13"/>
        <v>7</v>
      </c>
      <c r="X800" s="25">
        <v>46243</v>
      </c>
      <c r="Y800" t="s">
        <v>12</v>
      </c>
    </row>
    <row r="801" spans="20:25" x14ac:dyDescent="0.3">
      <c r="T801" s="25"/>
      <c r="W801">
        <f t="shared" si="13"/>
        <v>1</v>
      </c>
      <c r="X801" s="25">
        <v>46244</v>
      </c>
      <c r="Y801" t="s">
        <v>12</v>
      </c>
    </row>
    <row r="802" spans="20:25" x14ac:dyDescent="0.3">
      <c r="T802" s="25"/>
      <c r="W802">
        <f t="shared" si="13"/>
        <v>2</v>
      </c>
      <c r="X802" s="25">
        <v>46245</v>
      </c>
      <c r="Y802" t="s">
        <v>12</v>
      </c>
    </row>
    <row r="803" spans="20:25" x14ac:dyDescent="0.3">
      <c r="T803" s="25"/>
      <c r="W803">
        <f t="shared" si="13"/>
        <v>3</v>
      </c>
      <c r="X803" s="25">
        <v>46246</v>
      </c>
      <c r="Y803" t="s">
        <v>12</v>
      </c>
    </row>
    <row r="804" spans="20:25" x14ac:dyDescent="0.3">
      <c r="T804" s="25"/>
      <c r="W804">
        <f t="shared" si="13"/>
        <v>4</v>
      </c>
      <c r="X804" s="25">
        <v>46247</v>
      </c>
      <c r="Y804" t="s">
        <v>12</v>
      </c>
    </row>
    <row r="805" spans="20:25" x14ac:dyDescent="0.3">
      <c r="T805" s="25"/>
      <c r="W805">
        <f t="shared" si="13"/>
        <v>5</v>
      </c>
      <c r="X805" s="25">
        <v>46248</v>
      </c>
      <c r="Y805" t="s">
        <v>12</v>
      </c>
    </row>
    <row r="806" spans="20:25" x14ac:dyDescent="0.3">
      <c r="T806" s="25"/>
      <c r="W806">
        <f t="shared" si="13"/>
        <v>6</v>
      </c>
      <c r="X806" s="25">
        <v>46249</v>
      </c>
      <c r="Y806" t="s">
        <v>12</v>
      </c>
    </row>
    <row r="807" spans="20:25" x14ac:dyDescent="0.3">
      <c r="T807" s="25"/>
      <c r="W807">
        <f t="shared" si="13"/>
        <v>7</v>
      </c>
      <c r="X807" s="25">
        <v>46250</v>
      </c>
      <c r="Y807" t="s">
        <v>12</v>
      </c>
    </row>
    <row r="808" spans="20:25" x14ac:dyDescent="0.3">
      <c r="T808" s="25"/>
      <c r="W808">
        <f t="shared" si="13"/>
        <v>4</v>
      </c>
      <c r="X808" s="25">
        <v>46275</v>
      </c>
      <c r="Y808" t="s">
        <v>12</v>
      </c>
    </row>
    <row r="809" spans="20:25" x14ac:dyDescent="0.3">
      <c r="T809" s="25"/>
      <c r="W809">
        <f t="shared" si="13"/>
        <v>1</v>
      </c>
      <c r="X809" s="25">
        <v>46314</v>
      </c>
      <c r="Y809" t="s">
        <v>12</v>
      </c>
    </row>
    <row r="810" spans="20:25" x14ac:dyDescent="0.3">
      <c r="T810" s="25"/>
      <c r="W810">
        <f t="shared" si="13"/>
        <v>2</v>
      </c>
      <c r="X810" s="25">
        <v>46315</v>
      </c>
      <c r="Y810" t="s">
        <v>12</v>
      </c>
    </row>
    <row r="811" spans="20:25" x14ac:dyDescent="0.3">
      <c r="T811" s="25"/>
      <c r="W811">
        <f t="shared" si="13"/>
        <v>3</v>
      </c>
      <c r="X811" s="25">
        <v>46316</v>
      </c>
      <c r="Y811" t="s">
        <v>12</v>
      </c>
    </row>
    <row r="812" spans="20:25" x14ac:dyDescent="0.3">
      <c r="W812">
        <f t="shared" si="13"/>
        <v>4</v>
      </c>
      <c r="X812" s="25">
        <v>46317</v>
      </c>
      <c r="Y812" t="s">
        <v>12</v>
      </c>
    </row>
    <row r="813" spans="20:25" x14ac:dyDescent="0.3">
      <c r="W813">
        <f t="shared" si="13"/>
        <v>5</v>
      </c>
      <c r="X813" s="25">
        <v>46318</v>
      </c>
      <c r="Y813" t="s">
        <v>12</v>
      </c>
    </row>
    <row r="814" spans="20:25" x14ac:dyDescent="0.3">
      <c r="T814" s="25">
        <v>46380</v>
      </c>
      <c r="W814">
        <f t="shared" si="13"/>
        <v>6</v>
      </c>
      <c r="X814" s="25">
        <v>46319</v>
      </c>
      <c r="Y814" t="s">
        <v>12</v>
      </c>
    </row>
    <row r="815" spans="20:25" x14ac:dyDescent="0.3">
      <c r="T815" s="25">
        <f>T814+1</f>
        <v>46381</v>
      </c>
      <c r="W815">
        <f t="shared" si="13"/>
        <v>7</v>
      </c>
      <c r="X815" s="25">
        <v>46320</v>
      </c>
      <c r="Y815" t="s">
        <v>12</v>
      </c>
    </row>
    <row r="816" spans="20:25" x14ac:dyDescent="0.3">
      <c r="T816" s="25">
        <f t="shared" ref="T816:T821" si="14">T815+1</f>
        <v>46382</v>
      </c>
      <c r="W816">
        <f t="shared" si="13"/>
        <v>4</v>
      </c>
      <c r="X816" s="25">
        <v>46380</v>
      </c>
      <c r="Y816" t="s">
        <v>12</v>
      </c>
    </row>
    <row r="817" spans="20:25" x14ac:dyDescent="0.3">
      <c r="T817" s="25">
        <f t="shared" si="14"/>
        <v>46383</v>
      </c>
      <c r="W817">
        <f t="shared" ref="W817:W823" si="15">WEEKDAY(X817,2)</f>
        <v>5</v>
      </c>
      <c r="X817" s="25">
        <v>46381</v>
      </c>
      <c r="Y817" t="s">
        <v>12</v>
      </c>
    </row>
    <row r="818" spans="20:25" x14ac:dyDescent="0.3">
      <c r="T818" s="25">
        <f t="shared" si="14"/>
        <v>46384</v>
      </c>
      <c r="W818">
        <f t="shared" si="15"/>
        <v>6</v>
      </c>
      <c r="X818" s="25">
        <v>46382</v>
      </c>
      <c r="Y818" t="s">
        <v>12</v>
      </c>
    </row>
    <row r="819" spans="20:25" x14ac:dyDescent="0.3">
      <c r="T819" s="25">
        <f t="shared" si="14"/>
        <v>46385</v>
      </c>
      <c r="W819">
        <f t="shared" si="15"/>
        <v>7</v>
      </c>
      <c r="X819" s="25">
        <v>46383</v>
      </c>
      <c r="Y819" t="s">
        <v>12</v>
      </c>
    </row>
    <row r="820" spans="20:25" x14ac:dyDescent="0.3">
      <c r="T820" s="25">
        <f t="shared" si="14"/>
        <v>46386</v>
      </c>
      <c r="W820">
        <f t="shared" si="15"/>
        <v>1</v>
      </c>
      <c r="X820" s="25">
        <v>46384</v>
      </c>
      <c r="Y820" t="s">
        <v>12</v>
      </c>
    </row>
    <row r="821" spans="20:25" x14ac:dyDescent="0.3">
      <c r="T821" s="25">
        <f t="shared" si="14"/>
        <v>46387</v>
      </c>
      <c r="W821">
        <f t="shared" si="15"/>
        <v>2</v>
      </c>
      <c r="X821" s="25">
        <v>46385</v>
      </c>
      <c r="Y821" t="s">
        <v>12</v>
      </c>
    </row>
    <row r="822" spans="20:25" x14ac:dyDescent="0.3">
      <c r="T822" s="25"/>
      <c r="W822">
        <f t="shared" si="15"/>
        <v>3</v>
      </c>
      <c r="X822" s="25">
        <v>46386</v>
      </c>
      <c r="Y822" t="s">
        <v>12</v>
      </c>
    </row>
    <row r="823" spans="20:25" x14ac:dyDescent="0.3">
      <c r="T823" s="25"/>
      <c r="W823">
        <f t="shared" si="15"/>
        <v>4</v>
      </c>
      <c r="X823" s="25">
        <v>46387</v>
      </c>
      <c r="Y823" t="s">
        <v>12</v>
      </c>
    </row>
    <row r="824" spans="20:25" x14ac:dyDescent="0.3">
      <c r="T824" s="25"/>
    </row>
    <row r="825" spans="20:25" x14ac:dyDescent="0.3">
      <c r="T825" s="25"/>
    </row>
    <row r="826" spans="20:25" x14ac:dyDescent="0.3">
      <c r="T826" s="25"/>
    </row>
    <row r="827" spans="20:25" x14ac:dyDescent="0.3">
      <c r="T827" s="25"/>
    </row>
  </sheetData>
  <dataValidations count="2">
    <dataValidation type="list" allowBlank="1" showInputMessage="1" showErrorMessage="1" sqref="R2:R109" xr:uid="{D216D1A0-FADC-49CC-A8AE-B407C8BF3180}">
      <formula1>$K$2:$K$4</formula1>
    </dataValidation>
    <dataValidation type="list" allowBlank="1" showInputMessage="1" showErrorMessage="1" sqref="Y2:Y823" xr:uid="{4260FE4D-6E3D-4519-9D52-4D8A37FFD18A}">
      <formula1>$G$2:$G$7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7E8C-CFD8-43AD-8366-E978A4832677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Calendrier</vt:lpstr>
      <vt:lpstr>Guide Utilisateur</vt:lpstr>
      <vt:lpstr>Parameters</vt:lpstr>
      <vt:lpstr>Copyrights</vt:lpstr>
      <vt:lpstr>Calendrier!Print_Area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WorkYnProgress</dc:creator>
  <cp:lastModifiedBy>Kzen BZen</cp:lastModifiedBy>
  <cp:lastPrinted>2025-12-25T13:43:37Z</cp:lastPrinted>
  <dcterms:created xsi:type="dcterms:W3CDTF">2022-11-12T06:00:19Z</dcterms:created>
  <dcterms:modified xsi:type="dcterms:W3CDTF">2026-01-03T18:30:21Z</dcterms:modified>
</cp:coreProperties>
</file>